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4620" windowHeight="14020" tabRatio="600" firstSheet="0" activeTab="3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oil_revenue" sheetId="3" state="visible" r:id="rId3"/>
    <sheet xmlns:r="http://schemas.openxmlformats.org/officeDocument/2006/relationships" name="annual_levels" sheetId="4" state="visible" r:id="rId4"/>
    <sheet xmlns:r="http://schemas.openxmlformats.org/officeDocument/2006/relationships" name="quarterly_levels" sheetId="5" state="visible" r:id="rId5"/>
    <sheet xmlns:r="http://schemas.openxmlformats.org/officeDocument/2006/relationships" name="quarterly_g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sz val="11"/>
    </font>
    <font>
      <name val="Calibr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9" fontId="1" fillId="0" borderId="1"/>
  </cellStyleXfs>
  <cellXfs count="10">
    <xf numFmtId="0" fontId="0" fillId="0" borderId="0" pivotButton="0" quotePrefix="0" xfId="0"/>
    <xf numFmtId="11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9" fontId="0" fillId="0" borderId="0" pivotButton="0" quotePrefix="0" xfId="1"/>
    <xf numFmtId="164" fontId="0" fillId="0" borderId="0" pivotButton="0" quotePrefix="0" xfId="1"/>
    <xf numFmtId="2" fontId="0" fillId="0" borderId="0" pivotButton="0" quotePrefix="0" xfId="0"/>
    <xf numFmtId="1" fontId="0" fillId="0" borderId="0" pivotButton="0" quotePrefix="0" xfId="0"/>
    <xf numFmtId="0" fontId="0" fillId="0" borderId="1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tc={C485550F-A637-431B-918C-104E3D77FFE3}</author>
    <author>tc={9C74C7B5-BF0C-4ECA-B996-5F902DB9E6E6}</author>
    <author>tc={87A47F7B-63C4-475F-B842-232A84C9C9FF}</author>
    <author>tc={F8E864D7-1E4A-4788-B7F2-F97A0A3750FC}</author>
    <author>tc={9E948352-E903-4696-9725-977F8DE9CC9B}</author>
    <author>tc={76EE7446-D09A-4C81-8784-A60447FCCD9A}</author>
    <author>tc={36C17E79-CDA1-4DE6-9AB9-7358205EE7AD}</author>
  </authors>
  <commentList>
    <comment ref="B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1ECUEA2022001 Table 2a sum of wages, purchases, and social security</t>
      </text>
    </comment>
    <comment ref="C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1ECUEA2022001 Table 2a Capital</t>
      </text>
    </comment>
    <comment ref="D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1ECUEA2021001 Table 2a for social spending
1ECUEA2022001 Table 2a for fuel subsidies</t>
      </text>
    </comment>
    <comment ref="E1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1ECUEA2022001 Table 1, product of oil price times oil production in million barrels
</t>
      </text>
    </comment>
    <comment ref="F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ECUEA2022001 Table 1 in million $
</t>
      </text>
    </comment>
    <comment ref="G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FRED, for 2024 I took 2024Q3 and for 2025 I assume 2 percent inflation with respect to the last value in 2024</t>
      </text>
    </comment>
    <comment ref="H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1ECUEA20221 Figure 1</t>
      </text>
    </comment>
  </commentList>
</comments>
</file>

<file path=xl/comments/comment2.xml><?xml version="1.0" encoding="utf-8"?>
<comments xmlns="http://schemas.openxmlformats.org/spreadsheetml/2006/main">
  <authors>
    <author>Manuel Gonzalez-Astudillo</author>
  </authors>
  <commentList>
    <comment ref="B1" authorId="0" shapeId="0">
      <text>
        <t>Manuel Gonzalez-Astudillo:
Millions of 2017 US dollars, quarterly figures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1" sqref="A11"/>
    </sheetView>
  </sheetViews>
  <sheetFormatPr baseColWidth="8" defaultRowHeight="14.5"/>
  <cols>
    <col width="24.1796875" customWidth="1" min="2" max="2"/>
    <col width="22.453125" customWidth="1" min="3" max="3"/>
    <col width="9.26953125" customWidth="1" min="4" max="4"/>
    <col width="11.453125" bestFit="1" customWidth="1" min="5" max="5"/>
  </cols>
  <sheetData>
    <row r="1">
      <c r="B1" s="2" t="inlineStr">
        <is>
          <t>GovernmentConsumption</t>
        </is>
      </c>
      <c r="C1" s="2" t="inlineStr">
        <is>
          <t>GovernmentInvestment</t>
        </is>
      </c>
      <c r="D1" s="2" t="inlineStr">
        <is>
          <t>Transfers</t>
        </is>
      </c>
      <c r="E1" s="2" t="inlineStr">
        <is>
          <t>OilRevenue</t>
        </is>
      </c>
      <c r="G1" t="inlineStr">
        <is>
          <t>Government Consumption</t>
        </is>
      </c>
      <c r="H1" t="inlineStr">
        <is>
          <t>Government Investment</t>
        </is>
      </c>
      <c r="I1" t="inlineStr">
        <is>
          <t>Transfers</t>
        </is>
      </c>
      <c r="J1" s="2" t="inlineStr">
        <is>
          <t>OilRevenue</t>
        </is>
      </c>
    </row>
    <row r="2">
      <c r="A2" t="n">
        <v>2020</v>
      </c>
      <c r="B2" t="n">
        <v>0.002</v>
      </c>
      <c r="C2" t="n">
        <v>-0.008999999999999991</v>
      </c>
      <c r="D2" t="n">
        <v>0.001</v>
      </c>
      <c r="G2">
        <f>B2</f>
        <v/>
      </c>
      <c r="H2">
        <f>C2</f>
        <v/>
      </c>
      <c r="I2">
        <f>D2</f>
        <v/>
      </c>
    </row>
    <row r="3">
      <c r="A3" t="n">
        <v>2021</v>
      </c>
      <c r="B3" t="n">
        <v>-0.011</v>
      </c>
      <c r="C3" t="n">
        <v>0.003</v>
      </c>
      <c r="D3" t="n">
        <v>0.008999999999999991</v>
      </c>
      <c r="G3">
        <f>G2+B3</f>
        <v/>
      </c>
      <c r="H3">
        <f>H2+C3</f>
        <v/>
      </c>
      <c r="I3">
        <f>I2+D3</f>
        <v/>
      </c>
    </row>
    <row r="4">
      <c r="A4" t="n">
        <v>2022</v>
      </c>
      <c r="B4" t="n">
        <v>-0.012</v>
      </c>
      <c r="C4" t="n">
        <v>-0.003</v>
      </c>
      <c r="D4" t="n">
        <v>0.002</v>
      </c>
      <c r="G4">
        <f>G3+B4</f>
        <v/>
      </c>
      <c r="H4">
        <f>H3+C4</f>
        <v/>
      </c>
      <c r="I4">
        <f>I3+D4</f>
        <v/>
      </c>
    </row>
    <row r="5">
      <c r="A5" t="n">
        <v>2023</v>
      </c>
      <c r="B5" t="n">
        <v>-0.004</v>
      </c>
      <c r="C5" t="n">
        <v>0</v>
      </c>
      <c r="D5" t="n">
        <v>-0.005</v>
      </c>
      <c r="G5">
        <f>G4+B5</f>
        <v/>
      </c>
      <c r="H5">
        <f>H4+C5</f>
        <v/>
      </c>
      <c r="I5">
        <f>I4+D5</f>
        <v/>
      </c>
    </row>
    <row r="6">
      <c r="A6" t="n">
        <v>2024</v>
      </c>
      <c r="B6" t="n">
        <v>-0.003</v>
      </c>
      <c r="C6" t="n">
        <v>0</v>
      </c>
      <c r="D6" t="n">
        <v>-0.006</v>
      </c>
      <c r="G6">
        <f>G5+B6</f>
        <v/>
      </c>
      <c r="H6">
        <f>H5+C6</f>
        <v/>
      </c>
      <c r="I6">
        <f>I5+D6</f>
        <v/>
      </c>
    </row>
    <row r="7">
      <c r="A7" t="n">
        <v>2025</v>
      </c>
      <c r="B7" t="n">
        <v>-0.002</v>
      </c>
      <c r="C7" t="n">
        <v>-0.001</v>
      </c>
      <c r="D7" t="n">
        <v>-0.004</v>
      </c>
      <c r="G7">
        <f>G6+B7</f>
        <v/>
      </c>
      <c r="H7">
        <f>H6+C7</f>
        <v/>
      </c>
      <c r="I7">
        <f>I6+D7</f>
        <v/>
      </c>
    </row>
    <row r="10">
      <c r="A10" t="inlineStr">
        <is>
          <t>Page 15 1ECUA2022001</t>
        </is>
      </c>
    </row>
  </sheetData>
  <pageMargins left="0.7" right="0.7" top="0.75" bottom="0.75" header="0.3" footer="0.3"/>
  <pageSetup orientation="portrait"/>
  <headerFooter>
    <oddHeader>&amp;L&amp;"Calibri"&amp;1 &amp;K000000PERSONAL/NONWORK // EXTERNAL#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B1" sqref="B1:E1"/>
    </sheetView>
  </sheetViews>
  <sheetFormatPr baseColWidth="8" defaultRowHeight="14.5"/>
  <sheetData>
    <row r="1">
      <c r="B1" t="inlineStr">
        <is>
          <t>Government Consumption</t>
        </is>
      </c>
      <c r="C1" t="inlineStr">
        <is>
          <t>Government Investment</t>
        </is>
      </c>
      <c r="D1" t="inlineStr">
        <is>
          <t>Transfers</t>
        </is>
      </c>
      <c r="E1" t="inlineStr">
        <is>
          <t>OilRevenue</t>
        </is>
      </c>
    </row>
    <row r="2">
      <c r="A2" t="inlineStr">
        <is>
          <t>2020Q1</t>
        </is>
      </c>
      <c r="B2" t="n">
        <v>0.0005</v>
      </c>
      <c r="C2" t="n">
        <v>-0.00225</v>
      </c>
      <c r="D2" t="n">
        <v>0.00025</v>
      </c>
      <c r="E2" t="n">
        <v>-0.006</v>
      </c>
    </row>
    <row r="3">
      <c r="A3" t="inlineStr">
        <is>
          <t>2020Q2</t>
        </is>
      </c>
      <c r="B3" t="n">
        <v>0.001</v>
      </c>
      <c r="C3" t="n">
        <v>-0.0045</v>
      </c>
      <c r="D3" t="n">
        <v>0.0005</v>
      </c>
      <c r="E3" t="n">
        <v>-0.012</v>
      </c>
    </row>
    <row r="4">
      <c r="A4" t="inlineStr">
        <is>
          <t>2020Q3</t>
        </is>
      </c>
      <c r="B4" t="n">
        <v>0.0015</v>
      </c>
      <c r="C4" t="n">
        <v>-0.00674999999999999</v>
      </c>
      <c r="D4" t="n">
        <v>0.00075</v>
      </c>
      <c r="E4" t="n">
        <v>-0.018</v>
      </c>
    </row>
    <row r="5">
      <c r="A5" t="inlineStr">
        <is>
          <t>2020Q4</t>
        </is>
      </c>
      <c r="B5" t="n">
        <v>0.002</v>
      </c>
      <c r="C5" t="n">
        <v>-0.008999999999999991</v>
      </c>
      <c r="D5" t="n">
        <v>0.001</v>
      </c>
      <c r="E5" t="n">
        <v>-0.024</v>
      </c>
    </row>
    <row r="6">
      <c r="A6" t="inlineStr">
        <is>
          <t>2021Q1</t>
        </is>
      </c>
      <c r="B6" t="n">
        <v>-0.000749999999999999</v>
      </c>
      <c r="C6" t="n">
        <v>-0.00824999999999999</v>
      </c>
      <c r="D6" t="n">
        <v>0.00325</v>
      </c>
      <c r="E6" t="n">
        <v>-0.02225</v>
      </c>
    </row>
    <row r="7">
      <c r="A7" t="inlineStr">
        <is>
          <t>2021Q2</t>
        </is>
      </c>
      <c r="B7" t="n">
        <v>-0.0035</v>
      </c>
      <c r="C7" t="n">
        <v>-0.0075</v>
      </c>
      <c r="D7" t="n">
        <v>0.0055</v>
      </c>
      <c r="E7" t="n">
        <v>-0.0205</v>
      </c>
    </row>
    <row r="8">
      <c r="A8" t="inlineStr">
        <is>
          <t>2021Q3</t>
        </is>
      </c>
      <c r="B8" t="n">
        <v>-0.00624999999999999</v>
      </c>
      <c r="C8" t="n">
        <v>-0.00674999999999999</v>
      </c>
      <c r="D8" t="n">
        <v>0.00774999999999999</v>
      </c>
      <c r="E8" t="n">
        <v>-0.01875</v>
      </c>
    </row>
    <row r="9">
      <c r="A9" t="inlineStr">
        <is>
          <t>2021Q4</t>
        </is>
      </c>
      <c r="B9" t="n">
        <v>-0.008999999999999991</v>
      </c>
      <c r="C9" t="n">
        <v>-0.00599999999999999</v>
      </c>
      <c r="D9" t="n">
        <v>0.00999999999999999</v>
      </c>
      <c r="E9" t="n">
        <v>-0.017</v>
      </c>
    </row>
    <row r="10">
      <c r="A10" t="inlineStr">
        <is>
          <t>2022Q1</t>
        </is>
      </c>
      <c r="B10" t="n">
        <v>-0.012</v>
      </c>
      <c r="C10" t="n">
        <v>-0.00674999999999999</v>
      </c>
      <c r="D10" t="n">
        <v>0.0105</v>
      </c>
      <c r="E10" t="n">
        <v>-0.0055</v>
      </c>
    </row>
    <row r="11">
      <c r="A11" t="inlineStr">
        <is>
          <t>2022Q2</t>
        </is>
      </c>
      <c r="B11" t="n">
        <v>-0.015</v>
      </c>
      <c r="C11" s="1" t="n">
        <v>-0.0075</v>
      </c>
      <c r="D11" t="n">
        <v>0.011</v>
      </c>
      <c r="E11" t="n">
        <v>0.006</v>
      </c>
    </row>
    <row r="12">
      <c r="A12" t="inlineStr">
        <is>
          <t>2022Q3</t>
        </is>
      </c>
      <c r="B12" t="n">
        <v>-0.018</v>
      </c>
      <c r="C12" t="n">
        <v>-0.00824999999999999</v>
      </c>
      <c r="D12" t="n">
        <v>0.0115</v>
      </c>
      <c r="E12" t="n">
        <v>0.0175</v>
      </c>
    </row>
    <row r="13">
      <c r="A13" t="inlineStr">
        <is>
          <t>2022Q4</t>
        </is>
      </c>
      <c r="B13" t="n">
        <v>-0.021</v>
      </c>
      <c r="C13" t="n">
        <v>-0.008999999999999991</v>
      </c>
      <c r="D13" t="n">
        <v>0.012</v>
      </c>
      <c r="E13" t="n">
        <v>0.029</v>
      </c>
    </row>
    <row r="14">
      <c r="A14" t="inlineStr">
        <is>
          <t>2023Q1</t>
        </is>
      </c>
      <c r="B14" t="n">
        <v>-0.022</v>
      </c>
      <c r="C14" t="n">
        <v>-0.008999999999999991</v>
      </c>
      <c r="D14" t="n">
        <v>0.01075</v>
      </c>
      <c r="E14" t="n">
        <v>0.02625</v>
      </c>
    </row>
    <row r="15">
      <c r="A15" t="inlineStr">
        <is>
          <t>2023Q2</t>
        </is>
      </c>
      <c r="B15" t="n">
        <v>-0.023</v>
      </c>
      <c r="C15" t="n">
        <v>-0.008999999999999991</v>
      </c>
      <c r="D15" t="n">
        <v>0.009499999999999989</v>
      </c>
      <c r="E15" t="n">
        <v>0.0235</v>
      </c>
    </row>
    <row r="16">
      <c r="A16" t="inlineStr">
        <is>
          <t>2023Q3</t>
        </is>
      </c>
      <c r="B16" t="n">
        <v>-0.024</v>
      </c>
      <c r="C16" t="n">
        <v>-0.008999999999999991</v>
      </c>
      <c r="D16" t="n">
        <v>0.00824999999999999</v>
      </c>
      <c r="E16" t="n">
        <v>0.02075</v>
      </c>
    </row>
    <row r="17">
      <c r="A17" t="inlineStr">
        <is>
          <t>2023Q4</t>
        </is>
      </c>
      <c r="B17" t="n">
        <v>-0.025</v>
      </c>
      <c r="C17" t="n">
        <v>-0.008999999999999991</v>
      </c>
      <c r="D17" t="n">
        <v>0.00699999999999999</v>
      </c>
      <c r="E17" t="n">
        <v>0.018</v>
      </c>
    </row>
    <row r="18">
      <c r="A18" t="inlineStr">
        <is>
          <t>2024Q1</t>
        </is>
      </c>
      <c r="B18" t="n">
        <v>-0.02575</v>
      </c>
      <c r="C18" t="n">
        <v>-0.008999999999999991</v>
      </c>
      <c r="D18" t="n">
        <v>0.00549999999999999</v>
      </c>
      <c r="E18" t="n">
        <v>0.01125</v>
      </c>
    </row>
    <row r="19">
      <c r="A19" t="inlineStr">
        <is>
          <t>2024Q2</t>
        </is>
      </c>
      <c r="B19" t="n">
        <v>-0.0265</v>
      </c>
      <c r="C19" s="1" t="n">
        <v>-0.008999999999999991</v>
      </c>
      <c r="D19" t="n">
        <v>0.00399999999999999</v>
      </c>
      <c r="E19" t="n">
        <v>0.0045</v>
      </c>
    </row>
    <row r="20">
      <c r="A20" t="inlineStr">
        <is>
          <t>2024Q3</t>
        </is>
      </c>
      <c r="B20" t="n">
        <v>-0.02725</v>
      </c>
      <c r="C20" t="n">
        <v>-0.008999999999999991</v>
      </c>
      <c r="D20" t="n">
        <v>0.00249999999999999</v>
      </c>
      <c r="E20" t="n">
        <v>-0.00224999999999999</v>
      </c>
    </row>
    <row r="21">
      <c r="A21" t="inlineStr">
        <is>
          <t>2024Q4</t>
        </is>
      </c>
      <c r="B21" t="n">
        <v>-0.028</v>
      </c>
      <c r="C21" t="n">
        <v>-0.008999999999999991</v>
      </c>
      <c r="D21" t="n">
        <v>0.0009999999999999981</v>
      </c>
      <c r="E21" t="n">
        <v>-0.008999999999999991</v>
      </c>
    </row>
    <row r="22">
      <c r="A22" t="inlineStr">
        <is>
          <t>2025Q1</t>
        </is>
      </c>
      <c r="B22" t="n">
        <v>-0.0285</v>
      </c>
      <c r="C22" s="1" t="n">
        <v>-0.009249999999999989</v>
      </c>
      <c r="D22" s="1" t="n">
        <v>-1.7347234759768e-18</v>
      </c>
      <c r="E22" t="n">
        <v>-0.008999999999999991</v>
      </c>
    </row>
    <row r="23">
      <c r="A23" t="inlineStr">
        <is>
          <t>2025Q2</t>
        </is>
      </c>
      <c r="B23" t="n">
        <v>-0.029</v>
      </c>
      <c r="C23" t="n">
        <v>-0.009499999999999989</v>
      </c>
      <c r="D23" t="n">
        <v>-0.001</v>
      </c>
      <c r="E23" t="n">
        <v>-0.008999999999999991</v>
      </c>
    </row>
    <row r="24">
      <c r="A24" t="inlineStr">
        <is>
          <t>2025Q3</t>
        </is>
      </c>
      <c r="B24" t="n">
        <v>-0.0295</v>
      </c>
      <c r="C24" t="n">
        <v>-0.00974999999999999</v>
      </c>
      <c r="D24" t="n">
        <v>-0.002</v>
      </c>
      <c r="E24" t="n">
        <v>-0.008999999999999991</v>
      </c>
    </row>
    <row r="25">
      <c r="A25" t="inlineStr">
        <is>
          <t>2025Q4</t>
        </is>
      </c>
      <c r="B25" t="n">
        <v>-0.03</v>
      </c>
      <c r="C25" t="n">
        <v>-0.00999999999999999</v>
      </c>
      <c r="D25" t="n">
        <v>-0.003</v>
      </c>
      <c r="E25" t="n">
        <v>-0.008999999999999991</v>
      </c>
    </row>
  </sheetData>
  <pageMargins left="0.7" right="0.7" top="0.75" bottom="0.75" header="0.3" footer="0.3"/>
  <pageSetup orientation="portrait"/>
  <headerFooter>
    <oddHeader>&amp;L&amp;"Calibri"&amp;1 &amp;K000000PERSONAL/NONWORK // EXTERNAL#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2" sqref="B2"/>
    </sheetView>
  </sheetViews>
  <sheetFormatPr baseColWidth="8" defaultRowHeight="14.5"/>
  <sheetData>
    <row r="1">
      <c r="B1" t="inlineStr">
        <is>
          <t>level</t>
        </is>
      </c>
      <c r="C1" t="inlineStr">
        <is>
          <t>difference</t>
        </is>
      </c>
      <c r="D1" t="inlineStr">
        <is>
          <t>level</t>
        </is>
      </c>
    </row>
    <row r="2">
      <c r="A2" t="n">
        <v>2019</v>
      </c>
      <c r="B2" t="n">
        <v>7.3</v>
      </c>
      <c r="C2" t="n">
        <v>0</v>
      </c>
    </row>
    <row r="3">
      <c r="A3" t="n">
        <v>2020</v>
      </c>
      <c r="B3" t="n">
        <v>4.9</v>
      </c>
      <c r="C3">
        <f>(B3-B2)/100</f>
        <v/>
      </c>
      <c r="D3">
        <f>C3</f>
        <v/>
      </c>
    </row>
    <row r="4">
      <c r="A4" t="n">
        <v>2021</v>
      </c>
      <c r="B4" t="n">
        <v>5.6</v>
      </c>
      <c r="C4">
        <f>(B4-B3)/100</f>
        <v/>
      </c>
      <c r="D4">
        <f>C4+C3</f>
        <v/>
      </c>
    </row>
    <row r="5">
      <c r="A5" t="n">
        <v>2022</v>
      </c>
      <c r="B5" t="n">
        <v>7.8</v>
      </c>
      <c r="C5">
        <f>(B5-B4)/100</f>
        <v/>
      </c>
      <c r="D5">
        <f>C5+C4</f>
        <v/>
      </c>
    </row>
    <row r="6">
      <c r="A6" t="n">
        <v>2023</v>
      </c>
      <c r="B6" t="n">
        <v>7.4</v>
      </c>
      <c r="C6">
        <f>(B6-B5)/100</f>
        <v/>
      </c>
      <c r="D6">
        <f>C6+C5</f>
        <v/>
      </c>
    </row>
    <row r="7">
      <c r="A7" t="n">
        <v>2024</v>
      </c>
      <c r="B7" t="n">
        <v>6.9</v>
      </c>
      <c r="C7">
        <f>(B7-B6)/100</f>
        <v/>
      </c>
      <c r="D7">
        <f>C7+C6</f>
        <v/>
      </c>
    </row>
    <row r="8">
      <c r="A8" t="n">
        <v>2025</v>
      </c>
      <c r="B8" t="n">
        <v>6.5</v>
      </c>
      <c r="C8">
        <f>(B8-B7)/100</f>
        <v/>
      </c>
      <c r="D8">
        <f>C8+C7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P2" sqref="P2:S8"/>
    </sheetView>
  </sheetViews>
  <sheetFormatPr baseColWidth="8" defaultRowHeight="14.5"/>
  <cols>
    <col width="24.54296875" bestFit="1" customWidth="1" min="2" max="2"/>
    <col width="22.81640625" bestFit="1" customWidth="1" min="3" max="3"/>
    <col width="11.26953125" bestFit="1" customWidth="1" min="4" max="5"/>
    <col width="15.26953125" bestFit="1" customWidth="1" min="7" max="7"/>
    <col width="19.08984375" bestFit="1" customWidth="1" min="8" max="8"/>
    <col width="27.1796875" bestFit="1" customWidth="1" min="12" max="12"/>
    <col width="25.36328125" bestFit="1" customWidth="1" min="13" max="13"/>
    <col width="13.08984375" bestFit="1" customWidth="1" min="14" max="14"/>
    <col width="14.7265625" bestFit="1" customWidth="1" min="15" max="15"/>
    <col width="22.7265625" bestFit="1" customWidth="1" min="16" max="16"/>
    <col width="20.81640625" bestFit="1" customWidth="1" min="17" max="17"/>
    <col width="8.6328125" bestFit="1" customWidth="1" min="18" max="18"/>
    <col width="10.26953125" bestFit="1" customWidth="1" min="19" max="19"/>
  </cols>
  <sheetData>
    <row r="1">
      <c r="B1" s="2" t="inlineStr">
        <is>
          <t>GovernmentConsumption</t>
        </is>
      </c>
      <c r="C1" s="2" t="inlineStr">
        <is>
          <t>GovernmentInvestment</t>
        </is>
      </c>
      <c r="D1" s="2" t="inlineStr">
        <is>
          <t>Transfers</t>
        </is>
      </c>
      <c r="E1" s="2" t="inlineStr">
        <is>
          <t>OilRevenue</t>
        </is>
      </c>
      <c r="F1" s="2" t="inlineStr">
        <is>
          <t>GDP</t>
        </is>
      </c>
      <c r="G1" s="2" t="inlineStr">
        <is>
          <t>US GDP Deflator</t>
        </is>
      </c>
      <c r="H1" s="2" t="inlineStr">
        <is>
          <t>Ecuador GDP Deflator</t>
        </is>
      </c>
      <c r="L1" s="2" t="inlineStr">
        <is>
          <t>GovernmentConsumption/GDP</t>
        </is>
      </c>
      <c r="M1" s="2" t="inlineStr">
        <is>
          <t>GovernmentInvestment/GDP</t>
        </is>
      </c>
      <c r="N1" s="2" t="inlineStr">
        <is>
          <t>Transfers/GDP</t>
        </is>
      </c>
      <c r="O1" s="2" t="inlineStr">
        <is>
          <t>OilRevenue/GDP</t>
        </is>
      </c>
      <c r="P1" s="9" t="inlineStr">
        <is>
          <t>pp change wrt 2019</t>
        </is>
      </c>
    </row>
    <row r="2">
      <c r="A2" t="n">
        <v>2019</v>
      </c>
      <c r="B2">
        <f>10190+4642+5749</f>
        <v/>
      </c>
      <c r="C2" t="n">
        <v>8265</v>
      </c>
      <c r="D2" s="3">
        <f>2353+1016</f>
        <v/>
      </c>
      <c r="E2">
        <f>55.1*193.8</f>
        <v/>
      </c>
      <c r="F2" t="n">
        <v>108108</v>
      </c>
      <c r="G2" s="7" t="n">
        <v>103.975</v>
      </c>
      <c r="H2" s="7" t="n">
        <v>1</v>
      </c>
      <c r="K2" t="n">
        <v>2019</v>
      </c>
      <c r="L2" s="5">
        <f>B2/$F2</f>
        <v/>
      </c>
      <c r="M2" s="5">
        <f>C2/$F2</f>
        <v/>
      </c>
      <c r="N2" s="5">
        <f>D2/$F2</f>
        <v/>
      </c>
      <c r="O2" s="5">
        <f>E2/$F2</f>
        <v/>
      </c>
      <c r="P2" s="2" t="inlineStr">
        <is>
          <t>GovernmentConsumption</t>
        </is>
      </c>
      <c r="Q2" s="2" t="inlineStr">
        <is>
          <t>GovernmentInvestment</t>
        </is>
      </c>
      <c r="R2" s="2" t="inlineStr">
        <is>
          <t>Transfers</t>
        </is>
      </c>
      <c r="S2" s="2" t="inlineStr">
        <is>
          <t>OilRevenue</t>
        </is>
      </c>
    </row>
    <row r="3">
      <c r="A3" t="n">
        <v>2020</v>
      </c>
      <c r="B3">
        <f>11394+2461+6830</f>
        <v/>
      </c>
      <c r="C3" t="n">
        <v>5813</v>
      </c>
      <c r="D3">
        <f>1091+1446</f>
        <v/>
      </c>
      <c r="E3">
        <f>35.6*175.4</f>
        <v/>
      </c>
      <c r="F3" t="n">
        <v>99291</v>
      </c>
      <c r="G3" s="7" t="n">
        <v>105.346</v>
      </c>
      <c r="H3" s="7">
        <f>H2*(1-0.004)</f>
        <v/>
      </c>
      <c r="K3" t="n">
        <v>2020</v>
      </c>
      <c r="L3" s="5">
        <f>B3/$F3</f>
        <v/>
      </c>
      <c r="M3" s="5">
        <f>C3/$F3</f>
        <v/>
      </c>
      <c r="N3" s="5">
        <f>D3/$F3</f>
        <v/>
      </c>
      <c r="O3" s="5">
        <f>E3/$F3</f>
        <v/>
      </c>
      <c r="P3" s="6">
        <f>L3-L$2</f>
        <v/>
      </c>
      <c r="Q3" s="6">
        <f>M3-M$2</f>
        <v/>
      </c>
      <c r="R3" s="6">
        <f>N3-N$2</f>
        <v/>
      </c>
      <c r="S3" s="6">
        <f>O3-O$2</f>
        <v/>
      </c>
    </row>
    <row r="4">
      <c r="A4" t="n">
        <v>2021</v>
      </c>
      <c r="B4">
        <f>11153+2504+7178</f>
        <v/>
      </c>
      <c r="C4" t="n">
        <v>6594</v>
      </c>
      <c r="D4">
        <f>2214+1974</f>
        <v/>
      </c>
      <c r="E4">
        <f>62*172.6</f>
        <v/>
      </c>
      <c r="F4" t="n">
        <v>106166</v>
      </c>
      <c r="G4" s="7" t="n">
        <v>110.142</v>
      </c>
      <c r="H4" s="7">
        <f>H3*(1.026)</f>
        <v/>
      </c>
      <c r="K4" t="n">
        <v>2021</v>
      </c>
      <c r="L4" s="5">
        <f>B4/$F4</f>
        <v/>
      </c>
      <c r="M4" s="5">
        <f>C4/$F4</f>
        <v/>
      </c>
      <c r="N4" s="5">
        <f>D4/$F4</f>
        <v/>
      </c>
      <c r="O4" s="5">
        <f>E4/$F4</f>
        <v/>
      </c>
      <c r="P4" s="6">
        <f>L4-L$2</f>
        <v/>
      </c>
      <c r="Q4" s="6">
        <f>M4-M$2</f>
        <v/>
      </c>
      <c r="R4" s="6">
        <f>N4-N$2</f>
        <v/>
      </c>
      <c r="S4" s="6">
        <f>O4-O$2</f>
        <v/>
      </c>
    </row>
    <row r="5">
      <c r="A5" t="n">
        <v>2022</v>
      </c>
      <c r="B5">
        <f>11133+2434+7586</f>
        <v/>
      </c>
      <c r="C5" t="n">
        <v>6857</v>
      </c>
      <c r="D5">
        <f>2988+1998</f>
        <v/>
      </c>
      <c r="E5">
        <f>83.4*179.3</f>
        <v/>
      </c>
      <c r="F5" t="n">
        <v>115469</v>
      </c>
      <c r="G5" s="7" t="n">
        <v>118.016</v>
      </c>
      <c r="H5" s="7">
        <f>H4*(1+0.057)</f>
        <v/>
      </c>
      <c r="K5" t="n">
        <v>2022</v>
      </c>
      <c r="L5" s="5">
        <f>B5/$F5</f>
        <v/>
      </c>
      <c r="M5" s="5">
        <f>C5/$F5</f>
        <v/>
      </c>
      <c r="N5" s="5">
        <f>D5/$F5</f>
        <v/>
      </c>
      <c r="O5" s="5">
        <f>E5/$F5</f>
        <v/>
      </c>
      <c r="P5" s="6">
        <f>L5-L$2</f>
        <v/>
      </c>
      <c r="Q5" s="6">
        <f>M5-M$2</f>
        <v/>
      </c>
      <c r="R5" s="6">
        <f>N5-N$2</f>
        <v/>
      </c>
      <c r="S5" s="6">
        <f>O5-O$2</f>
        <v/>
      </c>
    </row>
    <row r="6">
      <c r="A6" t="n">
        <v>2023</v>
      </c>
      <c r="B6">
        <f>11196+2492+7957</f>
        <v/>
      </c>
      <c r="C6" t="n">
        <v>7242</v>
      </c>
      <c r="D6">
        <f>2558+1875</f>
        <v/>
      </c>
      <c r="E6">
        <f>75.3*186.1</f>
        <v/>
      </c>
      <c r="F6" t="n">
        <v>120292</v>
      </c>
      <c r="G6" s="7" t="n">
        <v>122.266</v>
      </c>
      <c r="H6" s="7">
        <f>H5*(1+0.015)</f>
        <v/>
      </c>
      <c r="K6" t="n">
        <v>2023</v>
      </c>
      <c r="L6" s="5">
        <f>B6/$F6</f>
        <v/>
      </c>
      <c r="M6" s="5">
        <f>C6/$F6</f>
        <v/>
      </c>
      <c r="N6" s="5">
        <f>D6/$F6</f>
        <v/>
      </c>
      <c r="O6" s="5">
        <f>E6/$F6</f>
        <v/>
      </c>
      <c r="P6" s="6">
        <f>L6-L$2</f>
        <v/>
      </c>
      <c r="Q6" s="6">
        <f>M6-M$2</f>
        <v/>
      </c>
      <c r="R6" s="6">
        <f>N6-N$2</f>
        <v/>
      </c>
      <c r="S6" s="6">
        <f>O6-O$2</f>
        <v/>
      </c>
    </row>
    <row r="7">
      <c r="A7" t="n">
        <v>2024</v>
      </c>
      <c r="B7">
        <f>11315+2445+8176</f>
        <v/>
      </c>
      <c r="C7" t="n">
        <v>7369</v>
      </c>
      <c r="D7">
        <f>2002+1875</f>
        <v/>
      </c>
      <c r="E7">
        <f>68.9*189.2</f>
        <v/>
      </c>
      <c r="F7" t="n">
        <v>124578</v>
      </c>
      <c r="G7" s="7" t="n">
        <v>125.532</v>
      </c>
      <c r="H7" s="7">
        <f>H6*(1+0.008)</f>
        <v/>
      </c>
      <c r="K7" t="n">
        <v>2024</v>
      </c>
      <c r="L7" s="5">
        <f>B7/$F7</f>
        <v/>
      </c>
      <c r="M7" s="5">
        <f>C7/$F7</f>
        <v/>
      </c>
      <c r="N7" s="5">
        <f>D7/$F7</f>
        <v/>
      </c>
      <c r="O7" s="5">
        <f>E7/$F7</f>
        <v/>
      </c>
      <c r="P7" s="6">
        <f>L7-L$2</f>
        <v/>
      </c>
      <c r="Q7" s="6">
        <f>M7-M$2</f>
        <v/>
      </c>
      <c r="R7" s="6">
        <f>N7-N$2</f>
        <v/>
      </c>
      <c r="S7" s="6">
        <f>O7-O$2</f>
        <v/>
      </c>
    </row>
    <row r="8">
      <c r="A8" t="n">
        <v>2025</v>
      </c>
      <c r="B8">
        <f>11494+2477+8515</f>
        <v/>
      </c>
      <c r="C8" t="n">
        <v>7469</v>
      </c>
      <c r="D8">
        <f>1488+1875</f>
        <v/>
      </c>
      <c r="E8">
        <f>63.1*192.5</f>
        <v/>
      </c>
      <c r="F8" t="n">
        <v>128795</v>
      </c>
      <c r="G8" s="7">
        <f>G7*1.02</f>
        <v/>
      </c>
      <c r="H8" s="7">
        <f>H7*(1+0.006)</f>
        <v/>
      </c>
      <c r="K8" t="n">
        <v>2025</v>
      </c>
      <c r="L8" s="5">
        <f>B8/$F8</f>
        <v/>
      </c>
      <c r="M8" s="5">
        <f>C8/$F8</f>
        <v/>
      </c>
      <c r="N8" s="5">
        <f>D8/$F8</f>
        <v/>
      </c>
      <c r="O8" s="5">
        <f>E8/$F8</f>
        <v/>
      </c>
      <c r="P8" s="6">
        <f>L8-L$2</f>
        <v/>
      </c>
      <c r="Q8" s="6">
        <f>M8-M$2</f>
        <v/>
      </c>
      <c r="R8" s="6">
        <f>N8-N$2</f>
        <v/>
      </c>
      <c r="S8" s="6">
        <f>O8-O$2</f>
        <v/>
      </c>
    </row>
    <row r="10">
      <c r="B10" s="9" t="inlineStr">
        <is>
          <t>Real Levels</t>
        </is>
      </c>
    </row>
    <row r="11">
      <c r="B11" s="2" t="inlineStr">
        <is>
          <t>GovernmentConsumption</t>
        </is>
      </c>
      <c r="C11" s="2" t="inlineStr">
        <is>
          <t>GovernmentInvestment</t>
        </is>
      </c>
      <c r="D11" s="2" t="inlineStr">
        <is>
          <t>Transfers</t>
        </is>
      </c>
      <c r="E11" s="2" t="inlineStr">
        <is>
          <t>OilRevenue</t>
        </is>
      </c>
      <c r="F11" s="2" t="n"/>
    </row>
    <row r="12">
      <c r="A12" t="n">
        <v>2019</v>
      </c>
      <c r="B12" s="8">
        <f>B2/$H2</f>
        <v/>
      </c>
      <c r="C12" s="8">
        <f>C2/$H2</f>
        <v/>
      </c>
      <c r="D12" s="8">
        <f>D2/($G2/100)</f>
        <v/>
      </c>
      <c r="E12" s="8">
        <f>E2/($G2/100)</f>
        <v/>
      </c>
    </row>
    <row r="13">
      <c r="A13" t="n">
        <v>2020</v>
      </c>
      <c r="B13" s="8">
        <f>B3/$H3</f>
        <v/>
      </c>
      <c r="C13" s="8">
        <f>C3/$H3</f>
        <v/>
      </c>
      <c r="D13" s="8">
        <f>D3/($G3/100)</f>
        <v/>
      </c>
      <c r="E13" s="8">
        <f>E3/($G3/100)</f>
        <v/>
      </c>
    </row>
    <row r="14">
      <c r="A14" t="n">
        <v>2021</v>
      </c>
      <c r="B14" s="8">
        <f>B4/$H4</f>
        <v/>
      </c>
      <c r="C14" s="8">
        <f>C4/$H4</f>
        <v/>
      </c>
      <c r="D14" s="8">
        <f>D4/($G4/100)</f>
        <v/>
      </c>
      <c r="E14" s="8">
        <f>E4/($G4/100)</f>
        <v/>
      </c>
    </row>
    <row r="15">
      <c r="A15" t="n">
        <v>2022</v>
      </c>
      <c r="B15" s="8">
        <f>B5/$H5</f>
        <v/>
      </c>
      <c r="C15" s="8">
        <f>C5/$H5</f>
        <v/>
      </c>
      <c r="D15" s="8">
        <f>D5/($G5/100)</f>
        <v/>
      </c>
      <c r="E15" s="8">
        <f>E5/($G5/100)</f>
        <v/>
      </c>
    </row>
    <row r="16">
      <c r="A16" t="n">
        <v>2023</v>
      </c>
      <c r="B16" s="8">
        <f>B6/$H6</f>
        <v/>
      </c>
      <c r="C16" s="8">
        <f>C6/$H6</f>
        <v/>
      </c>
      <c r="D16" s="8">
        <f>D6/($G6/100)</f>
        <v/>
      </c>
      <c r="E16" s="8">
        <f>E6/($G6/100)</f>
        <v/>
      </c>
    </row>
    <row r="17">
      <c r="A17" t="n">
        <v>2024</v>
      </c>
      <c r="B17" s="8">
        <f>B7/$H7</f>
        <v/>
      </c>
      <c r="C17" s="8">
        <f>C7/$H7</f>
        <v/>
      </c>
      <c r="D17" s="8">
        <f>D7/($G7/100)</f>
        <v/>
      </c>
      <c r="E17" s="8">
        <f>E7/($G7/100)</f>
        <v/>
      </c>
    </row>
    <row r="18">
      <c r="A18" t="n">
        <v>2025</v>
      </c>
      <c r="B18" s="8">
        <f>B8/$H8</f>
        <v/>
      </c>
      <c r="C18" s="8">
        <f>C8/$H8</f>
        <v/>
      </c>
      <c r="D18" s="8">
        <f>D8/($G8/100)</f>
        <v/>
      </c>
      <c r="E18" s="8">
        <f>E8/($G8/100)</f>
        <v/>
      </c>
    </row>
    <row r="20">
      <c r="B20" s="9" t="inlineStr">
        <is>
          <t>Real Growth Rates</t>
        </is>
      </c>
    </row>
    <row r="21">
      <c r="B21" s="2" t="inlineStr">
        <is>
          <t>GovernmentConsumption</t>
        </is>
      </c>
      <c r="C21" s="2" t="inlineStr">
        <is>
          <t>GovernmentInvestment</t>
        </is>
      </c>
      <c r="D21" s="2" t="inlineStr">
        <is>
          <t>Transfers</t>
        </is>
      </c>
      <c r="E21" s="2" t="inlineStr">
        <is>
          <t>OilRevenue</t>
        </is>
      </c>
    </row>
    <row r="22">
      <c r="A22" t="n">
        <v>2019</v>
      </c>
    </row>
    <row r="23">
      <c r="A23" t="n">
        <v>2020</v>
      </c>
      <c r="B23" s="6">
        <f>B13/B12-1</f>
        <v/>
      </c>
      <c r="C23" s="6">
        <f>C13/C12-1</f>
        <v/>
      </c>
      <c r="D23" s="6">
        <f>D13/D12-1</f>
        <v/>
      </c>
      <c r="E23" s="6">
        <f>E13/E12-1</f>
        <v/>
      </c>
    </row>
    <row r="24">
      <c r="A24" t="n">
        <v>2021</v>
      </c>
      <c r="B24" s="6">
        <f>B14/B13-1</f>
        <v/>
      </c>
      <c r="C24" s="6">
        <f>C14/C13-1</f>
        <v/>
      </c>
      <c r="D24" s="6">
        <f>D14/D13-1</f>
        <v/>
      </c>
      <c r="E24" s="6">
        <f>E14/E13-1</f>
        <v/>
      </c>
    </row>
    <row r="25">
      <c r="A25" t="n">
        <v>2022</v>
      </c>
      <c r="B25" s="6">
        <f>B15/B14-1</f>
        <v/>
      </c>
      <c r="C25" s="6">
        <f>C15/C14-1</f>
        <v/>
      </c>
      <c r="D25" s="6">
        <f>D15/D14-1</f>
        <v/>
      </c>
      <c r="E25" s="6">
        <f>E15/E14-1</f>
        <v/>
      </c>
    </row>
    <row r="26">
      <c r="A26" t="n">
        <v>2023</v>
      </c>
      <c r="B26" s="6">
        <f>B16/B15-1</f>
        <v/>
      </c>
      <c r="C26" s="6">
        <f>C16/C15-1</f>
        <v/>
      </c>
      <c r="D26" s="6">
        <f>D16/D15-1</f>
        <v/>
      </c>
      <c r="E26" s="6">
        <f>E16/E15-1</f>
        <v/>
      </c>
    </row>
    <row r="27">
      <c r="A27" t="n">
        <v>2024</v>
      </c>
      <c r="B27" s="6">
        <f>B17/B16-1</f>
        <v/>
      </c>
      <c r="C27" s="6">
        <f>C17/C16-1</f>
        <v/>
      </c>
      <c r="D27" s="6">
        <f>D17/D16-1</f>
        <v/>
      </c>
      <c r="E27" s="6">
        <f>E17/E16-1</f>
        <v/>
      </c>
    </row>
    <row r="28">
      <c r="A28" t="n">
        <v>2025</v>
      </c>
      <c r="B28" s="6">
        <f>B18/B17-1</f>
        <v/>
      </c>
      <c r="C28" s="6">
        <f>C18/C17-1</f>
        <v/>
      </c>
      <c r="D28" s="6">
        <f>D18/D17-1</f>
        <v/>
      </c>
      <c r="E28" s="6">
        <f>E18/E17-1</f>
        <v/>
      </c>
    </row>
  </sheetData>
  <mergeCells count="3">
    <mergeCell ref="B20:G20"/>
    <mergeCell ref="B10:G10"/>
    <mergeCell ref="P1:S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B2" sqref="B2"/>
    </sheetView>
  </sheetViews>
  <sheetFormatPr baseColWidth="8" defaultRowHeight="14.5"/>
  <sheetData>
    <row r="1">
      <c r="B1" t="inlineStr">
        <is>
          <t>Government Consumption</t>
        </is>
      </c>
      <c r="C1" t="inlineStr">
        <is>
          <t>Government Investment</t>
        </is>
      </c>
      <c r="D1" t="inlineStr">
        <is>
          <t>Transfers</t>
        </is>
      </c>
      <c r="E1" t="inlineStr">
        <is>
          <t>OilRevenue</t>
        </is>
      </c>
    </row>
    <row r="2">
      <c r="A2" t="inlineStr">
        <is>
          <t>2019Q1</t>
        </is>
      </c>
      <c r="B2" t="n">
        <v>5096.72752554687</v>
      </c>
      <c r="C2" t="n">
        <v>2460.46093816406</v>
      </c>
      <c r="D2" t="n">
        <v>1009.78302980468</v>
      </c>
      <c r="E2" t="n">
        <v>3419.3479869375</v>
      </c>
    </row>
    <row r="3">
      <c r="A3" t="inlineStr">
        <is>
          <t>2019Q2</t>
        </is>
      </c>
      <c r="B3" t="n">
        <v>5134.97764132812</v>
      </c>
      <c r="C3" t="n">
        <v>2165.93468077343</v>
      </c>
      <c r="D3" t="n">
        <v>853.439913757812</v>
      </c>
      <c r="E3" t="n">
        <v>2766.7725876875</v>
      </c>
    </row>
    <row r="4">
      <c r="A4" t="inlineStr">
        <is>
          <t>2019Q3</t>
        </is>
      </c>
      <c r="B4" t="n">
        <v>5164.37505789062</v>
      </c>
      <c r="C4" t="n">
        <v>1918.98687130468</v>
      </c>
      <c r="D4" t="n">
        <v>731.878934976562</v>
      </c>
      <c r="E4" t="n">
        <v>2241.247765375</v>
      </c>
    </row>
    <row r="5">
      <c r="A5" t="inlineStr">
        <is>
          <t>2019Q4</t>
        </is>
      </c>
      <c r="B5" t="n">
        <v>5184.91977523437</v>
      </c>
      <c r="C5" t="n">
        <v>1719.61750975781</v>
      </c>
      <c r="D5" t="n">
        <v>645.100093460937</v>
      </c>
      <c r="E5" t="n">
        <v>1842.77352</v>
      </c>
    </row>
    <row r="6">
      <c r="A6" t="inlineStr">
        <is>
          <t>2020Q1</t>
        </is>
      </c>
      <c r="B6" t="n">
        <v>5196.61179335937</v>
      </c>
      <c r="C6" t="n">
        <v>1567.82659613281</v>
      </c>
      <c r="D6" t="n">
        <v>593.1033892109371</v>
      </c>
      <c r="E6" t="n">
        <v>1571.3498515625</v>
      </c>
    </row>
    <row r="7">
      <c r="A7" t="inlineStr">
        <is>
          <t>2020Q2</t>
        </is>
      </c>
      <c r="B7" t="n">
        <v>5199.45111226562</v>
      </c>
      <c r="C7" t="n">
        <v>1463.61413042968</v>
      </c>
      <c r="D7" t="n">
        <v>575.888822226562</v>
      </c>
      <c r="E7" t="n">
        <v>1426.9767600625</v>
      </c>
    </row>
    <row r="8">
      <c r="A8" t="inlineStr">
        <is>
          <t>2020Q3</t>
        </is>
      </c>
      <c r="B8" t="n">
        <v>5193.43773195312</v>
      </c>
      <c r="C8" t="n">
        <v>1406.98011264843</v>
      </c>
      <c r="D8" t="n">
        <v>593.456392507812</v>
      </c>
      <c r="E8" t="n">
        <v>1409.6542455</v>
      </c>
    </row>
    <row r="9">
      <c r="A9" t="inlineStr">
        <is>
          <t>2020Q4</t>
        </is>
      </c>
      <c r="B9" t="n">
        <v>5178.57165242187</v>
      </c>
      <c r="C9" t="n">
        <v>1397.92454278906</v>
      </c>
      <c r="D9" t="n">
        <v>645.806100054687</v>
      </c>
      <c r="E9" t="n">
        <v>1519.382307875</v>
      </c>
    </row>
    <row r="10">
      <c r="A10" t="inlineStr">
        <is>
          <t>2021Q1</t>
        </is>
      </c>
      <c r="B10" t="n">
        <v>5149.34505921875</v>
      </c>
      <c r="C10" t="n">
        <v>1583.55175389843</v>
      </c>
      <c r="D10" t="n">
        <v>857.847306390625</v>
      </c>
      <c r="E10" t="n">
        <v>2106.34357636718</v>
      </c>
    </row>
    <row r="11">
      <c r="A11" t="inlineStr">
        <is>
          <t>2021Q2</t>
        </is>
      </c>
      <c r="B11" t="n">
        <v>5118.97670703124</v>
      </c>
      <c r="C11" t="n">
        <v>1610.81134666406</v>
      </c>
      <c r="D11" t="n">
        <v>929.797543859375</v>
      </c>
      <c r="E11" t="n">
        <v>2330.09974094531</v>
      </c>
    </row>
    <row r="12">
      <c r="A12" t="inlineStr">
        <is>
          <t>2021Q3</t>
        </is>
      </c>
      <c r="B12" t="n">
        <v>5081.95878140624</v>
      </c>
      <c r="C12" t="n">
        <v>1626.80765413281</v>
      </c>
      <c r="D12" t="n">
        <v>986.566173984375</v>
      </c>
      <c r="E12" t="n">
        <v>2540.83343078906</v>
      </c>
    </row>
    <row r="13">
      <c r="A13" t="inlineStr">
        <is>
          <t>2021Q4</t>
        </is>
      </c>
      <c r="B13" t="n">
        <v>5038.29128234374</v>
      </c>
      <c r="C13" t="n">
        <v>1631.54067630468</v>
      </c>
      <c r="D13" t="n">
        <v>1028.15319676562</v>
      </c>
      <c r="E13" t="n">
        <v>2738.54464589843</v>
      </c>
    </row>
    <row r="14">
      <c r="A14" t="inlineStr">
        <is>
          <t>2022Q1</t>
        </is>
      </c>
      <c r="B14" t="n">
        <v>4933.67741726562</v>
      </c>
      <c r="C14" t="n">
        <v>1582.7180405625</v>
      </c>
      <c r="D14" t="n">
        <v>1056.51225692968</v>
      </c>
      <c r="E14" t="n">
        <v>3053.35354771875</v>
      </c>
    </row>
    <row r="15">
      <c r="A15" t="inlineStr">
        <is>
          <t>2022Q2</t>
        </is>
      </c>
      <c r="B15" t="n">
        <v>4898.42948835937</v>
      </c>
      <c r="C15" t="n">
        <v>1581.8414411875</v>
      </c>
      <c r="D15" t="n">
        <v>1066.95460713281</v>
      </c>
      <c r="E15" t="n">
        <v>3172.97174878125</v>
      </c>
    </row>
    <row r="16">
      <c r="A16" t="inlineStr">
        <is>
          <t>2022Q3</t>
        </is>
      </c>
      <c r="B16" t="n">
        <v>4878.25070304687</v>
      </c>
      <c r="C16" t="n">
        <v>1586.61850556249</v>
      </c>
      <c r="D16" t="n">
        <v>1061.43389210156</v>
      </c>
      <c r="E16" t="n">
        <v>3227.51941053125</v>
      </c>
    </row>
    <row r="17">
      <c r="A17" t="inlineStr">
        <is>
          <t>2022Q4</t>
        </is>
      </c>
      <c r="B17" t="n">
        <v>4873.14106132812</v>
      </c>
      <c r="C17" t="n">
        <v>1597.04923368749</v>
      </c>
      <c r="D17" t="n">
        <v>1039.95011183593</v>
      </c>
      <c r="E17" t="n">
        <v>3216.99653296874</v>
      </c>
    </row>
    <row r="18">
      <c r="A18" t="inlineStr">
        <is>
          <t>2023Q1</t>
        </is>
      </c>
      <c r="B18" t="n">
        <v>4922.83282765625</v>
      </c>
      <c r="C18" t="n">
        <v>1634.87932903906</v>
      </c>
      <c r="D18" t="n">
        <v>960.177489148437</v>
      </c>
      <c r="E18" t="n">
        <v>2973.544906875</v>
      </c>
    </row>
    <row r="19">
      <c r="A19" t="inlineStr">
        <is>
          <t>2023Q2</t>
        </is>
      </c>
      <c r="B19" t="n">
        <v>4931.96856734375</v>
      </c>
      <c r="C19" t="n">
        <v>1647.91910327343</v>
      </c>
      <c r="D19" t="n">
        <v>923.697889289062</v>
      </c>
      <c r="E19" t="n">
        <v>2900.024234375</v>
      </c>
    </row>
    <row r="20">
      <c r="A20" t="inlineStr">
        <is>
          <t>2023Q3</t>
        </is>
      </c>
      <c r="B20" t="n">
        <v>4940.28054484375</v>
      </c>
      <c r="C20" t="n">
        <v>1657.91425986718</v>
      </c>
      <c r="D20" t="n">
        <v>888.185535070312</v>
      </c>
      <c r="E20" t="n">
        <v>2828.57630625</v>
      </c>
    </row>
    <row r="21">
      <c r="A21" t="inlineStr">
        <is>
          <t>2023Q4</t>
        </is>
      </c>
      <c r="B21" t="n">
        <v>4947.76876015625</v>
      </c>
      <c r="C21" t="n">
        <v>1664.86479882031</v>
      </c>
      <c r="D21" t="n">
        <v>853.640426492187</v>
      </c>
      <c r="E21" t="n">
        <v>2759.2011225</v>
      </c>
    </row>
    <row r="22">
      <c r="A22" t="inlineStr">
        <is>
          <t>2024Q1</t>
        </is>
      </c>
      <c r="B22" t="n">
        <v>4941.83870078125</v>
      </c>
      <c r="C22" t="n">
        <v>1661.64027329687</v>
      </c>
      <c r="D22" t="n">
        <v>819.540869765625</v>
      </c>
      <c r="E22" t="n">
        <v>2690.09539792968</v>
      </c>
    </row>
    <row r="23">
      <c r="A23" t="inlineStr">
        <is>
          <t>2024Q2</t>
        </is>
      </c>
      <c r="B23" t="n">
        <v>4952.71719671875</v>
      </c>
      <c r="C23" t="n">
        <v>1665.35375570312</v>
      </c>
      <c r="D23" t="n">
        <v>787.138929984375</v>
      </c>
      <c r="E23" t="n">
        <v>2625.58701700781</v>
      </c>
    </row>
    <row r="24">
      <c r="A24" t="inlineStr">
        <is>
          <t>2024Q3</t>
        </is>
      </c>
      <c r="B24" t="n">
        <v>4967.80973546875</v>
      </c>
      <c r="C24" t="n">
        <v>1668.87479920312</v>
      </c>
      <c r="D24" t="n">
        <v>755.912913359375</v>
      </c>
      <c r="E24" t="n">
        <v>2563.87269453906</v>
      </c>
    </row>
    <row r="25">
      <c r="A25" t="inlineStr">
        <is>
          <t>2024Q4</t>
        </is>
      </c>
      <c r="B25" t="n">
        <v>4987.11631703125</v>
      </c>
      <c r="C25" t="n">
        <v>1672.20340379687</v>
      </c>
      <c r="D25" t="n">
        <v>725.862819890625</v>
      </c>
      <c r="E25" t="n">
        <v>2504.95243052343</v>
      </c>
    </row>
    <row r="26">
      <c r="A26" t="inlineStr">
        <is>
          <t>2025Q1</t>
        </is>
      </c>
      <c r="B26" t="n">
        <v>5010.63694140625</v>
      </c>
      <c r="C26" t="n">
        <v>1675.33956948437</v>
      </c>
      <c r="D26" t="n">
        <v>696.988649578125</v>
      </c>
      <c r="E26" t="n">
        <v>2448.82622496093</v>
      </c>
    </row>
    <row r="27">
      <c r="A27" t="inlineStr">
        <is>
          <t>2025Q2</t>
        </is>
      </c>
      <c r="B27" t="n">
        <v>5038.37160859375</v>
      </c>
      <c r="C27" t="n">
        <v>1678.28329626562</v>
      </c>
      <c r="D27" t="n">
        <v>669.290402421874</v>
      </c>
      <c r="E27" t="n">
        <v>2395.49407785156</v>
      </c>
    </row>
    <row r="28">
      <c r="A28" t="inlineStr">
        <is>
          <t>2025Q3</t>
        </is>
      </c>
      <c r="B28" t="n">
        <v>5070.32031859375</v>
      </c>
      <c r="C28" t="n">
        <v>1681.03458414062</v>
      </c>
      <c r="D28" t="n">
        <v>642.768078421874</v>
      </c>
      <c r="E28" t="n">
        <v>2344.95598919531</v>
      </c>
    </row>
    <row r="29">
      <c r="A29" t="inlineStr">
        <is>
          <t>2025Q4</t>
        </is>
      </c>
      <c r="B29" t="n">
        <v>5106.48307140625</v>
      </c>
      <c r="C29" t="n">
        <v>1683.59343310937</v>
      </c>
      <c r="D29" t="n">
        <v>617.421677578124</v>
      </c>
      <c r="E29" t="n">
        <v>2297.21195899218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Government Consumption</t>
        </is>
      </c>
      <c r="C1" t="inlineStr">
        <is>
          <t>Government Investment</t>
        </is>
      </c>
      <c r="D1" t="inlineStr">
        <is>
          <t>Transfers</t>
        </is>
      </c>
      <c r="E1" t="inlineStr">
        <is>
          <t>OilRevenue</t>
        </is>
      </c>
      <c r="F1" t="inlineStr">
        <is>
          <t>OilRevenue_up</t>
        </is>
      </c>
      <c r="G1" t="inlineStr">
        <is>
          <t>OilRevenue_down</t>
        </is>
      </c>
    </row>
    <row r="2">
      <c r="A2" t="inlineStr">
        <is>
          <t>2020q1</t>
        </is>
      </c>
      <c r="B2">
        <f>quarterly_levels!B7/quarterly_levels!B6</f>
        <v/>
      </c>
      <c r="C2">
        <f>quarterly_levels!C7/quarterly_levels!C6</f>
        <v/>
      </c>
      <c r="D2">
        <f>quarterly_levels!D7/quarterly_levels!D6</f>
        <v/>
      </c>
      <c r="E2">
        <f>quarterly_levels!E7/quarterly_levels!E6</f>
        <v/>
      </c>
      <c r="F2">
        <f>quarterly_levels!F7/quarterly_levels!F6</f>
        <v/>
      </c>
      <c r="G2">
        <f>quarterly_levels!G7/quarterly_levels!G6</f>
        <v/>
      </c>
    </row>
    <row r="3">
      <c r="B3">
        <f>quarterly_levels!B8/quarterly_levels!B7</f>
        <v/>
      </c>
      <c r="C3">
        <f>quarterly_levels!C8/quarterly_levels!C7</f>
        <v/>
      </c>
      <c r="D3">
        <f>quarterly_levels!D8/quarterly_levels!D7</f>
        <v/>
      </c>
      <c r="E3">
        <f>quarterly_levels!E8/quarterly_levels!E7</f>
        <v/>
      </c>
      <c r="F3">
        <f>quarterly_levels!F8/quarterly_levels!F7</f>
        <v/>
      </c>
      <c r="G3">
        <f>quarterly_levels!G8/quarterly_levels!G7</f>
        <v/>
      </c>
    </row>
    <row r="4">
      <c r="B4">
        <f>quarterly_levels!B9/quarterly_levels!B8</f>
        <v/>
      </c>
      <c r="C4">
        <f>quarterly_levels!C9/quarterly_levels!C8</f>
        <v/>
      </c>
      <c r="D4">
        <f>quarterly_levels!D9/quarterly_levels!D8</f>
        <v/>
      </c>
      <c r="E4">
        <f>quarterly_levels!E9/quarterly_levels!E8</f>
        <v/>
      </c>
      <c r="F4">
        <f>quarterly_levels!F9/quarterly_levels!F8</f>
        <v/>
      </c>
      <c r="G4">
        <f>quarterly_levels!G9/quarterly_levels!G8</f>
        <v/>
      </c>
    </row>
    <row r="5">
      <c r="B5">
        <f>quarterly_levels!B10/quarterly_levels!B9</f>
        <v/>
      </c>
      <c r="C5">
        <f>quarterly_levels!C10/quarterly_levels!C9</f>
        <v/>
      </c>
      <c r="D5">
        <f>quarterly_levels!D10/quarterly_levels!D9</f>
        <v/>
      </c>
      <c r="E5">
        <f>quarterly_levels!E10/quarterly_levels!E9</f>
        <v/>
      </c>
      <c r="F5">
        <f>quarterly_levels!F10/quarterly_levels!F9</f>
        <v/>
      </c>
      <c r="G5">
        <f>quarterly_levels!G10/quarterly_levels!G9</f>
        <v/>
      </c>
    </row>
    <row r="6">
      <c r="B6">
        <f>quarterly_levels!B11/quarterly_levels!B10</f>
        <v/>
      </c>
      <c r="C6">
        <f>quarterly_levels!C11/quarterly_levels!C10</f>
        <v/>
      </c>
      <c r="D6">
        <f>quarterly_levels!D11/quarterly_levels!D10</f>
        <v/>
      </c>
      <c r="E6">
        <f>quarterly_levels!E11/quarterly_levels!E10</f>
        <v/>
      </c>
      <c r="F6">
        <f>quarterly_levels!F11/quarterly_levels!F10</f>
        <v/>
      </c>
      <c r="G6">
        <f>quarterly_levels!G11/quarterly_levels!G10</f>
        <v/>
      </c>
    </row>
    <row r="7">
      <c r="B7">
        <f>quarterly_levels!B12/quarterly_levels!B11</f>
        <v/>
      </c>
      <c r="C7">
        <f>quarterly_levels!C12/quarterly_levels!C11</f>
        <v/>
      </c>
      <c r="D7">
        <f>quarterly_levels!D12/quarterly_levels!D11</f>
        <v/>
      </c>
      <c r="E7">
        <f>quarterly_levels!E12/quarterly_levels!E11</f>
        <v/>
      </c>
      <c r="F7">
        <f>quarterly_levels!F12/quarterly_levels!F11</f>
        <v/>
      </c>
      <c r="G7">
        <f>quarterly_levels!G12/quarterly_levels!G11</f>
        <v/>
      </c>
    </row>
    <row r="8">
      <c r="B8">
        <f>quarterly_levels!B13/quarterly_levels!B12</f>
        <v/>
      </c>
      <c r="C8">
        <f>quarterly_levels!C13/quarterly_levels!C12</f>
        <v/>
      </c>
      <c r="D8">
        <f>quarterly_levels!D13/quarterly_levels!D12</f>
        <v/>
      </c>
      <c r="E8">
        <f>quarterly_levels!E13/quarterly_levels!E12</f>
        <v/>
      </c>
      <c r="F8">
        <f>quarterly_levels!F13/quarterly_levels!F12</f>
        <v/>
      </c>
      <c r="G8">
        <f>quarterly_levels!G13/quarterly_levels!G12</f>
        <v/>
      </c>
    </row>
    <row r="9">
      <c r="B9">
        <f>quarterly_levels!B14/quarterly_levels!B13</f>
        <v/>
      </c>
      <c r="C9">
        <f>quarterly_levels!C14/quarterly_levels!C13</f>
        <v/>
      </c>
      <c r="D9">
        <f>quarterly_levels!D14/quarterly_levels!D13</f>
        <v/>
      </c>
      <c r="E9">
        <f>quarterly_levels!E14/quarterly_levels!E13</f>
        <v/>
      </c>
      <c r="F9">
        <f>quarterly_levels!F14/quarterly_levels!F13</f>
        <v/>
      </c>
      <c r="G9">
        <f>quarterly_levels!G14/quarterly_levels!G13</f>
        <v/>
      </c>
    </row>
    <row r="10">
      <c r="B10">
        <f>quarterly_levels!B15/quarterly_levels!B14</f>
        <v/>
      </c>
      <c r="C10">
        <f>quarterly_levels!C15/quarterly_levels!C14</f>
        <v/>
      </c>
      <c r="D10">
        <f>quarterly_levels!D15/quarterly_levels!D14</f>
        <v/>
      </c>
      <c r="E10">
        <f>quarterly_levels!E15/quarterly_levels!E14</f>
        <v/>
      </c>
      <c r="F10">
        <f>quarterly_levels!F15/quarterly_levels!F14</f>
        <v/>
      </c>
      <c r="G10">
        <f>quarterly_levels!G15/quarterly_levels!G14</f>
        <v/>
      </c>
    </row>
    <row r="11">
      <c r="B11">
        <f>quarterly_levels!B16/quarterly_levels!B15</f>
        <v/>
      </c>
      <c r="C11">
        <f>quarterly_levels!C16/quarterly_levels!C15</f>
        <v/>
      </c>
      <c r="D11">
        <f>quarterly_levels!D16/quarterly_levels!D15</f>
        <v/>
      </c>
      <c r="E11">
        <f>quarterly_levels!E16/quarterly_levels!E15</f>
        <v/>
      </c>
      <c r="F11">
        <f>quarterly_levels!F16/quarterly_levels!F15</f>
        <v/>
      </c>
      <c r="G11">
        <f>quarterly_levels!G16/quarterly_levels!G15</f>
        <v/>
      </c>
    </row>
    <row r="12">
      <c r="B12">
        <f>quarterly_levels!B17/quarterly_levels!B16</f>
        <v/>
      </c>
      <c r="C12">
        <f>quarterly_levels!C17/quarterly_levels!C16</f>
        <v/>
      </c>
      <c r="D12">
        <f>quarterly_levels!D17/quarterly_levels!D16</f>
        <v/>
      </c>
      <c r="E12">
        <f>quarterly_levels!E17/quarterly_levels!E16</f>
        <v/>
      </c>
      <c r="F12">
        <f>quarterly_levels!F17/quarterly_levels!F16</f>
        <v/>
      </c>
      <c r="G12">
        <f>quarterly_levels!G17/quarterly_levels!G16</f>
        <v/>
      </c>
    </row>
    <row r="13">
      <c r="B13">
        <f>quarterly_levels!B18/quarterly_levels!B17</f>
        <v/>
      </c>
      <c r="C13">
        <f>quarterly_levels!C18/quarterly_levels!C17</f>
        <v/>
      </c>
      <c r="D13">
        <f>quarterly_levels!D18/quarterly_levels!D17</f>
        <v/>
      </c>
      <c r="E13">
        <f>quarterly_levels!E18/quarterly_levels!E17</f>
        <v/>
      </c>
      <c r="F13">
        <f>quarterly_levels!F18/quarterly_levels!F17</f>
        <v/>
      </c>
      <c r="G13">
        <f>quarterly_levels!G18/quarterly_levels!G17</f>
        <v/>
      </c>
    </row>
    <row r="14">
      <c r="B14">
        <f>quarterly_levels!B19/quarterly_levels!B18</f>
        <v/>
      </c>
      <c r="C14">
        <f>quarterly_levels!C19/quarterly_levels!C18</f>
        <v/>
      </c>
      <c r="D14">
        <f>quarterly_levels!D19/quarterly_levels!D18</f>
        <v/>
      </c>
      <c r="E14">
        <f>quarterly_levels!E19/quarterly_levels!E18</f>
        <v/>
      </c>
      <c r="F14">
        <f>quarterly_levels!F19/quarterly_levels!F18</f>
        <v/>
      </c>
      <c r="G14">
        <f>quarterly_levels!G19/quarterly_levels!G18</f>
        <v/>
      </c>
    </row>
    <row r="15">
      <c r="B15">
        <f>quarterly_levels!B20/quarterly_levels!B19</f>
        <v/>
      </c>
      <c r="C15">
        <f>quarterly_levels!C20/quarterly_levels!C19</f>
        <v/>
      </c>
      <c r="D15">
        <f>quarterly_levels!D20/quarterly_levels!D19</f>
        <v/>
      </c>
      <c r="E15">
        <f>quarterly_levels!E20/quarterly_levels!E19</f>
        <v/>
      </c>
      <c r="F15">
        <f>quarterly_levels!F20/quarterly_levels!F19</f>
        <v/>
      </c>
      <c r="G15">
        <f>quarterly_levels!G20/quarterly_levels!G19</f>
        <v/>
      </c>
    </row>
    <row r="16">
      <c r="B16">
        <f>quarterly_levels!B21/quarterly_levels!B20</f>
        <v/>
      </c>
      <c r="C16">
        <f>quarterly_levels!C21/quarterly_levels!C20</f>
        <v/>
      </c>
      <c r="D16">
        <f>quarterly_levels!D21/quarterly_levels!D20</f>
        <v/>
      </c>
      <c r="E16">
        <f>quarterly_levels!E21/quarterly_levels!E20</f>
        <v/>
      </c>
      <c r="F16">
        <f>quarterly_levels!F21/quarterly_levels!F20</f>
        <v/>
      </c>
      <c r="G16">
        <f>quarterly_levels!G21/quarterly_levels!G20</f>
        <v/>
      </c>
    </row>
    <row r="17">
      <c r="B17">
        <f>quarterly_levels!B22/quarterly_levels!B21</f>
        <v/>
      </c>
      <c r="C17">
        <f>quarterly_levels!C22/quarterly_levels!C21</f>
        <v/>
      </c>
      <c r="D17">
        <f>quarterly_levels!D22/quarterly_levels!D21</f>
        <v/>
      </c>
      <c r="E17">
        <f>quarterly_levels!E22/quarterly_levels!E21</f>
        <v/>
      </c>
      <c r="F17">
        <f>quarterly_levels!F22/quarterly_levels!F21</f>
        <v/>
      </c>
      <c r="G17">
        <f>quarterly_levels!G22/quarterly_levels!G21</f>
        <v/>
      </c>
    </row>
    <row r="18">
      <c r="B18">
        <f>quarterly_levels!B23/quarterly_levels!B22</f>
        <v/>
      </c>
      <c r="C18">
        <f>quarterly_levels!C23/quarterly_levels!C22</f>
        <v/>
      </c>
      <c r="D18">
        <f>quarterly_levels!D23/quarterly_levels!D22</f>
        <v/>
      </c>
      <c r="E18">
        <f>quarterly_levels!E23/quarterly_levels!E22</f>
        <v/>
      </c>
      <c r="F18">
        <f>quarterly_levels!F23/quarterly_levels!F22</f>
        <v/>
      </c>
      <c r="G18">
        <f>quarterly_levels!G23/quarterly_levels!G22</f>
        <v/>
      </c>
    </row>
    <row r="19">
      <c r="B19">
        <f>quarterly_levels!B24/quarterly_levels!B23</f>
        <v/>
      </c>
      <c r="C19">
        <f>quarterly_levels!C24/quarterly_levels!C23</f>
        <v/>
      </c>
      <c r="D19">
        <f>quarterly_levels!D24/quarterly_levels!D23</f>
        <v/>
      </c>
      <c r="E19">
        <f>quarterly_levels!E24/quarterly_levels!E23</f>
        <v/>
      </c>
      <c r="F19">
        <f>quarterly_levels!F24/quarterly_levels!F23</f>
        <v/>
      </c>
      <c r="G19">
        <f>quarterly_levels!G24/quarterly_levels!G23</f>
        <v/>
      </c>
    </row>
    <row r="20">
      <c r="B20">
        <f>quarterly_levels!B25/quarterly_levels!B24</f>
        <v/>
      </c>
      <c r="C20">
        <f>quarterly_levels!C25/quarterly_levels!C24</f>
        <v/>
      </c>
      <c r="D20">
        <f>quarterly_levels!D25/quarterly_levels!D24</f>
        <v/>
      </c>
      <c r="E20">
        <f>quarterly_levels!E25/quarterly_levels!E24</f>
        <v/>
      </c>
      <c r="F20">
        <f>quarterly_levels!F25/quarterly_levels!F24</f>
        <v/>
      </c>
      <c r="G20">
        <f>quarterly_levels!G25/quarterly_levels!G24</f>
        <v/>
      </c>
    </row>
    <row r="21">
      <c r="B21">
        <f>quarterly_levels!B26/quarterly_levels!B25</f>
        <v/>
      </c>
      <c r="C21">
        <f>quarterly_levels!C26/quarterly_levels!C25</f>
        <v/>
      </c>
      <c r="D21">
        <f>quarterly_levels!D26/quarterly_levels!D25</f>
        <v/>
      </c>
      <c r="E21">
        <f>quarterly_levels!E26/quarterly_levels!E25</f>
        <v/>
      </c>
      <c r="F21">
        <f>quarterly_levels!F26/quarterly_levels!F25</f>
        <v/>
      </c>
      <c r="G21">
        <f>quarterly_levels!G26/quarterly_levels!G25</f>
        <v/>
      </c>
    </row>
    <row r="22">
      <c r="B22">
        <f>quarterly_levels!B27/quarterly_levels!B26</f>
        <v/>
      </c>
      <c r="C22">
        <f>quarterly_levels!C27/quarterly_levels!C26</f>
        <v/>
      </c>
      <c r="D22">
        <f>quarterly_levels!D27/quarterly_levels!D26</f>
        <v/>
      </c>
      <c r="E22">
        <f>quarterly_levels!E27/quarterly_levels!E26</f>
        <v/>
      </c>
      <c r="F22">
        <f>quarterly_levels!F27/quarterly_levels!F26</f>
        <v/>
      </c>
      <c r="G22">
        <f>quarterly_levels!G27/quarterly_levels!G26</f>
        <v/>
      </c>
    </row>
    <row r="23">
      <c r="B23">
        <f>quarterly_levels!B28/quarterly_levels!B27</f>
        <v/>
      </c>
      <c r="C23">
        <f>quarterly_levels!C28/quarterly_levels!C27</f>
        <v/>
      </c>
      <c r="D23">
        <f>quarterly_levels!D28/quarterly_levels!D27</f>
        <v/>
      </c>
      <c r="E23">
        <f>quarterly_levels!E28/quarterly_levels!E27</f>
        <v/>
      </c>
      <c r="F23">
        <f>quarterly_levels!F28/quarterly_levels!F27</f>
        <v/>
      </c>
      <c r="G23">
        <f>quarterly_levels!G28/quarterly_levels!G27</f>
        <v/>
      </c>
    </row>
    <row r="24">
      <c r="B24">
        <f>quarterly_levels!B29/quarterly_levels!B28</f>
        <v/>
      </c>
      <c r="C24">
        <f>quarterly_levels!C29/quarterly_levels!C28</f>
        <v/>
      </c>
      <c r="D24">
        <f>quarterly_levels!D29/quarterly_levels!D28</f>
        <v/>
      </c>
      <c r="E24">
        <f>quarterly_levels!E29/quarterly_levels!E28</f>
        <v/>
      </c>
      <c r="F24">
        <f>quarterly_levels!F29/quarterly_levels!F28</f>
        <v/>
      </c>
      <c r="G24">
        <f>quarterly_levels!G29/quarterly_levels!G28</f>
        <v/>
      </c>
    </row>
    <row r="25">
      <c r="B25">
        <f>quarterly_levels!B30/quarterly_levels!B29</f>
        <v/>
      </c>
      <c r="C25">
        <f>quarterly_levels!C30/quarterly_levels!C29</f>
        <v/>
      </c>
      <c r="D25">
        <f>quarterly_levels!D30/quarterly_levels!D29</f>
        <v/>
      </c>
      <c r="E25">
        <f>quarterly_levels!E30/quarterly_levels!E29</f>
        <v/>
      </c>
      <c r="F25">
        <f>quarterly_levels!F30/quarterly_levels!F29</f>
        <v/>
      </c>
      <c r="G25">
        <f>quarterly_levels!G30/quarterly_levels!G29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Manuel Gonzalez-Astudillo</dc:creator>
  <dcterms:created xmlns:dcterms="http://purl.org/dc/terms/" xmlns:xsi="http://www.w3.org/2001/XMLSchema-instance" xsi:type="dcterms:W3CDTF">2022-08-11T22:38:44Z</dcterms:created>
  <dcterms:modified xmlns:dcterms="http://purl.org/dc/terms/" xmlns:xsi="http://www.w3.org/2001/XMLSchema-instance" xsi:type="dcterms:W3CDTF">2026-05-06T18:33:56Z</dcterms:modified>
  <cp:lastModifiedBy>Manuel Gonzalez-Astudillo</cp:lastModifiedBy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58fa293e-e4df-4e65-b974-60d7a8d34199</vt:lpwstr>
  </property>
  <property name="MSIP_Label_020c9e8b-b879-4ade-97ac-60b9c2bff5e3_Enabled" fmtid="{D5CDD505-2E9C-101B-9397-08002B2CF9AE}" pid="3">
    <vt:lpwstr xmlns:vt="http://schemas.openxmlformats.org/officeDocument/2006/docPropsVTypes">true</vt:lpwstr>
  </property>
  <property name="MSIP_Label_020c9e8b-b879-4ade-97ac-60b9c2bff5e3_SetDate" fmtid="{D5CDD505-2E9C-101B-9397-08002B2CF9AE}" pid="4">
    <vt:lpwstr xmlns:vt="http://schemas.openxmlformats.org/officeDocument/2006/docPropsVTypes">2022-11-09T02:08:01Z</vt:lpwstr>
  </property>
  <property name="MSIP_Label_020c9e8b-b879-4ade-97ac-60b9c2bff5e3_Method" fmtid="{D5CDD505-2E9C-101B-9397-08002B2CF9AE}" pid="5">
    <vt:lpwstr xmlns:vt="http://schemas.openxmlformats.org/officeDocument/2006/docPropsVTypes">Privileged</vt:lpwstr>
  </property>
  <property name="MSIP_Label_020c9e8b-b879-4ade-97ac-60b9c2bff5e3_Name" fmtid="{D5CDD505-2E9C-101B-9397-08002B2CF9AE}" pid="6">
    <vt:lpwstr xmlns:vt="http://schemas.openxmlformats.org/officeDocument/2006/docPropsVTypes">PERSONAL-NONWORK - EXTERNAL</vt:lpwstr>
  </property>
  <property name="MSIP_Label_020c9e8b-b879-4ade-97ac-60b9c2bff5e3_SiteId" fmtid="{D5CDD505-2E9C-101B-9397-08002B2CF9AE}" pid="7">
    <vt:lpwstr xmlns:vt="http://schemas.openxmlformats.org/officeDocument/2006/docPropsVTypes">87bb2570-5c1e-4973-9c37-09257a95aeb1</vt:lpwstr>
  </property>
  <property name="MSIP_Label_020c9e8b-b879-4ade-97ac-60b9c2bff5e3_ActionId" fmtid="{D5CDD505-2E9C-101B-9397-08002B2CF9AE}" pid="8">
    <vt:lpwstr xmlns:vt="http://schemas.openxmlformats.org/officeDocument/2006/docPropsVTypes">2ff78c6e-2191-4fae-b558-c552637b884c</vt:lpwstr>
  </property>
  <property name="MSIP_Label_020c9e8b-b879-4ade-97ac-60b9c2bff5e3_ContentBits" fmtid="{D5CDD505-2E9C-101B-9397-08002B2CF9AE}" pid="9">
    <vt:lpwstr xmlns:vt="http://schemas.openxmlformats.org/officeDocument/2006/docPropsVTypes">1</vt:lpwstr>
  </property>
</Properties>
</file>