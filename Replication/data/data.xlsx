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629A0EEC-4966-47B0-9322-C0193D45C8E1}" xr6:coauthVersionLast="47" xr6:coauthVersionMax="47" xr10:uidLastSave="{00000000-0000-0000-0000-000000000000}"/>
  <bookViews>
    <workbookView xWindow="-110" yWindow="-110" windowWidth="34620" windowHeight="14020" firstSheet="6" activeTab="13" xr2:uid="{00000000-000D-0000-FFFF-FFFF00000000}"/>
  </bookViews>
  <sheets>
    <sheet name="quarterly" sheetId="1" r:id="rId1"/>
    <sheet name="monthly" sheetId="14" r:id="rId2"/>
    <sheet name="annual" sheetId="23" r:id="rId3"/>
    <sheet name="real_exchange_rate" sheetId="22" r:id="rId4"/>
    <sheet name="debt" sheetId="21" r:id="rId5"/>
    <sheet name="consumption_investment_governme" sheetId="3" r:id="rId6"/>
    <sheet name="oilGDPreal" sheetId="5" r:id="rId7"/>
    <sheet name="oilGDPnominal" sheetId="19" r:id="rId8"/>
    <sheet name="worldGDP" sheetId="7" r:id="rId9"/>
    <sheet name="US_GDP_deflator" sheetId="18" r:id="rId10"/>
    <sheet name="3-month_Tbill" sheetId="6" r:id="rId11"/>
    <sheet name="oilprice" sheetId="8" r:id="rId12"/>
    <sheet name="oilprod" sheetId="24" r:id="rId13"/>
    <sheet name="oilrevenue" sheetId="25" r:id="rId14"/>
    <sheet name="EMBI" sheetId="16" r:id="rId15"/>
    <sheet name="fiscal" sheetId="13" r:id="rId16"/>
    <sheet name="g_consumption" sheetId="9" r:id="rId17"/>
    <sheet name="g_wages" sheetId="12" r:id="rId18"/>
    <sheet name="g_fbkf" sheetId="10" r:id="rId19"/>
    <sheet name="g_transfers" sheetId="11" r:id="rId20"/>
    <sheet name="tax_receipts" sheetId="20" r:id="rId21"/>
    <sheet name="Shares" sheetId="15" r:id="rId22"/>
  </sheets>
  <externalReferences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9" i="25" l="1"/>
  <c r="G158" i="25"/>
  <c r="E157" i="25"/>
  <c r="E145" i="25"/>
  <c r="E133" i="25"/>
  <c r="E121" i="25"/>
  <c r="E109" i="25"/>
  <c r="E97" i="25"/>
  <c r="E85" i="25"/>
  <c r="E73" i="25"/>
  <c r="E61" i="25"/>
  <c r="E49" i="25"/>
  <c r="E37" i="25"/>
  <c r="E25" i="25"/>
  <c r="E13" i="25"/>
  <c r="C157" i="25"/>
  <c r="C145" i="25"/>
  <c r="C133" i="25"/>
  <c r="C121" i="25"/>
  <c r="C109" i="25"/>
  <c r="C97" i="25"/>
  <c r="C85" i="25"/>
  <c r="C73" i="25"/>
  <c r="C61" i="25"/>
  <c r="C49" i="25"/>
  <c r="C37" i="25"/>
  <c r="C25" i="25"/>
  <c r="C13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2" i="25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" i="24"/>
  <c r="S81" i="1"/>
  <c r="S77" i="1"/>
  <c r="S73" i="1"/>
  <c r="S69" i="1"/>
  <c r="S65" i="1"/>
  <c r="S61" i="1"/>
  <c r="S57" i="1"/>
  <c r="S53" i="1"/>
  <c r="S49" i="1"/>
  <c r="S45" i="1"/>
  <c r="S41" i="1"/>
  <c r="S37" i="1"/>
  <c r="S33" i="1"/>
  <c r="S29" i="1"/>
  <c r="S25" i="1"/>
  <c r="S21" i="1"/>
  <c r="K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" i="11"/>
  <c r="EC49" i="13" l="1"/>
  <c r="EB49" i="13"/>
  <c r="EA49" i="13"/>
  <c r="DZ49" i="13"/>
  <c r="DY49" i="13"/>
  <c r="DX49" i="13"/>
  <c r="DW49" i="13"/>
  <c r="DV49" i="13"/>
  <c r="DU49" i="13"/>
  <c r="DT49" i="13"/>
  <c r="DS49" i="13"/>
  <c r="DR49" i="13"/>
  <c r="L3" i="14" l="1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" i="14"/>
  <c r="P3" i="14" l="1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" i="14"/>
  <c r="M3" i="14" l="1"/>
  <c r="N3" i="14"/>
  <c r="O3" i="14"/>
  <c r="M4" i="14"/>
  <c r="N4" i="14"/>
  <c r="O4" i="14"/>
  <c r="M5" i="14"/>
  <c r="N5" i="14"/>
  <c r="O5" i="14"/>
  <c r="M6" i="14"/>
  <c r="N6" i="14"/>
  <c r="O6" i="14"/>
  <c r="M7" i="14"/>
  <c r="N7" i="14"/>
  <c r="O7" i="14"/>
  <c r="M8" i="14"/>
  <c r="N8" i="14"/>
  <c r="O8" i="14"/>
  <c r="M9" i="14"/>
  <c r="N9" i="14"/>
  <c r="O9" i="14"/>
  <c r="M10" i="14"/>
  <c r="N10" i="14"/>
  <c r="O10" i="14"/>
  <c r="M11" i="14"/>
  <c r="N11" i="14"/>
  <c r="O11" i="14"/>
  <c r="M12" i="14"/>
  <c r="N12" i="14"/>
  <c r="O12" i="14"/>
  <c r="M13" i="14"/>
  <c r="N13" i="14"/>
  <c r="O13" i="14"/>
  <c r="M14" i="14"/>
  <c r="N14" i="14"/>
  <c r="O14" i="14"/>
  <c r="M15" i="14"/>
  <c r="N15" i="14"/>
  <c r="O15" i="14"/>
  <c r="M16" i="14"/>
  <c r="N16" i="14"/>
  <c r="O16" i="14"/>
  <c r="M17" i="14"/>
  <c r="N17" i="14"/>
  <c r="O17" i="14"/>
  <c r="M18" i="14"/>
  <c r="N18" i="14"/>
  <c r="O18" i="14"/>
  <c r="M19" i="14"/>
  <c r="N19" i="14"/>
  <c r="O19" i="14"/>
  <c r="M20" i="14"/>
  <c r="N20" i="14"/>
  <c r="O20" i="14"/>
  <c r="M21" i="14"/>
  <c r="N21" i="14"/>
  <c r="O21" i="14"/>
  <c r="M22" i="14"/>
  <c r="N22" i="14"/>
  <c r="O22" i="14"/>
  <c r="M23" i="14"/>
  <c r="N23" i="14"/>
  <c r="O23" i="14"/>
  <c r="M24" i="14"/>
  <c r="N24" i="14"/>
  <c r="O24" i="14"/>
  <c r="M25" i="14"/>
  <c r="N25" i="14"/>
  <c r="O25" i="14"/>
  <c r="M26" i="14"/>
  <c r="N26" i="14"/>
  <c r="O26" i="14"/>
  <c r="M27" i="14"/>
  <c r="N27" i="14"/>
  <c r="O27" i="14"/>
  <c r="M28" i="14"/>
  <c r="N28" i="14"/>
  <c r="O28" i="14"/>
  <c r="M29" i="14"/>
  <c r="N29" i="14"/>
  <c r="O29" i="14"/>
  <c r="M30" i="14"/>
  <c r="N30" i="14"/>
  <c r="O30" i="14"/>
  <c r="M31" i="14"/>
  <c r="N31" i="14"/>
  <c r="O31" i="14"/>
  <c r="M32" i="14"/>
  <c r="N32" i="14"/>
  <c r="O32" i="14"/>
  <c r="M33" i="14"/>
  <c r="N33" i="14"/>
  <c r="O33" i="14"/>
  <c r="M34" i="14"/>
  <c r="N34" i="14"/>
  <c r="O34" i="14"/>
  <c r="M35" i="14"/>
  <c r="N35" i="14"/>
  <c r="O35" i="14"/>
  <c r="M36" i="14"/>
  <c r="N36" i="14"/>
  <c r="O36" i="14"/>
  <c r="M37" i="14"/>
  <c r="N37" i="14"/>
  <c r="O37" i="14"/>
  <c r="M38" i="14"/>
  <c r="N38" i="14"/>
  <c r="O38" i="14"/>
  <c r="M39" i="14"/>
  <c r="N39" i="14"/>
  <c r="O39" i="14"/>
  <c r="M40" i="14"/>
  <c r="N40" i="14"/>
  <c r="O40" i="14"/>
  <c r="M41" i="14"/>
  <c r="N41" i="14"/>
  <c r="O41" i="14"/>
  <c r="M42" i="14"/>
  <c r="N42" i="14"/>
  <c r="O42" i="14"/>
  <c r="M43" i="14"/>
  <c r="N43" i="14"/>
  <c r="O43" i="14"/>
  <c r="M44" i="14"/>
  <c r="N44" i="14"/>
  <c r="O44" i="14"/>
  <c r="M45" i="14"/>
  <c r="N45" i="14"/>
  <c r="O45" i="14"/>
  <c r="M46" i="14"/>
  <c r="N46" i="14"/>
  <c r="O46" i="14"/>
  <c r="M47" i="14"/>
  <c r="N47" i="14"/>
  <c r="O47" i="14"/>
  <c r="M48" i="14"/>
  <c r="N48" i="14"/>
  <c r="O48" i="14"/>
  <c r="M49" i="14"/>
  <c r="N49" i="14"/>
  <c r="O49" i="14"/>
  <c r="M50" i="14"/>
  <c r="N50" i="14"/>
  <c r="O50" i="14"/>
  <c r="M51" i="14"/>
  <c r="N51" i="14"/>
  <c r="O51" i="14"/>
  <c r="M52" i="14"/>
  <c r="N52" i="14"/>
  <c r="O52" i="14"/>
  <c r="M53" i="14"/>
  <c r="N53" i="14"/>
  <c r="O53" i="14"/>
  <c r="M54" i="14"/>
  <c r="N54" i="14"/>
  <c r="O54" i="14"/>
  <c r="M55" i="14"/>
  <c r="N55" i="14"/>
  <c r="O55" i="14"/>
  <c r="M56" i="14"/>
  <c r="N56" i="14"/>
  <c r="O56" i="14"/>
  <c r="M57" i="14"/>
  <c r="N57" i="14"/>
  <c r="O57" i="14"/>
  <c r="M58" i="14"/>
  <c r="N58" i="14"/>
  <c r="O58" i="14"/>
  <c r="M59" i="14"/>
  <c r="N59" i="14"/>
  <c r="O59" i="14"/>
  <c r="M60" i="14"/>
  <c r="N60" i="14"/>
  <c r="O60" i="14"/>
  <c r="M61" i="14"/>
  <c r="N61" i="14"/>
  <c r="O61" i="14"/>
  <c r="M62" i="14"/>
  <c r="N62" i="14"/>
  <c r="O62" i="14"/>
  <c r="M63" i="14"/>
  <c r="N63" i="14"/>
  <c r="O63" i="14"/>
  <c r="M64" i="14"/>
  <c r="N64" i="14"/>
  <c r="O64" i="14"/>
  <c r="M65" i="14"/>
  <c r="N65" i="14"/>
  <c r="O65" i="14"/>
  <c r="M66" i="14"/>
  <c r="N66" i="14"/>
  <c r="O66" i="14"/>
  <c r="M67" i="14"/>
  <c r="N67" i="14"/>
  <c r="O67" i="14"/>
  <c r="M68" i="14"/>
  <c r="N68" i="14"/>
  <c r="O68" i="14"/>
  <c r="M69" i="14"/>
  <c r="N69" i="14"/>
  <c r="O69" i="14"/>
  <c r="M70" i="14"/>
  <c r="N70" i="14"/>
  <c r="O70" i="14"/>
  <c r="M71" i="14"/>
  <c r="N71" i="14"/>
  <c r="O71" i="14"/>
  <c r="M72" i="14"/>
  <c r="N72" i="14"/>
  <c r="O72" i="14"/>
  <c r="M73" i="14"/>
  <c r="N73" i="14"/>
  <c r="O73" i="14"/>
  <c r="M74" i="14"/>
  <c r="N74" i="14"/>
  <c r="O74" i="14"/>
  <c r="M75" i="14"/>
  <c r="N75" i="14"/>
  <c r="O75" i="14"/>
  <c r="M76" i="14"/>
  <c r="N76" i="14"/>
  <c r="O76" i="14"/>
  <c r="M77" i="14"/>
  <c r="N77" i="14"/>
  <c r="O77" i="14"/>
  <c r="M78" i="14"/>
  <c r="N78" i="14"/>
  <c r="O78" i="14"/>
  <c r="M79" i="14"/>
  <c r="N79" i="14"/>
  <c r="O79" i="14"/>
  <c r="M80" i="14"/>
  <c r="N80" i="14"/>
  <c r="O80" i="14"/>
  <c r="M81" i="14"/>
  <c r="N81" i="14"/>
  <c r="O81" i="14"/>
  <c r="M82" i="14"/>
  <c r="N82" i="14"/>
  <c r="O82" i="14"/>
  <c r="M83" i="14"/>
  <c r="N83" i="14"/>
  <c r="O83" i="14"/>
  <c r="M84" i="14"/>
  <c r="N84" i="14"/>
  <c r="O84" i="14"/>
  <c r="M85" i="14"/>
  <c r="N85" i="14"/>
  <c r="O85" i="14"/>
  <c r="M86" i="14"/>
  <c r="N86" i="14"/>
  <c r="O86" i="14"/>
  <c r="M87" i="14"/>
  <c r="N87" i="14"/>
  <c r="O87" i="14"/>
  <c r="M88" i="14"/>
  <c r="N88" i="14"/>
  <c r="O88" i="14"/>
  <c r="M89" i="14"/>
  <c r="N89" i="14"/>
  <c r="O89" i="14"/>
  <c r="M90" i="14"/>
  <c r="N90" i="14"/>
  <c r="O90" i="14"/>
  <c r="M91" i="14"/>
  <c r="N91" i="14"/>
  <c r="O91" i="14"/>
  <c r="M92" i="14"/>
  <c r="N92" i="14"/>
  <c r="O92" i="14"/>
  <c r="M93" i="14"/>
  <c r="N93" i="14"/>
  <c r="O93" i="14"/>
  <c r="M94" i="14"/>
  <c r="N94" i="14"/>
  <c r="O94" i="14"/>
  <c r="M95" i="14"/>
  <c r="N95" i="14"/>
  <c r="O95" i="14"/>
  <c r="M96" i="14"/>
  <c r="N96" i="14"/>
  <c r="O96" i="14"/>
  <c r="M97" i="14"/>
  <c r="N97" i="14"/>
  <c r="O97" i="14"/>
  <c r="M98" i="14"/>
  <c r="N98" i="14"/>
  <c r="O98" i="14"/>
  <c r="M99" i="14"/>
  <c r="N99" i="14"/>
  <c r="O99" i="14"/>
  <c r="M100" i="14"/>
  <c r="N100" i="14"/>
  <c r="O100" i="14"/>
  <c r="M101" i="14"/>
  <c r="N101" i="14"/>
  <c r="O101" i="14"/>
  <c r="M102" i="14"/>
  <c r="N102" i="14"/>
  <c r="O102" i="14"/>
  <c r="M103" i="14"/>
  <c r="N103" i="14"/>
  <c r="O103" i="14"/>
  <c r="M104" i="14"/>
  <c r="N104" i="14"/>
  <c r="O104" i="14"/>
  <c r="M105" i="14"/>
  <c r="N105" i="14"/>
  <c r="O105" i="14"/>
  <c r="M106" i="14"/>
  <c r="N106" i="14"/>
  <c r="O106" i="14"/>
  <c r="M107" i="14"/>
  <c r="N107" i="14"/>
  <c r="O107" i="14"/>
  <c r="M108" i="14"/>
  <c r="N108" i="14"/>
  <c r="O108" i="14"/>
  <c r="M109" i="14"/>
  <c r="N109" i="14"/>
  <c r="O109" i="14"/>
  <c r="M110" i="14"/>
  <c r="N110" i="14"/>
  <c r="O110" i="14"/>
  <c r="M111" i="14"/>
  <c r="N111" i="14"/>
  <c r="O111" i="14"/>
  <c r="M112" i="14"/>
  <c r="N112" i="14"/>
  <c r="O112" i="14"/>
  <c r="M113" i="14"/>
  <c r="N113" i="14"/>
  <c r="O113" i="14"/>
  <c r="M114" i="14"/>
  <c r="N114" i="14"/>
  <c r="O114" i="14"/>
  <c r="M115" i="14"/>
  <c r="N115" i="14"/>
  <c r="O115" i="14"/>
  <c r="M116" i="14"/>
  <c r="N116" i="14"/>
  <c r="O116" i="14"/>
  <c r="M117" i="14"/>
  <c r="N117" i="14"/>
  <c r="O117" i="14"/>
  <c r="M118" i="14"/>
  <c r="N118" i="14"/>
  <c r="O118" i="14"/>
  <c r="M119" i="14"/>
  <c r="N119" i="14"/>
  <c r="O119" i="14"/>
  <c r="M120" i="14"/>
  <c r="N120" i="14"/>
  <c r="O120" i="14"/>
  <c r="M121" i="14"/>
  <c r="N121" i="14"/>
  <c r="O121" i="14"/>
  <c r="M122" i="14"/>
  <c r="N122" i="14"/>
  <c r="O122" i="14"/>
  <c r="M123" i="14"/>
  <c r="N123" i="14"/>
  <c r="O123" i="14"/>
  <c r="M124" i="14"/>
  <c r="N124" i="14"/>
  <c r="O124" i="14"/>
  <c r="M125" i="14"/>
  <c r="N125" i="14"/>
  <c r="O125" i="14"/>
  <c r="M126" i="14"/>
  <c r="N126" i="14"/>
  <c r="O126" i="14"/>
  <c r="M127" i="14"/>
  <c r="N127" i="14"/>
  <c r="O127" i="14"/>
  <c r="M128" i="14"/>
  <c r="N128" i="14"/>
  <c r="O128" i="14"/>
  <c r="M129" i="14"/>
  <c r="N129" i="14"/>
  <c r="O129" i="14"/>
  <c r="M130" i="14"/>
  <c r="N130" i="14"/>
  <c r="O130" i="14"/>
  <c r="M131" i="14"/>
  <c r="N131" i="14"/>
  <c r="O131" i="14"/>
  <c r="M132" i="14"/>
  <c r="N132" i="14"/>
  <c r="O132" i="14"/>
  <c r="M133" i="14"/>
  <c r="N133" i="14"/>
  <c r="O133" i="14"/>
  <c r="M134" i="14"/>
  <c r="N134" i="14"/>
  <c r="O134" i="14"/>
  <c r="M135" i="14"/>
  <c r="N135" i="14"/>
  <c r="O135" i="14"/>
  <c r="M136" i="14"/>
  <c r="N136" i="14"/>
  <c r="O136" i="14"/>
  <c r="M137" i="14"/>
  <c r="N137" i="14"/>
  <c r="O137" i="14"/>
  <c r="M138" i="14"/>
  <c r="N138" i="14"/>
  <c r="O138" i="14"/>
  <c r="M139" i="14"/>
  <c r="N139" i="14"/>
  <c r="O139" i="14"/>
  <c r="M140" i="14"/>
  <c r="N140" i="14"/>
  <c r="O140" i="14"/>
  <c r="M141" i="14"/>
  <c r="N141" i="14"/>
  <c r="O141" i="14"/>
  <c r="M142" i="14"/>
  <c r="N142" i="14"/>
  <c r="O142" i="14"/>
  <c r="M143" i="14"/>
  <c r="N143" i="14"/>
  <c r="O143" i="14"/>
  <c r="M144" i="14"/>
  <c r="N144" i="14"/>
  <c r="O144" i="14"/>
  <c r="M145" i="14"/>
  <c r="N145" i="14"/>
  <c r="O145" i="14"/>
  <c r="M146" i="14"/>
  <c r="N146" i="14"/>
  <c r="O146" i="14"/>
  <c r="M147" i="14"/>
  <c r="N147" i="14"/>
  <c r="O147" i="14"/>
  <c r="M148" i="14"/>
  <c r="N148" i="14"/>
  <c r="O148" i="14"/>
  <c r="M149" i="14"/>
  <c r="N149" i="14"/>
  <c r="O149" i="14"/>
  <c r="M150" i="14"/>
  <c r="N150" i="14"/>
  <c r="O150" i="14"/>
  <c r="M151" i="14"/>
  <c r="N151" i="14"/>
  <c r="O151" i="14"/>
  <c r="M152" i="14"/>
  <c r="N152" i="14"/>
  <c r="O152" i="14"/>
  <c r="M153" i="14"/>
  <c r="N153" i="14"/>
  <c r="O153" i="14"/>
  <c r="M154" i="14"/>
  <c r="N154" i="14"/>
  <c r="O154" i="14"/>
  <c r="M155" i="14"/>
  <c r="N155" i="14"/>
  <c r="O155" i="14"/>
  <c r="M156" i="14"/>
  <c r="N156" i="14"/>
  <c r="O156" i="14"/>
  <c r="M157" i="14"/>
  <c r="N157" i="14"/>
  <c r="O157" i="14"/>
  <c r="M158" i="14"/>
  <c r="N158" i="14"/>
  <c r="O158" i="14"/>
  <c r="M159" i="14"/>
  <c r="N159" i="14"/>
  <c r="O159" i="14"/>
  <c r="M160" i="14"/>
  <c r="N160" i="14"/>
  <c r="O160" i="14"/>
  <c r="M161" i="14"/>
  <c r="N161" i="14"/>
  <c r="O161" i="14"/>
  <c r="M162" i="14"/>
  <c r="N162" i="14"/>
  <c r="O162" i="14"/>
  <c r="M163" i="14"/>
  <c r="N163" i="14"/>
  <c r="O163" i="14"/>
  <c r="M164" i="14"/>
  <c r="N164" i="14"/>
  <c r="O164" i="14"/>
  <c r="M165" i="14"/>
  <c r="N165" i="14"/>
  <c r="O165" i="14"/>
  <c r="M166" i="14"/>
  <c r="N166" i="14"/>
  <c r="O166" i="14"/>
  <c r="M167" i="14"/>
  <c r="N167" i="14"/>
  <c r="O167" i="14"/>
  <c r="M168" i="14"/>
  <c r="N168" i="14"/>
  <c r="O168" i="14"/>
  <c r="M169" i="14"/>
  <c r="N169" i="14"/>
  <c r="O169" i="14"/>
  <c r="M170" i="14"/>
  <c r="N170" i="14"/>
  <c r="O170" i="14"/>
  <c r="M171" i="14"/>
  <c r="N171" i="14"/>
  <c r="O171" i="14"/>
  <c r="M172" i="14"/>
  <c r="N172" i="14"/>
  <c r="O172" i="14"/>
  <c r="M173" i="14"/>
  <c r="N173" i="14"/>
  <c r="O173" i="14"/>
  <c r="M174" i="14"/>
  <c r="N174" i="14"/>
  <c r="O174" i="14"/>
  <c r="M175" i="14"/>
  <c r="N175" i="14"/>
  <c r="O175" i="14"/>
  <c r="M176" i="14"/>
  <c r="N176" i="14"/>
  <c r="O176" i="14"/>
  <c r="M177" i="14"/>
  <c r="N177" i="14"/>
  <c r="O177" i="14"/>
  <c r="M178" i="14"/>
  <c r="N178" i="14"/>
  <c r="O178" i="14"/>
  <c r="M179" i="14"/>
  <c r="N179" i="14"/>
  <c r="O179" i="14"/>
  <c r="M180" i="14"/>
  <c r="N180" i="14"/>
  <c r="O180" i="14"/>
  <c r="M181" i="14"/>
  <c r="N181" i="14"/>
  <c r="O181" i="14"/>
  <c r="M182" i="14"/>
  <c r="N182" i="14"/>
  <c r="O182" i="14"/>
  <c r="M183" i="14"/>
  <c r="N183" i="14"/>
  <c r="O183" i="14"/>
  <c r="M184" i="14"/>
  <c r="N184" i="14"/>
  <c r="O184" i="14"/>
  <c r="M185" i="14"/>
  <c r="N185" i="14"/>
  <c r="O185" i="14"/>
  <c r="M186" i="14"/>
  <c r="N186" i="14"/>
  <c r="O186" i="14"/>
  <c r="M187" i="14"/>
  <c r="N187" i="14"/>
  <c r="O187" i="14"/>
  <c r="M188" i="14"/>
  <c r="N188" i="14"/>
  <c r="O188" i="14"/>
  <c r="M189" i="14"/>
  <c r="N189" i="14"/>
  <c r="O189" i="14"/>
  <c r="M190" i="14"/>
  <c r="N190" i="14"/>
  <c r="O190" i="14"/>
  <c r="M191" i="14"/>
  <c r="N191" i="14"/>
  <c r="O191" i="14"/>
  <c r="M192" i="14"/>
  <c r="N192" i="14"/>
  <c r="O192" i="14"/>
  <c r="M193" i="14"/>
  <c r="N193" i="14"/>
  <c r="O193" i="14"/>
  <c r="M194" i="14"/>
  <c r="N194" i="14"/>
  <c r="O194" i="14"/>
  <c r="M195" i="14"/>
  <c r="N195" i="14"/>
  <c r="O195" i="14"/>
  <c r="M196" i="14"/>
  <c r="N196" i="14"/>
  <c r="O196" i="14"/>
  <c r="M197" i="14"/>
  <c r="N197" i="14"/>
  <c r="O197" i="14"/>
  <c r="M198" i="14"/>
  <c r="N198" i="14"/>
  <c r="O198" i="14"/>
  <c r="M199" i="14"/>
  <c r="N199" i="14"/>
  <c r="O199" i="14"/>
  <c r="M200" i="14"/>
  <c r="N200" i="14"/>
  <c r="O200" i="14"/>
  <c r="M201" i="14"/>
  <c r="N201" i="14"/>
  <c r="O201" i="14"/>
  <c r="M202" i="14"/>
  <c r="N202" i="14"/>
  <c r="O202" i="14"/>
  <c r="M203" i="14"/>
  <c r="N203" i="14"/>
  <c r="O203" i="14"/>
  <c r="M204" i="14"/>
  <c r="N204" i="14"/>
  <c r="O204" i="14"/>
  <c r="M205" i="14"/>
  <c r="N205" i="14"/>
  <c r="O205" i="14"/>
  <c r="M206" i="14"/>
  <c r="N206" i="14"/>
  <c r="O206" i="14"/>
  <c r="M207" i="14"/>
  <c r="N207" i="14"/>
  <c r="O207" i="14"/>
  <c r="M208" i="14"/>
  <c r="N208" i="14"/>
  <c r="O208" i="14"/>
  <c r="M209" i="14"/>
  <c r="N209" i="14"/>
  <c r="O209" i="14"/>
  <c r="M210" i="14"/>
  <c r="N210" i="14"/>
  <c r="O210" i="14"/>
  <c r="M211" i="14"/>
  <c r="N211" i="14"/>
  <c r="O211" i="14"/>
  <c r="M212" i="14"/>
  <c r="N212" i="14"/>
  <c r="O212" i="14"/>
  <c r="M213" i="14"/>
  <c r="N213" i="14"/>
  <c r="O213" i="14"/>
  <c r="M214" i="14"/>
  <c r="N214" i="14"/>
  <c r="O214" i="14"/>
  <c r="M215" i="14"/>
  <c r="N215" i="14"/>
  <c r="O215" i="14"/>
  <c r="M216" i="14"/>
  <c r="N216" i="14"/>
  <c r="O216" i="14"/>
  <c r="M217" i="14"/>
  <c r="N217" i="14"/>
  <c r="O217" i="14"/>
  <c r="M218" i="14"/>
  <c r="N218" i="14"/>
  <c r="O218" i="14"/>
  <c r="M219" i="14"/>
  <c r="N219" i="14"/>
  <c r="O219" i="14"/>
  <c r="M220" i="14"/>
  <c r="N220" i="14"/>
  <c r="O220" i="14"/>
  <c r="M221" i="14"/>
  <c r="N221" i="14"/>
  <c r="O221" i="14"/>
  <c r="M222" i="14"/>
  <c r="N222" i="14"/>
  <c r="O222" i="14"/>
  <c r="M223" i="14"/>
  <c r="N223" i="14"/>
  <c r="O223" i="14"/>
  <c r="M224" i="14"/>
  <c r="N224" i="14"/>
  <c r="O224" i="14"/>
  <c r="M225" i="14"/>
  <c r="N225" i="14"/>
  <c r="O225" i="14"/>
  <c r="M226" i="14"/>
  <c r="N226" i="14"/>
  <c r="O226" i="14"/>
  <c r="M227" i="14"/>
  <c r="N227" i="14"/>
  <c r="O227" i="14"/>
  <c r="M228" i="14"/>
  <c r="N228" i="14"/>
  <c r="O228" i="14"/>
  <c r="M229" i="14"/>
  <c r="N229" i="14"/>
  <c r="O229" i="14"/>
  <c r="M230" i="14"/>
  <c r="N230" i="14"/>
  <c r="O230" i="14"/>
  <c r="M231" i="14"/>
  <c r="N231" i="14"/>
  <c r="O231" i="14"/>
  <c r="M232" i="14"/>
  <c r="N232" i="14"/>
  <c r="O232" i="14"/>
  <c r="M233" i="14"/>
  <c r="N233" i="14"/>
  <c r="O233" i="14"/>
  <c r="M234" i="14"/>
  <c r="N234" i="14"/>
  <c r="O234" i="14"/>
  <c r="M235" i="14"/>
  <c r="N235" i="14"/>
  <c r="O235" i="14"/>
  <c r="M236" i="14"/>
  <c r="N236" i="14"/>
  <c r="O236" i="14"/>
  <c r="M237" i="14"/>
  <c r="N237" i="14"/>
  <c r="O237" i="14"/>
  <c r="M238" i="14"/>
  <c r="N238" i="14"/>
  <c r="O238" i="14"/>
  <c r="M239" i="14"/>
  <c r="N239" i="14"/>
  <c r="O239" i="14"/>
  <c r="M240" i="14"/>
  <c r="N240" i="14"/>
  <c r="O240" i="14"/>
  <c r="M241" i="14"/>
  <c r="N241" i="14"/>
  <c r="O241" i="14"/>
  <c r="N2" i="14"/>
  <c r="O2" i="14"/>
  <c r="M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" i="14"/>
  <c r="M73" i="3" l="1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10" i="3"/>
  <c r="AH10" i="15" l="1"/>
  <c r="AH11" i="15"/>
  <c r="AH12" i="15"/>
  <c r="AH13" i="15"/>
  <c r="AH14" i="15"/>
  <c r="AH15" i="15"/>
  <c r="AH16" i="15"/>
  <c r="AH17" i="15"/>
  <c r="AJ17" i="15" s="1"/>
  <c r="AH18" i="15"/>
  <c r="AH19" i="15"/>
  <c r="AH20" i="15"/>
  <c r="AH21" i="15"/>
  <c r="AH22" i="15"/>
  <c r="AH23" i="15"/>
  <c r="AH24" i="15"/>
  <c r="AH25" i="15"/>
  <c r="AH26" i="15"/>
  <c r="AH27" i="15"/>
  <c r="AH28" i="15"/>
  <c r="AH9" i="15"/>
  <c r="AI11" i="15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" i="14"/>
  <c r="C241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" i="1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2" i="1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9" i="15"/>
  <c r="AC30" i="15" s="1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9" i="15"/>
  <c r="V30" i="15" s="1"/>
  <c r="O28" i="15"/>
  <c r="N28" i="15"/>
  <c r="M28" i="15"/>
  <c r="O27" i="15"/>
  <c r="N27" i="15"/>
  <c r="M27" i="15"/>
  <c r="O26" i="15"/>
  <c r="N26" i="15"/>
  <c r="M26" i="15"/>
  <c r="O25" i="15"/>
  <c r="N25" i="15"/>
  <c r="M25" i="15"/>
  <c r="O24" i="15"/>
  <c r="N24" i="15"/>
  <c r="M24" i="15"/>
  <c r="O23" i="15"/>
  <c r="N23" i="15"/>
  <c r="M23" i="15"/>
  <c r="O22" i="15"/>
  <c r="N22" i="15"/>
  <c r="M22" i="15"/>
  <c r="O21" i="15"/>
  <c r="N21" i="15"/>
  <c r="M21" i="15"/>
  <c r="O20" i="15"/>
  <c r="N20" i="15"/>
  <c r="M20" i="15"/>
  <c r="O19" i="15"/>
  <c r="N19" i="15"/>
  <c r="M19" i="15"/>
  <c r="O18" i="15"/>
  <c r="N18" i="15"/>
  <c r="M18" i="15"/>
  <c r="O17" i="15"/>
  <c r="N17" i="15"/>
  <c r="M17" i="15"/>
  <c r="O16" i="15"/>
  <c r="N16" i="15"/>
  <c r="M16" i="15"/>
  <c r="O15" i="15"/>
  <c r="N15" i="15"/>
  <c r="M15" i="15"/>
  <c r="O14" i="15"/>
  <c r="N14" i="15"/>
  <c r="M14" i="15"/>
  <c r="O13" i="15"/>
  <c r="N13" i="15"/>
  <c r="M13" i="15"/>
  <c r="O12" i="15"/>
  <c r="N12" i="15"/>
  <c r="M12" i="15"/>
  <c r="O11" i="15"/>
  <c r="N11" i="15"/>
  <c r="M11" i="15"/>
  <c r="O10" i="15"/>
  <c r="O30" i="15" s="1"/>
  <c r="N10" i="15"/>
  <c r="M10" i="15"/>
  <c r="O9" i="15"/>
  <c r="N9" i="15"/>
  <c r="N30" i="15" s="1"/>
  <c r="M9" i="15"/>
  <c r="M30" i="15" s="1"/>
  <c r="B479" i="6"/>
  <c r="AI14" i="15" l="1"/>
  <c r="AI10" i="15"/>
  <c r="AJ24" i="15"/>
  <c r="AJ20" i="15"/>
  <c r="AI13" i="15"/>
  <c r="AI9" i="15"/>
  <c r="AJ23" i="15"/>
  <c r="AJ19" i="15"/>
  <c r="AI16" i="15"/>
  <c r="AI12" i="15"/>
  <c r="AJ26" i="15"/>
  <c r="AJ22" i="15"/>
  <c r="AJ18" i="15"/>
  <c r="AI15" i="15"/>
  <c r="AJ25" i="15"/>
  <c r="AJ2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J1" authorId="0" shapeId="0" xr:uid="{AFE0CD42-BBEE-4043-AC45-17237C33EE6D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thousands of dollars</t>
        </r>
      </text>
    </comment>
    <comment ref="L1" authorId="0" shapeId="0" xr:uid="{95EF687C-30DE-4F53-90FA-3F1412108144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billions of dollars</t>
        </r>
      </text>
    </comment>
    <comment ref="M1" authorId="0" shapeId="0" xr:uid="{168690B9-C95B-4AE3-82A1-A8053DE83668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billions of dollars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average to make quarterly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average to make quarterly</t>
        </r>
      </text>
    </comment>
    <comment ref="D1" authorId="0" shapeId="0" xr:uid="{98F9B286-473F-4131-869C-6ADBFBDCF6F3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average to make quarterly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sum to make quarterly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sum to make quarterly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sum to make quarterly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sum to make quarterly</t>
        </r>
      </text>
    </comment>
    <comment ref="I1" authorId="0" shapeId="0" xr:uid="{37EB688B-0D07-4686-A543-D152314828C2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sum to make quarterly</t>
        </r>
      </text>
    </comment>
    <comment ref="K1" authorId="0" shapeId="0" xr:uid="{F6B9264B-8EAC-4E65-8921-D2E5A1D8FE1F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millions of dollars</t>
        </r>
      </text>
    </comment>
    <comment ref="L1" authorId="0" shapeId="0" xr:uid="{F0D81C6F-84BF-4483-B347-6742CDF11841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millions of dollars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E55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55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55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55" authorId="0" shapeId="0" xr:uid="{00000000-0006-0000-0500-00000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55" authorId="0" shapeId="0" xr:uid="{00000000-0006-0000-0500-00000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55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55" authorId="0" shapeId="0" xr:uid="{00000000-0006-0000-0500-00000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55" authorId="0" shapeId="0" xr:uid="{00000000-0006-0000-0500-00000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55" authorId="0" shapeId="0" xr:uid="{00000000-0006-0000-0500-00000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55" authorId="0" shapeId="0" xr:uid="{00000000-0006-0000-0500-00000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55" authorId="0" shapeId="0" xr:uid="{00000000-0006-0000-0500-00000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55" authorId="0" shapeId="0" xr:uid="{00000000-0006-0000-0500-00000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55" authorId="0" shapeId="0" xr:uid="{00000000-0006-0000-0500-00000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55" authorId="0" shapeId="0" xr:uid="{00000000-0006-0000-0500-00000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55" authorId="0" shapeId="0" xr:uid="{00000000-0006-0000-0500-00000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55" authorId="0" shapeId="0" xr:uid="{00000000-0006-0000-0500-00001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55" authorId="0" shapeId="0" xr:uid="{00000000-0006-0000-0500-00001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55" authorId="0" shapeId="0" xr:uid="{00000000-0006-0000-0500-00001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55" authorId="0" shapeId="0" xr:uid="{00000000-0006-0000-0500-00001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55" authorId="0" shapeId="0" xr:uid="{00000000-0006-0000-0500-00001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56" authorId="0" shapeId="0" xr:uid="{00000000-0006-0000-0500-00001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56" authorId="0" shapeId="0" xr:uid="{00000000-0006-0000-0500-00001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56" authorId="0" shapeId="0" xr:uid="{00000000-0006-0000-0500-00001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56" authorId="0" shapeId="0" xr:uid="{00000000-0006-0000-0500-00001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56" authorId="0" shapeId="0" xr:uid="{00000000-0006-0000-0500-00001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56" authorId="0" shapeId="0" xr:uid="{00000000-0006-0000-0500-00001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56" authorId="0" shapeId="0" xr:uid="{00000000-0006-0000-0500-00001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56" authorId="0" shapeId="0" xr:uid="{00000000-0006-0000-0500-00001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56" authorId="0" shapeId="0" xr:uid="{00000000-0006-0000-0500-00001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56" authorId="0" shapeId="0" xr:uid="{00000000-0006-0000-0500-00001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56" authorId="0" shapeId="0" xr:uid="{00000000-0006-0000-0500-00001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56" authorId="0" shapeId="0" xr:uid="{00000000-0006-0000-0500-00002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56" authorId="0" shapeId="0" xr:uid="{00000000-0006-0000-0500-00002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56" authorId="0" shapeId="0" xr:uid="{00000000-0006-0000-0500-00002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56" authorId="0" shapeId="0" xr:uid="{00000000-0006-0000-0500-00002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56" authorId="0" shapeId="0" xr:uid="{00000000-0006-0000-0500-00002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56" authorId="0" shapeId="0" xr:uid="{00000000-0006-0000-0500-00002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56" authorId="0" shapeId="0" xr:uid="{00000000-0006-0000-0500-00002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56" authorId="0" shapeId="0" xr:uid="{00000000-0006-0000-0500-00002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56" authorId="0" shapeId="0" xr:uid="{00000000-0006-0000-0500-00002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57" authorId="0" shapeId="0" xr:uid="{00000000-0006-0000-0500-00002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57" authorId="0" shapeId="0" xr:uid="{00000000-0006-0000-0500-00002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57" authorId="0" shapeId="0" xr:uid="{00000000-0006-0000-0500-00002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57" authorId="0" shapeId="0" xr:uid="{00000000-0006-0000-0500-00002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57" authorId="0" shapeId="0" xr:uid="{00000000-0006-0000-0500-00002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57" authorId="0" shapeId="0" xr:uid="{00000000-0006-0000-0500-00002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57" authorId="0" shapeId="0" xr:uid="{00000000-0006-0000-0500-00002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57" authorId="0" shapeId="0" xr:uid="{00000000-0006-0000-0500-00003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57" authorId="0" shapeId="0" xr:uid="{00000000-0006-0000-0500-00003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57" authorId="0" shapeId="0" xr:uid="{00000000-0006-0000-0500-00003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57" authorId="0" shapeId="0" xr:uid="{00000000-0006-0000-0500-00003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57" authorId="0" shapeId="0" xr:uid="{00000000-0006-0000-0500-00003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57" authorId="0" shapeId="0" xr:uid="{00000000-0006-0000-0500-00003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57" authorId="0" shapeId="0" xr:uid="{00000000-0006-0000-0500-00003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57" authorId="0" shapeId="0" xr:uid="{00000000-0006-0000-0500-00003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57" authorId="0" shapeId="0" xr:uid="{00000000-0006-0000-0500-00003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57" authorId="0" shapeId="0" xr:uid="{00000000-0006-0000-0500-00003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57" authorId="0" shapeId="0" xr:uid="{00000000-0006-0000-0500-00003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57" authorId="0" shapeId="0" xr:uid="{00000000-0006-0000-0500-00003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57" authorId="0" shapeId="0" xr:uid="{00000000-0006-0000-0500-00003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58" authorId="0" shapeId="0" xr:uid="{00000000-0006-0000-0500-00003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58" authorId="0" shapeId="0" xr:uid="{00000000-0006-0000-0500-00003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58" authorId="0" shapeId="0" xr:uid="{00000000-0006-0000-0500-00003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58" authorId="0" shapeId="0" xr:uid="{00000000-0006-0000-0500-00004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58" authorId="0" shapeId="0" xr:uid="{00000000-0006-0000-0500-00004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58" authorId="0" shapeId="0" xr:uid="{00000000-0006-0000-0500-00004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58" authorId="0" shapeId="0" xr:uid="{00000000-0006-0000-0500-00004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58" authorId="0" shapeId="0" xr:uid="{00000000-0006-0000-0500-00004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58" authorId="0" shapeId="0" xr:uid="{00000000-0006-0000-0500-00004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58" authorId="0" shapeId="0" xr:uid="{00000000-0006-0000-0500-00004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58" authorId="0" shapeId="0" xr:uid="{00000000-0006-0000-0500-00004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58" authorId="0" shapeId="0" xr:uid="{00000000-0006-0000-0500-00004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58" authorId="0" shapeId="0" xr:uid="{00000000-0006-0000-0500-00004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58" authorId="0" shapeId="0" xr:uid="{00000000-0006-0000-0500-00004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58" authorId="0" shapeId="0" xr:uid="{00000000-0006-0000-0500-00004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58" authorId="0" shapeId="0" xr:uid="{00000000-0006-0000-0500-00004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58" authorId="0" shapeId="0" xr:uid="{00000000-0006-0000-0500-00004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58" authorId="0" shapeId="0" xr:uid="{00000000-0006-0000-0500-00004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58" authorId="0" shapeId="0" xr:uid="{00000000-0006-0000-0500-00004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58" authorId="0" shapeId="0" xr:uid="{00000000-0006-0000-0500-00005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59" authorId="0" shapeId="0" xr:uid="{00000000-0006-0000-0500-00005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59" authorId="0" shapeId="0" xr:uid="{00000000-0006-0000-0500-00005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59" authorId="0" shapeId="0" xr:uid="{00000000-0006-0000-0500-00005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59" authorId="0" shapeId="0" xr:uid="{00000000-0006-0000-0500-00005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59" authorId="0" shapeId="0" xr:uid="{00000000-0006-0000-0500-00005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59" authorId="0" shapeId="0" xr:uid="{00000000-0006-0000-0500-00005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59" authorId="0" shapeId="0" xr:uid="{00000000-0006-0000-0500-00005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59" authorId="0" shapeId="0" xr:uid="{00000000-0006-0000-0500-00005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59" authorId="0" shapeId="0" xr:uid="{00000000-0006-0000-0500-00005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59" authorId="0" shapeId="0" xr:uid="{00000000-0006-0000-0500-00005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59" authorId="0" shapeId="0" xr:uid="{00000000-0006-0000-0500-00005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59" authorId="0" shapeId="0" xr:uid="{00000000-0006-0000-0500-00005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59" authorId="0" shapeId="0" xr:uid="{00000000-0006-0000-0500-00005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59" authorId="0" shapeId="0" xr:uid="{00000000-0006-0000-0500-00005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59" authorId="0" shapeId="0" xr:uid="{00000000-0006-0000-0500-00005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59" authorId="0" shapeId="0" xr:uid="{00000000-0006-0000-0500-00006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59" authorId="0" shapeId="0" xr:uid="{00000000-0006-0000-0500-00006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59" authorId="0" shapeId="0" xr:uid="{00000000-0006-0000-0500-00006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59" authorId="0" shapeId="0" xr:uid="{00000000-0006-0000-0500-00006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59" authorId="0" shapeId="0" xr:uid="{00000000-0006-0000-0500-00006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0" authorId="0" shapeId="0" xr:uid="{00000000-0006-0000-0500-00006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0" authorId="0" shapeId="0" xr:uid="{00000000-0006-0000-0500-00006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0" authorId="0" shapeId="0" xr:uid="{00000000-0006-0000-0500-00006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0" authorId="0" shapeId="0" xr:uid="{00000000-0006-0000-0500-00006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0" authorId="0" shapeId="0" xr:uid="{00000000-0006-0000-0500-00006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0" authorId="0" shapeId="0" xr:uid="{00000000-0006-0000-0500-00006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0" authorId="0" shapeId="0" xr:uid="{00000000-0006-0000-0500-00006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0" authorId="0" shapeId="0" xr:uid="{00000000-0006-0000-0500-00006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0" authorId="0" shapeId="0" xr:uid="{00000000-0006-0000-0500-00006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0" authorId="0" shapeId="0" xr:uid="{00000000-0006-0000-0500-00006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0" authorId="0" shapeId="0" xr:uid="{00000000-0006-0000-0500-00006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0" authorId="0" shapeId="0" xr:uid="{00000000-0006-0000-0500-00007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0" authorId="0" shapeId="0" xr:uid="{00000000-0006-0000-0500-00007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0" authorId="0" shapeId="0" xr:uid="{00000000-0006-0000-0500-00007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0" authorId="0" shapeId="0" xr:uid="{00000000-0006-0000-0500-00007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0" authorId="0" shapeId="0" xr:uid="{00000000-0006-0000-0500-00007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0" authorId="0" shapeId="0" xr:uid="{00000000-0006-0000-0500-00007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0" authorId="0" shapeId="0" xr:uid="{00000000-0006-0000-0500-00007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0" authorId="0" shapeId="0" xr:uid="{00000000-0006-0000-0500-00007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0" authorId="0" shapeId="0" xr:uid="{00000000-0006-0000-0500-00007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1" authorId="0" shapeId="0" xr:uid="{00000000-0006-0000-0500-00007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1" authorId="0" shapeId="0" xr:uid="{00000000-0006-0000-0500-00007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1" authorId="0" shapeId="0" xr:uid="{00000000-0006-0000-0500-00007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1" authorId="0" shapeId="0" xr:uid="{00000000-0006-0000-0500-00007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1" authorId="0" shapeId="0" xr:uid="{00000000-0006-0000-0500-00007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1" authorId="0" shapeId="0" xr:uid="{00000000-0006-0000-0500-00007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1" authorId="0" shapeId="0" xr:uid="{00000000-0006-0000-0500-00007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1" authorId="0" shapeId="0" xr:uid="{00000000-0006-0000-0500-00008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1" authorId="0" shapeId="0" xr:uid="{00000000-0006-0000-0500-00008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1" authorId="0" shapeId="0" xr:uid="{00000000-0006-0000-0500-00008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1" authorId="0" shapeId="0" xr:uid="{00000000-0006-0000-0500-00008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1" authorId="0" shapeId="0" xr:uid="{00000000-0006-0000-0500-00008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1" authorId="0" shapeId="0" xr:uid="{00000000-0006-0000-0500-00008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1" authorId="0" shapeId="0" xr:uid="{00000000-0006-0000-0500-00008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1" authorId="0" shapeId="0" xr:uid="{00000000-0006-0000-0500-00008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1" authorId="0" shapeId="0" xr:uid="{00000000-0006-0000-0500-00008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1" authorId="0" shapeId="0" xr:uid="{00000000-0006-0000-0500-00008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1" authorId="0" shapeId="0" xr:uid="{00000000-0006-0000-0500-00008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1" authorId="0" shapeId="0" xr:uid="{00000000-0006-0000-0500-00008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1" authorId="0" shapeId="0" xr:uid="{00000000-0006-0000-0500-00008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2" authorId="0" shapeId="0" xr:uid="{00000000-0006-0000-0500-00008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2" authorId="0" shapeId="0" xr:uid="{00000000-0006-0000-0500-00008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2" authorId="0" shapeId="0" xr:uid="{00000000-0006-0000-0500-00008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2" authorId="0" shapeId="0" xr:uid="{00000000-0006-0000-0500-00009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2" authorId="0" shapeId="0" xr:uid="{00000000-0006-0000-0500-00009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2" authorId="0" shapeId="0" xr:uid="{00000000-0006-0000-0500-00009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2" authorId="0" shapeId="0" xr:uid="{00000000-0006-0000-0500-00009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2" authorId="0" shapeId="0" xr:uid="{00000000-0006-0000-0500-00009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2" authorId="0" shapeId="0" xr:uid="{00000000-0006-0000-0500-00009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2" authorId="0" shapeId="0" xr:uid="{00000000-0006-0000-0500-00009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2" authorId="0" shapeId="0" xr:uid="{00000000-0006-0000-0500-00009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2" authorId="0" shapeId="0" xr:uid="{00000000-0006-0000-0500-00009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2" authorId="0" shapeId="0" xr:uid="{00000000-0006-0000-0500-00009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2" authorId="0" shapeId="0" xr:uid="{00000000-0006-0000-0500-00009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2" authorId="0" shapeId="0" xr:uid="{00000000-0006-0000-0500-00009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2" authorId="0" shapeId="0" xr:uid="{00000000-0006-0000-0500-00009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2" authorId="0" shapeId="0" xr:uid="{00000000-0006-0000-0500-00009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2" authorId="0" shapeId="0" xr:uid="{00000000-0006-0000-0500-00009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2" authorId="0" shapeId="0" xr:uid="{00000000-0006-0000-0500-00009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2" authorId="0" shapeId="0" xr:uid="{00000000-0006-0000-0500-0000A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3" authorId="0" shapeId="0" xr:uid="{00000000-0006-0000-0500-0000A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3" authorId="0" shapeId="0" xr:uid="{00000000-0006-0000-0500-0000A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3" authorId="0" shapeId="0" xr:uid="{00000000-0006-0000-0500-0000A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3" authorId="0" shapeId="0" xr:uid="{00000000-0006-0000-0500-0000A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3" authorId="0" shapeId="0" xr:uid="{00000000-0006-0000-0500-0000A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3" authorId="0" shapeId="0" xr:uid="{00000000-0006-0000-0500-0000A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3" authorId="0" shapeId="0" xr:uid="{00000000-0006-0000-0500-0000A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3" authorId="0" shapeId="0" xr:uid="{00000000-0006-0000-0500-0000A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3" authorId="0" shapeId="0" xr:uid="{00000000-0006-0000-0500-0000A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3" authorId="0" shapeId="0" xr:uid="{00000000-0006-0000-0500-0000A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3" authorId="0" shapeId="0" xr:uid="{00000000-0006-0000-0500-0000A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3" authorId="0" shapeId="0" xr:uid="{00000000-0006-0000-0500-0000A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3" authorId="0" shapeId="0" xr:uid="{00000000-0006-0000-0500-0000A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3" authorId="0" shapeId="0" xr:uid="{00000000-0006-0000-0500-0000A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3" authorId="0" shapeId="0" xr:uid="{00000000-0006-0000-0500-0000A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3" authorId="0" shapeId="0" xr:uid="{00000000-0006-0000-0500-0000B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3" authorId="0" shapeId="0" xr:uid="{00000000-0006-0000-0500-0000B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3" authorId="0" shapeId="0" xr:uid="{00000000-0006-0000-0500-0000B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3" authorId="0" shapeId="0" xr:uid="{00000000-0006-0000-0500-0000B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3" authorId="0" shapeId="0" xr:uid="{00000000-0006-0000-0500-0000B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4" authorId="0" shapeId="0" xr:uid="{00000000-0006-0000-0500-0000B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4" authorId="0" shapeId="0" xr:uid="{00000000-0006-0000-0500-0000B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4" authorId="0" shapeId="0" xr:uid="{00000000-0006-0000-0500-0000B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4" authorId="0" shapeId="0" xr:uid="{00000000-0006-0000-0500-0000B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4" authorId="0" shapeId="0" xr:uid="{00000000-0006-0000-0500-0000B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4" authorId="0" shapeId="0" xr:uid="{00000000-0006-0000-0500-0000B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4" authorId="0" shapeId="0" xr:uid="{00000000-0006-0000-0500-0000B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4" authorId="0" shapeId="0" xr:uid="{00000000-0006-0000-0500-0000B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4" authorId="0" shapeId="0" xr:uid="{00000000-0006-0000-0500-0000B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4" authorId="0" shapeId="0" xr:uid="{00000000-0006-0000-0500-0000B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4" authorId="0" shapeId="0" xr:uid="{00000000-0006-0000-0500-0000B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4" authorId="0" shapeId="0" xr:uid="{00000000-0006-0000-0500-0000C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4" authorId="0" shapeId="0" xr:uid="{00000000-0006-0000-0500-0000C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4" authorId="0" shapeId="0" xr:uid="{00000000-0006-0000-0500-0000C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4" authorId="0" shapeId="0" xr:uid="{00000000-0006-0000-0500-0000C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4" authorId="0" shapeId="0" xr:uid="{00000000-0006-0000-0500-0000C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4" authorId="0" shapeId="0" xr:uid="{00000000-0006-0000-0500-0000C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4" authorId="0" shapeId="0" xr:uid="{00000000-0006-0000-0500-0000C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4" authorId="0" shapeId="0" xr:uid="{00000000-0006-0000-0500-0000C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4" authorId="0" shapeId="0" xr:uid="{00000000-0006-0000-0500-0000C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5" authorId="0" shapeId="0" xr:uid="{00000000-0006-0000-0500-0000C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5" authorId="0" shapeId="0" xr:uid="{00000000-0006-0000-0500-0000C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5" authorId="0" shapeId="0" xr:uid="{00000000-0006-0000-0500-0000C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5" authorId="0" shapeId="0" xr:uid="{00000000-0006-0000-0500-0000C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5" authorId="0" shapeId="0" xr:uid="{00000000-0006-0000-0500-0000C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5" authorId="0" shapeId="0" xr:uid="{00000000-0006-0000-0500-0000C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5" authorId="0" shapeId="0" xr:uid="{00000000-0006-0000-0500-0000C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5" authorId="0" shapeId="0" xr:uid="{00000000-0006-0000-0500-0000D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5" authorId="0" shapeId="0" xr:uid="{00000000-0006-0000-0500-0000D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5" authorId="0" shapeId="0" xr:uid="{00000000-0006-0000-0500-0000D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5" authorId="0" shapeId="0" xr:uid="{00000000-0006-0000-0500-0000D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5" authorId="0" shapeId="0" xr:uid="{00000000-0006-0000-0500-0000D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5" authorId="0" shapeId="0" xr:uid="{00000000-0006-0000-0500-0000D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5" authorId="0" shapeId="0" xr:uid="{00000000-0006-0000-0500-0000D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5" authorId="0" shapeId="0" xr:uid="{00000000-0006-0000-0500-0000D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5" authorId="0" shapeId="0" xr:uid="{00000000-0006-0000-0500-0000D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5" authorId="0" shapeId="0" xr:uid="{00000000-0006-0000-0500-0000D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5" authorId="0" shapeId="0" xr:uid="{00000000-0006-0000-0500-0000D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5" authorId="0" shapeId="0" xr:uid="{00000000-0006-0000-0500-0000D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5" authorId="0" shapeId="0" xr:uid="{00000000-0006-0000-0500-0000D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6" authorId="0" shapeId="0" xr:uid="{00000000-0006-0000-0500-0000D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6" authorId="0" shapeId="0" xr:uid="{00000000-0006-0000-0500-0000D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6" authorId="0" shapeId="0" xr:uid="{00000000-0006-0000-0500-0000D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6" authorId="0" shapeId="0" xr:uid="{00000000-0006-0000-0500-0000E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6" authorId="0" shapeId="0" xr:uid="{00000000-0006-0000-0500-0000E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6" authorId="0" shapeId="0" xr:uid="{00000000-0006-0000-0500-0000E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6" authorId="0" shapeId="0" xr:uid="{00000000-0006-0000-0500-0000E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6" authorId="0" shapeId="0" xr:uid="{00000000-0006-0000-0500-0000E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6" authorId="0" shapeId="0" xr:uid="{00000000-0006-0000-0500-0000E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6" authorId="0" shapeId="0" xr:uid="{00000000-0006-0000-0500-0000E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6" authorId="0" shapeId="0" xr:uid="{00000000-0006-0000-0500-0000E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6" authorId="0" shapeId="0" xr:uid="{00000000-0006-0000-0500-0000E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6" authorId="0" shapeId="0" xr:uid="{00000000-0006-0000-0500-0000E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6" authorId="0" shapeId="0" xr:uid="{00000000-0006-0000-0500-0000E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6" authorId="0" shapeId="0" xr:uid="{00000000-0006-0000-0500-0000E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6" authorId="0" shapeId="0" xr:uid="{00000000-0006-0000-0500-0000E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6" authorId="0" shapeId="0" xr:uid="{00000000-0006-0000-0500-0000E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6" authorId="0" shapeId="0" xr:uid="{00000000-0006-0000-0500-0000E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6" authorId="0" shapeId="0" xr:uid="{00000000-0006-0000-0500-0000E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6" authorId="0" shapeId="0" xr:uid="{00000000-0006-0000-0500-0000F0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7" authorId="0" shapeId="0" xr:uid="{00000000-0006-0000-0500-0000F1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7" authorId="0" shapeId="0" xr:uid="{00000000-0006-0000-0500-0000F2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7" authorId="0" shapeId="0" xr:uid="{00000000-0006-0000-0500-0000F3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7" authorId="0" shapeId="0" xr:uid="{00000000-0006-0000-0500-0000F4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7" authorId="0" shapeId="0" xr:uid="{00000000-0006-0000-0500-0000F5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7" authorId="0" shapeId="0" xr:uid="{00000000-0006-0000-0500-0000F6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7" authorId="0" shapeId="0" xr:uid="{00000000-0006-0000-0500-0000F7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7" authorId="0" shapeId="0" xr:uid="{00000000-0006-0000-0500-0000F8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7" authorId="0" shapeId="0" xr:uid="{00000000-0006-0000-0500-0000F9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7" authorId="0" shapeId="0" xr:uid="{00000000-0006-0000-0500-0000FA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7" authorId="0" shapeId="0" xr:uid="{00000000-0006-0000-0500-0000FB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7" authorId="0" shapeId="0" xr:uid="{00000000-0006-0000-0500-0000FC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7" authorId="0" shapeId="0" xr:uid="{00000000-0006-0000-0500-0000FD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7" authorId="0" shapeId="0" xr:uid="{00000000-0006-0000-0500-0000FE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7" authorId="0" shapeId="0" xr:uid="{00000000-0006-0000-0500-0000F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7" authorId="0" shapeId="0" xr:uid="{00000000-0006-0000-0500-00000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7" authorId="0" shapeId="0" xr:uid="{00000000-0006-0000-0500-00000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7" authorId="0" shapeId="0" xr:uid="{00000000-0006-0000-0500-00000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7" authorId="0" shapeId="0" xr:uid="{00000000-0006-0000-0500-00000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7" authorId="0" shapeId="0" xr:uid="{00000000-0006-0000-0500-00000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8" authorId="0" shapeId="0" xr:uid="{00000000-0006-0000-0500-00000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8" authorId="0" shapeId="0" xr:uid="{00000000-0006-0000-0500-00000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8" authorId="0" shapeId="0" xr:uid="{00000000-0006-0000-0500-00000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8" authorId="0" shapeId="0" xr:uid="{00000000-0006-0000-0500-00000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8" authorId="0" shapeId="0" xr:uid="{00000000-0006-0000-0500-00000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8" authorId="0" shapeId="0" xr:uid="{00000000-0006-0000-0500-00000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8" authorId="0" shapeId="0" xr:uid="{00000000-0006-0000-0500-00000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8" authorId="0" shapeId="0" xr:uid="{00000000-0006-0000-0500-00000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8" authorId="0" shapeId="0" xr:uid="{00000000-0006-0000-0500-00000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8" authorId="0" shapeId="0" xr:uid="{00000000-0006-0000-0500-00000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8" authorId="0" shapeId="0" xr:uid="{00000000-0006-0000-0500-00000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8" authorId="0" shapeId="0" xr:uid="{00000000-0006-0000-0500-00001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8" authorId="0" shapeId="0" xr:uid="{00000000-0006-0000-0500-00001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8" authorId="0" shapeId="0" xr:uid="{00000000-0006-0000-0500-00001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8" authorId="0" shapeId="0" xr:uid="{00000000-0006-0000-0500-00001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8" authorId="0" shapeId="0" xr:uid="{00000000-0006-0000-0500-00001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8" authorId="0" shapeId="0" xr:uid="{00000000-0006-0000-0500-00001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8" authorId="0" shapeId="0" xr:uid="{00000000-0006-0000-0500-00001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8" authorId="0" shapeId="0" xr:uid="{00000000-0006-0000-0500-00001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8" authorId="0" shapeId="0" xr:uid="{00000000-0006-0000-0500-00001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69" authorId="0" shapeId="0" xr:uid="{00000000-0006-0000-0500-00001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69" authorId="0" shapeId="0" xr:uid="{00000000-0006-0000-0500-00001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69" authorId="0" shapeId="0" xr:uid="{00000000-0006-0000-0500-00001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69" authorId="0" shapeId="0" xr:uid="{00000000-0006-0000-0500-00001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69" authorId="0" shapeId="0" xr:uid="{00000000-0006-0000-0500-00001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69" authorId="0" shapeId="0" xr:uid="{00000000-0006-0000-0500-00001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69" authorId="0" shapeId="0" xr:uid="{00000000-0006-0000-0500-00001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69" authorId="0" shapeId="0" xr:uid="{00000000-0006-0000-0500-00002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69" authorId="0" shapeId="0" xr:uid="{00000000-0006-0000-0500-00002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69" authorId="0" shapeId="0" xr:uid="{00000000-0006-0000-0500-00002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69" authorId="0" shapeId="0" xr:uid="{00000000-0006-0000-0500-00002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69" authorId="0" shapeId="0" xr:uid="{00000000-0006-0000-0500-00002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69" authorId="0" shapeId="0" xr:uid="{00000000-0006-0000-0500-00002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69" authorId="0" shapeId="0" xr:uid="{00000000-0006-0000-0500-00002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69" authorId="0" shapeId="0" xr:uid="{00000000-0006-0000-0500-00002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69" authorId="0" shapeId="0" xr:uid="{00000000-0006-0000-0500-00002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69" authorId="0" shapeId="0" xr:uid="{00000000-0006-0000-0500-00002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69" authorId="0" shapeId="0" xr:uid="{00000000-0006-0000-0500-00002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69" authorId="0" shapeId="0" xr:uid="{00000000-0006-0000-0500-00002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69" authorId="0" shapeId="0" xr:uid="{00000000-0006-0000-0500-00002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0" authorId="0" shapeId="0" xr:uid="{00000000-0006-0000-0500-00002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0" authorId="0" shapeId="0" xr:uid="{00000000-0006-0000-0500-00002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0" authorId="0" shapeId="0" xr:uid="{00000000-0006-0000-0500-00002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0" authorId="0" shapeId="0" xr:uid="{00000000-0006-0000-0500-00003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0" authorId="0" shapeId="0" xr:uid="{00000000-0006-0000-0500-00003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0" authorId="0" shapeId="0" xr:uid="{00000000-0006-0000-0500-00003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0" authorId="0" shapeId="0" xr:uid="{00000000-0006-0000-0500-00003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0" authorId="0" shapeId="0" xr:uid="{00000000-0006-0000-0500-00003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0" authorId="0" shapeId="0" xr:uid="{00000000-0006-0000-0500-00003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0" authorId="0" shapeId="0" xr:uid="{00000000-0006-0000-0500-00003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0" authorId="0" shapeId="0" xr:uid="{00000000-0006-0000-0500-00003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0" authorId="0" shapeId="0" xr:uid="{00000000-0006-0000-0500-00003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0" authorId="0" shapeId="0" xr:uid="{00000000-0006-0000-0500-00003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0" authorId="0" shapeId="0" xr:uid="{00000000-0006-0000-0500-00003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0" authorId="0" shapeId="0" xr:uid="{00000000-0006-0000-0500-00003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0" authorId="0" shapeId="0" xr:uid="{00000000-0006-0000-0500-00003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0" authorId="0" shapeId="0" xr:uid="{00000000-0006-0000-0500-00003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0" authorId="0" shapeId="0" xr:uid="{00000000-0006-0000-0500-00003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0" authorId="0" shapeId="0" xr:uid="{00000000-0006-0000-0500-00003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0" authorId="0" shapeId="0" xr:uid="{00000000-0006-0000-0500-00004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1" authorId="0" shapeId="0" xr:uid="{00000000-0006-0000-0500-00004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1" authorId="0" shapeId="0" xr:uid="{00000000-0006-0000-0500-00004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1" authorId="0" shapeId="0" xr:uid="{00000000-0006-0000-0500-00004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1" authorId="0" shapeId="0" xr:uid="{00000000-0006-0000-0500-00004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1" authorId="0" shapeId="0" xr:uid="{00000000-0006-0000-0500-00004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1" authorId="0" shapeId="0" xr:uid="{00000000-0006-0000-0500-00004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1" authorId="0" shapeId="0" xr:uid="{00000000-0006-0000-0500-00004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1" authorId="0" shapeId="0" xr:uid="{00000000-0006-0000-0500-00004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1" authorId="0" shapeId="0" xr:uid="{00000000-0006-0000-0500-00004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1" authorId="0" shapeId="0" xr:uid="{00000000-0006-0000-0500-00004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1" authorId="0" shapeId="0" xr:uid="{00000000-0006-0000-0500-00004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1" authorId="0" shapeId="0" xr:uid="{00000000-0006-0000-0500-00004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1" authorId="0" shapeId="0" xr:uid="{00000000-0006-0000-0500-00004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1" authorId="0" shapeId="0" xr:uid="{00000000-0006-0000-0500-00004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1" authorId="0" shapeId="0" xr:uid="{00000000-0006-0000-0500-00004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1" authorId="0" shapeId="0" xr:uid="{00000000-0006-0000-0500-00005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1" authorId="0" shapeId="0" xr:uid="{00000000-0006-0000-0500-00005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1" authorId="0" shapeId="0" xr:uid="{00000000-0006-0000-0500-00005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1" authorId="0" shapeId="0" xr:uid="{00000000-0006-0000-0500-00005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1" authorId="0" shapeId="0" xr:uid="{00000000-0006-0000-0500-00005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2" authorId="0" shapeId="0" xr:uid="{00000000-0006-0000-0500-00005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2" authorId="0" shapeId="0" xr:uid="{00000000-0006-0000-0500-00005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2" authorId="0" shapeId="0" xr:uid="{00000000-0006-0000-0500-00005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2" authorId="0" shapeId="0" xr:uid="{00000000-0006-0000-0500-00005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2" authorId="0" shapeId="0" xr:uid="{00000000-0006-0000-0500-00005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2" authorId="0" shapeId="0" xr:uid="{00000000-0006-0000-0500-00005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2" authorId="0" shapeId="0" xr:uid="{00000000-0006-0000-0500-00005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2" authorId="0" shapeId="0" xr:uid="{00000000-0006-0000-0500-00005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2" authorId="0" shapeId="0" xr:uid="{00000000-0006-0000-0500-00005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2" authorId="0" shapeId="0" xr:uid="{00000000-0006-0000-0500-00005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2" authorId="0" shapeId="0" xr:uid="{00000000-0006-0000-0500-00005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2" authorId="0" shapeId="0" xr:uid="{00000000-0006-0000-0500-00006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2" authorId="0" shapeId="0" xr:uid="{00000000-0006-0000-0500-00006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2" authorId="0" shapeId="0" xr:uid="{00000000-0006-0000-0500-00006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2" authorId="0" shapeId="0" xr:uid="{00000000-0006-0000-0500-00006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2" authorId="0" shapeId="0" xr:uid="{00000000-0006-0000-0500-00006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2" authorId="0" shapeId="0" xr:uid="{00000000-0006-0000-0500-00006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2" authorId="0" shapeId="0" xr:uid="{00000000-0006-0000-0500-00006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2" authorId="0" shapeId="0" xr:uid="{00000000-0006-0000-0500-00006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2" authorId="0" shapeId="0" xr:uid="{00000000-0006-0000-0500-00006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3" authorId="0" shapeId="0" xr:uid="{00000000-0006-0000-0500-00006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3" authorId="0" shapeId="0" xr:uid="{00000000-0006-0000-0500-00006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3" authorId="0" shapeId="0" xr:uid="{00000000-0006-0000-0500-00006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3" authorId="0" shapeId="0" xr:uid="{00000000-0006-0000-0500-00006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3" authorId="0" shapeId="0" xr:uid="{00000000-0006-0000-0500-00006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3" authorId="0" shapeId="0" xr:uid="{00000000-0006-0000-0500-00006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3" authorId="0" shapeId="0" xr:uid="{00000000-0006-0000-0500-00006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3" authorId="0" shapeId="0" xr:uid="{00000000-0006-0000-0500-00007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3" authorId="0" shapeId="0" xr:uid="{00000000-0006-0000-0500-00007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3" authorId="0" shapeId="0" xr:uid="{00000000-0006-0000-0500-00007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3" authorId="0" shapeId="0" xr:uid="{00000000-0006-0000-0500-00007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3" authorId="0" shapeId="0" xr:uid="{00000000-0006-0000-0500-00007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3" authorId="0" shapeId="0" xr:uid="{00000000-0006-0000-0500-00007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3" authorId="0" shapeId="0" xr:uid="{00000000-0006-0000-0500-00007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3" authorId="0" shapeId="0" xr:uid="{00000000-0006-0000-0500-00007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3" authorId="0" shapeId="0" xr:uid="{00000000-0006-0000-0500-00007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3" authorId="0" shapeId="0" xr:uid="{00000000-0006-0000-0500-00007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3" authorId="0" shapeId="0" xr:uid="{00000000-0006-0000-0500-00007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3" authorId="0" shapeId="0" xr:uid="{00000000-0006-0000-0500-00007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3" authorId="0" shapeId="0" xr:uid="{00000000-0006-0000-0500-00007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4" authorId="0" shapeId="0" xr:uid="{00000000-0006-0000-0500-00007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4" authorId="0" shapeId="0" xr:uid="{00000000-0006-0000-0500-00007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4" authorId="0" shapeId="0" xr:uid="{00000000-0006-0000-0500-00007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4" authorId="0" shapeId="0" xr:uid="{00000000-0006-0000-0500-00008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4" authorId="0" shapeId="0" xr:uid="{00000000-0006-0000-0500-00008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4" authorId="0" shapeId="0" xr:uid="{00000000-0006-0000-0500-00008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4" authorId="0" shapeId="0" xr:uid="{00000000-0006-0000-0500-00008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4" authorId="0" shapeId="0" xr:uid="{00000000-0006-0000-0500-00008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4" authorId="0" shapeId="0" xr:uid="{00000000-0006-0000-0500-00008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4" authorId="0" shapeId="0" xr:uid="{00000000-0006-0000-0500-00008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4" authorId="0" shapeId="0" xr:uid="{00000000-0006-0000-0500-00008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4" authorId="0" shapeId="0" xr:uid="{00000000-0006-0000-0500-00008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4" authorId="0" shapeId="0" xr:uid="{00000000-0006-0000-0500-00008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4" authorId="0" shapeId="0" xr:uid="{00000000-0006-0000-0500-00008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4" authorId="0" shapeId="0" xr:uid="{00000000-0006-0000-0500-00008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4" authorId="0" shapeId="0" xr:uid="{00000000-0006-0000-0500-00008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4" authorId="0" shapeId="0" xr:uid="{00000000-0006-0000-0500-00008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4" authorId="0" shapeId="0" xr:uid="{00000000-0006-0000-0500-00008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4" authorId="0" shapeId="0" xr:uid="{00000000-0006-0000-0500-00008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4" authorId="0" shapeId="0" xr:uid="{00000000-0006-0000-0500-00009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5" authorId="0" shapeId="0" xr:uid="{00000000-0006-0000-0500-00009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5" authorId="0" shapeId="0" xr:uid="{00000000-0006-0000-0500-00009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5" authorId="0" shapeId="0" xr:uid="{00000000-0006-0000-0500-00009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5" authorId="0" shapeId="0" xr:uid="{00000000-0006-0000-0500-00009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5" authorId="0" shapeId="0" xr:uid="{00000000-0006-0000-0500-00009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5" authorId="0" shapeId="0" xr:uid="{00000000-0006-0000-0500-00009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5" authorId="0" shapeId="0" xr:uid="{00000000-0006-0000-0500-00009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5" authorId="0" shapeId="0" xr:uid="{00000000-0006-0000-0500-00009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5" authorId="0" shapeId="0" xr:uid="{00000000-0006-0000-0500-00009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5" authorId="0" shapeId="0" xr:uid="{00000000-0006-0000-0500-00009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5" authorId="0" shapeId="0" xr:uid="{00000000-0006-0000-0500-00009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5" authorId="0" shapeId="0" xr:uid="{00000000-0006-0000-0500-00009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5" authorId="0" shapeId="0" xr:uid="{00000000-0006-0000-0500-00009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5" authorId="0" shapeId="0" xr:uid="{00000000-0006-0000-0500-00009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5" authorId="0" shapeId="0" xr:uid="{00000000-0006-0000-0500-00009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5" authorId="0" shapeId="0" xr:uid="{00000000-0006-0000-0500-0000A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5" authorId="0" shapeId="0" xr:uid="{00000000-0006-0000-0500-0000A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5" authorId="0" shapeId="0" xr:uid="{00000000-0006-0000-0500-0000A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5" authorId="0" shapeId="0" xr:uid="{00000000-0006-0000-0500-0000A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5" authorId="0" shapeId="0" xr:uid="{00000000-0006-0000-0500-0000A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6" authorId="0" shapeId="0" xr:uid="{00000000-0006-0000-0500-0000A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6" authorId="0" shapeId="0" xr:uid="{00000000-0006-0000-0500-0000A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6" authorId="0" shapeId="0" xr:uid="{00000000-0006-0000-0500-0000A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6" authorId="0" shapeId="0" xr:uid="{00000000-0006-0000-0500-0000A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6" authorId="0" shapeId="0" xr:uid="{00000000-0006-0000-0500-0000A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6" authorId="0" shapeId="0" xr:uid="{00000000-0006-0000-0500-0000A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6" authorId="0" shapeId="0" xr:uid="{00000000-0006-0000-0500-0000A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6" authorId="0" shapeId="0" xr:uid="{00000000-0006-0000-0500-0000A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6" authorId="0" shapeId="0" xr:uid="{00000000-0006-0000-0500-0000A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6" authorId="0" shapeId="0" xr:uid="{00000000-0006-0000-0500-0000A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6" authorId="0" shapeId="0" xr:uid="{00000000-0006-0000-0500-0000A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6" authorId="0" shapeId="0" xr:uid="{00000000-0006-0000-0500-0000B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6" authorId="0" shapeId="0" xr:uid="{00000000-0006-0000-0500-0000B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6" authorId="0" shapeId="0" xr:uid="{00000000-0006-0000-0500-0000B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6" authorId="0" shapeId="0" xr:uid="{00000000-0006-0000-0500-0000B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6" authorId="0" shapeId="0" xr:uid="{00000000-0006-0000-0500-0000B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6" authorId="0" shapeId="0" xr:uid="{00000000-0006-0000-0500-0000B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6" authorId="0" shapeId="0" xr:uid="{00000000-0006-0000-0500-0000B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6" authorId="0" shapeId="0" xr:uid="{00000000-0006-0000-0500-0000B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6" authorId="0" shapeId="0" xr:uid="{00000000-0006-0000-0500-0000B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7" authorId="0" shapeId="0" xr:uid="{00000000-0006-0000-0500-0000B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7" authorId="0" shapeId="0" xr:uid="{00000000-0006-0000-0500-0000B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7" authorId="0" shapeId="0" xr:uid="{00000000-0006-0000-0500-0000B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7" authorId="0" shapeId="0" xr:uid="{00000000-0006-0000-0500-0000B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7" authorId="0" shapeId="0" xr:uid="{00000000-0006-0000-0500-0000B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7" authorId="0" shapeId="0" xr:uid="{00000000-0006-0000-0500-0000B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7" authorId="0" shapeId="0" xr:uid="{00000000-0006-0000-0500-0000B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7" authorId="0" shapeId="0" xr:uid="{00000000-0006-0000-0500-0000C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7" authorId="0" shapeId="0" xr:uid="{00000000-0006-0000-0500-0000C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7" authorId="0" shapeId="0" xr:uid="{00000000-0006-0000-0500-0000C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7" authorId="0" shapeId="0" xr:uid="{00000000-0006-0000-0500-0000C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7" authorId="0" shapeId="0" xr:uid="{00000000-0006-0000-0500-0000C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7" authorId="0" shapeId="0" xr:uid="{00000000-0006-0000-0500-0000C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7" authorId="0" shapeId="0" xr:uid="{00000000-0006-0000-0500-0000C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7" authorId="0" shapeId="0" xr:uid="{00000000-0006-0000-0500-0000C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7" authorId="0" shapeId="0" xr:uid="{00000000-0006-0000-0500-0000C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7" authorId="0" shapeId="0" xr:uid="{00000000-0006-0000-0500-0000C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7" authorId="0" shapeId="0" xr:uid="{00000000-0006-0000-0500-0000C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7" authorId="0" shapeId="0" xr:uid="{00000000-0006-0000-0500-0000C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7" authorId="0" shapeId="0" xr:uid="{00000000-0006-0000-0500-0000C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8" authorId="0" shapeId="0" xr:uid="{00000000-0006-0000-0500-0000C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8" authorId="0" shapeId="0" xr:uid="{00000000-0006-0000-0500-0000C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8" authorId="0" shapeId="0" xr:uid="{00000000-0006-0000-0500-0000C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8" authorId="0" shapeId="0" xr:uid="{00000000-0006-0000-0500-0000D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8" authorId="0" shapeId="0" xr:uid="{00000000-0006-0000-0500-0000D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8" authorId="0" shapeId="0" xr:uid="{00000000-0006-0000-0500-0000D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8" authorId="0" shapeId="0" xr:uid="{00000000-0006-0000-0500-0000D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8" authorId="0" shapeId="0" xr:uid="{00000000-0006-0000-0500-0000D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8" authorId="0" shapeId="0" xr:uid="{00000000-0006-0000-0500-0000D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8" authorId="0" shapeId="0" xr:uid="{00000000-0006-0000-0500-0000D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8" authorId="0" shapeId="0" xr:uid="{00000000-0006-0000-0500-0000D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8" authorId="0" shapeId="0" xr:uid="{00000000-0006-0000-0500-0000D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8" authorId="0" shapeId="0" xr:uid="{00000000-0006-0000-0500-0000D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8" authorId="0" shapeId="0" xr:uid="{00000000-0006-0000-0500-0000D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8" authorId="0" shapeId="0" xr:uid="{00000000-0006-0000-0500-0000D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8" authorId="0" shapeId="0" xr:uid="{00000000-0006-0000-0500-0000D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8" authorId="0" shapeId="0" xr:uid="{00000000-0006-0000-0500-0000D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8" authorId="0" shapeId="0" xr:uid="{00000000-0006-0000-0500-0000D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8" authorId="0" shapeId="0" xr:uid="{00000000-0006-0000-0500-0000D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8" authorId="0" shapeId="0" xr:uid="{00000000-0006-0000-0500-0000E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79" authorId="0" shapeId="0" xr:uid="{00000000-0006-0000-0500-0000E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79" authorId="0" shapeId="0" xr:uid="{00000000-0006-0000-0500-0000E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79" authorId="0" shapeId="0" xr:uid="{00000000-0006-0000-0500-0000E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79" authorId="0" shapeId="0" xr:uid="{00000000-0006-0000-0500-0000E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79" authorId="0" shapeId="0" xr:uid="{00000000-0006-0000-0500-0000E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79" authorId="0" shapeId="0" xr:uid="{00000000-0006-0000-0500-0000E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79" authorId="0" shapeId="0" xr:uid="{00000000-0006-0000-0500-0000E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79" authorId="0" shapeId="0" xr:uid="{00000000-0006-0000-0500-0000E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79" authorId="0" shapeId="0" xr:uid="{00000000-0006-0000-0500-0000E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79" authorId="0" shapeId="0" xr:uid="{00000000-0006-0000-0500-0000E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79" authorId="0" shapeId="0" xr:uid="{00000000-0006-0000-0500-0000E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79" authorId="0" shapeId="0" xr:uid="{00000000-0006-0000-0500-0000E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79" authorId="0" shapeId="0" xr:uid="{00000000-0006-0000-0500-0000E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79" authorId="0" shapeId="0" xr:uid="{00000000-0006-0000-0500-0000E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79" authorId="0" shapeId="0" xr:uid="{00000000-0006-0000-0500-0000E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79" authorId="0" shapeId="0" xr:uid="{00000000-0006-0000-0500-0000F0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79" authorId="0" shapeId="0" xr:uid="{00000000-0006-0000-0500-0000F1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79" authorId="0" shapeId="0" xr:uid="{00000000-0006-0000-0500-0000F2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79" authorId="0" shapeId="0" xr:uid="{00000000-0006-0000-0500-0000F3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79" authorId="0" shapeId="0" xr:uid="{00000000-0006-0000-0500-0000F4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0" authorId="0" shapeId="0" xr:uid="{00000000-0006-0000-0500-0000F5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0" authorId="0" shapeId="0" xr:uid="{00000000-0006-0000-0500-0000F6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0" authorId="0" shapeId="0" xr:uid="{00000000-0006-0000-0500-0000F7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0" authorId="0" shapeId="0" xr:uid="{00000000-0006-0000-0500-0000F8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0" authorId="0" shapeId="0" xr:uid="{00000000-0006-0000-0500-0000F9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0" authorId="0" shapeId="0" xr:uid="{00000000-0006-0000-0500-0000FA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0" authorId="0" shapeId="0" xr:uid="{00000000-0006-0000-0500-0000FB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0" authorId="0" shapeId="0" xr:uid="{00000000-0006-0000-0500-0000FC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0" authorId="0" shapeId="0" xr:uid="{00000000-0006-0000-0500-0000FD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0" authorId="0" shapeId="0" xr:uid="{00000000-0006-0000-0500-0000FE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0" authorId="0" shapeId="0" xr:uid="{00000000-0006-0000-0500-0000FF01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0" authorId="0" shapeId="0" xr:uid="{00000000-0006-0000-0500-00000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0" authorId="0" shapeId="0" xr:uid="{00000000-0006-0000-0500-00000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0" authorId="0" shapeId="0" xr:uid="{00000000-0006-0000-0500-00000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0" authorId="0" shapeId="0" xr:uid="{00000000-0006-0000-0500-00000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0" authorId="0" shapeId="0" xr:uid="{00000000-0006-0000-0500-00000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0" authorId="0" shapeId="0" xr:uid="{00000000-0006-0000-0500-00000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0" authorId="0" shapeId="0" xr:uid="{00000000-0006-0000-0500-00000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0" authorId="0" shapeId="0" xr:uid="{00000000-0006-0000-0500-00000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0" authorId="0" shapeId="0" xr:uid="{00000000-0006-0000-0500-00000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1" authorId="0" shapeId="0" xr:uid="{00000000-0006-0000-0500-00000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1" authorId="0" shapeId="0" xr:uid="{00000000-0006-0000-0500-00000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1" authorId="0" shapeId="0" xr:uid="{00000000-0006-0000-0500-00000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1" authorId="0" shapeId="0" xr:uid="{00000000-0006-0000-0500-00000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1" authorId="0" shapeId="0" xr:uid="{00000000-0006-0000-0500-00000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1" authorId="0" shapeId="0" xr:uid="{00000000-0006-0000-0500-00000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1" authorId="0" shapeId="0" xr:uid="{00000000-0006-0000-0500-00000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1" authorId="0" shapeId="0" xr:uid="{00000000-0006-0000-0500-00001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1" authorId="0" shapeId="0" xr:uid="{00000000-0006-0000-0500-00001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1" authorId="0" shapeId="0" xr:uid="{00000000-0006-0000-0500-00001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1" authorId="0" shapeId="0" xr:uid="{00000000-0006-0000-0500-00001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1" authorId="0" shapeId="0" xr:uid="{00000000-0006-0000-0500-00001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1" authorId="0" shapeId="0" xr:uid="{00000000-0006-0000-0500-00001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1" authorId="0" shapeId="0" xr:uid="{00000000-0006-0000-0500-00001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1" authorId="0" shapeId="0" xr:uid="{00000000-0006-0000-0500-00001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1" authorId="0" shapeId="0" xr:uid="{00000000-0006-0000-0500-00001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1" authorId="0" shapeId="0" xr:uid="{00000000-0006-0000-0500-00001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1" authorId="0" shapeId="0" xr:uid="{00000000-0006-0000-0500-00001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1" authorId="0" shapeId="0" xr:uid="{00000000-0006-0000-0500-00001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1" authorId="0" shapeId="0" xr:uid="{00000000-0006-0000-0500-00001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2" authorId="0" shapeId="0" xr:uid="{00000000-0006-0000-0500-00001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2" authorId="0" shapeId="0" xr:uid="{00000000-0006-0000-0500-00001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2" authorId="0" shapeId="0" xr:uid="{00000000-0006-0000-0500-00001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2" authorId="0" shapeId="0" xr:uid="{00000000-0006-0000-0500-00002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2" authorId="0" shapeId="0" xr:uid="{00000000-0006-0000-0500-00002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2" authorId="0" shapeId="0" xr:uid="{00000000-0006-0000-0500-00002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2" authorId="0" shapeId="0" xr:uid="{00000000-0006-0000-0500-00002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2" authorId="0" shapeId="0" xr:uid="{00000000-0006-0000-0500-00002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2" authorId="0" shapeId="0" xr:uid="{00000000-0006-0000-0500-00002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2" authorId="0" shapeId="0" xr:uid="{00000000-0006-0000-0500-00002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2" authorId="0" shapeId="0" xr:uid="{00000000-0006-0000-0500-00002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2" authorId="0" shapeId="0" xr:uid="{00000000-0006-0000-0500-00002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2" authorId="0" shapeId="0" xr:uid="{00000000-0006-0000-0500-00002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2" authorId="0" shapeId="0" xr:uid="{00000000-0006-0000-0500-00002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2" authorId="0" shapeId="0" xr:uid="{00000000-0006-0000-0500-00002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2" authorId="0" shapeId="0" xr:uid="{00000000-0006-0000-0500-00002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2" authorId="0" shapeId="0" xr:uid="{00000000-0006-0000-0500-00002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2" authorId="0" shapeId="0" xr:uid="{00000000-0006-0000-0500-00002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2" authorId="0" shapeId="0" xr:uid="{00000000-0006-0000-0500-00002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2" authorId="0" shapeId="0" xr:uid="{00000000-0006-0000-0500-00003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3" authorId="0" shapeId="0" xr:uid="{00000000-0006-0000-0500-00003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3" authorId="0" shapeId="0" xr:uid="{00000000-0006-0000-0500-00003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3" authorId="0" shapeId="0" xr:uid="{00000000-0006-0000-0500-00003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3" authorId="0" shapeId="0" xr:uid="{00000000-0006-0000-0500-00003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3" authorId="0" shapeId="0" xr:uid="{00000000-0006-0000-0500-00003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3" authorId="0" shapeId="0" xr:uid="{00000000-0006-0000-0500-00003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3" authorId="0" shapeId="0" xr:uid="{00000000-0006-0000-0500-00003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3" authorId="0" shapeId="0" xr:uid="{00000000-0006-0000-0500-00003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3" authorId="0" shapeId="0" xr:uid="{00000000-0006-0000-0500-00003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3" authorId="0" shapeId="0" xr:uid="{00000000-0006-0000-0500-00003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3" authorId="0" shapeId="0" xr:uid="{00000000-0006-0000-0500-00003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3" authorId="0" shapeId="0" xr:uid="{00000000-0006-0000-0500-00003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3" authorId="0" shapeId="0" xr:uid="{00000000-0006-0000-0500-00003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3" authorId="0" shapeId="0" xr:uid="{00000000-0006-0000-0500-00003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3" authorId="0" shapeId="0" xr:uid="{00000000-0006-0000-0500-00003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3" authorId="0" shapeId="0" xr:uid="{00000000-0006-0000-0500-00004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3" authorId="0" shapeId="0" xr:uid="{00000000-0006-0000-0500-00004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3" authorId="0" shapeId="0" xr:uid="{00000000-0006-0000-0500-00004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3" authorId="0" shapeId="0" xr:uid="{00000000-0006-0000-0500-00004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3" authorId="0" shapeId="0" xr:uid="{00000000-0006-0000-0500-00004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4" authorId="0" shapeId="0" xr:uid="{00000000-0006-0000-0500-00004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4" authorId="0" shapeId="0" xr:uid="{00000000-0006-0000-0500-00004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4" authorId="0" shapeId="0" xr:uid="{00000000-0006-0000-0500-00004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4" authorId="0" shapeId="0" xr:uid="{00000000-0006-0000-0500-00004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4" authorId="0" shapeId="0" xr:uid="{00000000-0006-0000-0500-00004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4" authorId="0" shapeId="0" xr:uid="{00000000-0006-0000-0500-00004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4" authorId="0" shapeId="0" xr:uid="{00000000-0006-0000-0500-00004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4" authorId="0" shapeId="0" xr:uid="{00000000-0006-0000-0500-00004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4" authorId="0" shapeId="0" xr:uid="{00000000-0006-0000-0500-00004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4" authorId="0" shapeId="0" xr:uid="{00000000-0006-0000-0500-00004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4" authorId="0" shapeId="0" xr:uid="{00000000-0006-0000-0500-00004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4" authorId="0" shapeId="0" xr:uid="{00000000-0006-0000-0500-00005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4" authorId="0" shapeId="0" xr:uid="{00000000-0006-0000-0500-00005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4" authorId="0" shapeId="0" xr:uid="{00000000-0006-0000-0500-00005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4" authorId="0" shapeId="0" xr:uid="{00000000-0006-0000-0500-00005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4" authorId="0" shapeId="0" xr:uid="{00000000-0006-0000-0500-00005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4" authorId="0" shapeId="0" xr:uid="{00000000-0006-0000-0500-00005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4" authorId="0" shapeId="0" xr:uid="{00000000-0006-0000-0500-00005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4" authorId="0" shapeId="0" xr:uid="{00000000-0006-0000-0500-00005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4" authorId="0" shapeId="0" xr:uid="{00000000-0006-0000-0500-00005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5" authorId="0" shapeId="0" xr:uid="{00000000-0006-0000-0500-00005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5" authorId="0" shapeId="0" xr:uid="{00000000-0006-0000-0500-00005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5" authorId="0" shapeId="0" xr:uid="{00000000-0006-0000-0500-00005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5" authorId="0" shapeId="0" xr:uid="{00000000-0006-0000-0500-00005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5" authorId="0" shapeId="0" xr:uid="{00000000-0006-0000-0500-00005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5" authorId="0" shapeId="0" xr:uid="{00000000-0006-0000-0500-00005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5" authorId="0" shapeId="0" xr:uid="{00000000-0006-0000-0500-00005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5" authorId="0" shapeId="0" xr:uid="{00000000-0006-0000-0500-00006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5" authorId="0" shapeId="0" xr:uid="{00000000-0006-0000-0500-00006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5" authorId="0" shapeId="0" xr:uid="{00000000-0006-0000-0500-00006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5" authorId="0" shapeId="0" xr:uid="{00000000-0006-0000-0500-00006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5" authorId="0" shapeId="0" xr:uid="{00000000-0006-0000-0500-00006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5" authorId="0" shapeId="0" xr:uid="{00000000-0006-0000-0500-00006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5" authorId="0" shapeId="0" xr:uid="{00000000-0006-0000-0500-00006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5" authorId="0" shapeId="0" xr:uid="{00000000-0006-0000-0500-00006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5" authorId="0" shapeId="0" xr:uid="{00000000-0006-0000-0500-00006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5" authorId="0" shapeId="0" xr:uid="{00000000-0006-0000-0500-00006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5" authorId="0" shapeId="0" xr:uid="{00000000-0006-0000-0500-00006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5" authorId="0" shapeId="0" xr:uid="{00000000-0006-0000-0500-00006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5" authorId="0" shapeId="0" xr:uid="{00000000-0006-0000-0500-00006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6" authorId="0" shapeId="0" xr:uid="{00000000-0006-0000-0500-00006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6" authorId="0" shapeId="0" xr:uid="{00000000-0006-0000-0500-00006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6" authorId="0" shapeId="0" xr:uid="{00000000-0006-0000-0500-00006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6" authorId="0" shapeId="0" xr:uid="{00000000-0006-0000-0500-00007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6" authorId="0" shapeId="0" xr:uid="{00000000-0006-0000-0500-00007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6" authorId="0" shapeId="0" xr:uid="{00000000-0006-0000-0500-00007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6" authorId="0" shapeId="0" xr:uid="{00000000-0006-0000-0500-00007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6" authorId="0" shapeId="0" xr:uid="{00000000-0006-0000-0500-00007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6" authorId="0" shapeId="0" xr:uid="{00000000-0006-0000-0500-00007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6" authorId="0" shapeId="0" xr:uid="{00000000-0006-0000-0500-00007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6" authorId="0" shapeId="0" xr:uid="{00000000-0006-0000-0500-00007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6" authorId="0" shapeId="0" xr:uid="{00000000-0006-0000-0500-00007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6" authorId="0" shapeId="0" xr:uid="{00000000-0006-0000-0500-00007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6" authorId="0" shapeId="0" xr:uid="{00000000-0006-0000-0500-00007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6" authorId="0" shapeId="0" xr:uid="{00000000-0006-0000-0500-00007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6" authorId="0" shapeId="0" xr:uid="{00000000-0006-0000-0500-00007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6" authorId="0" shapeId="0" xr:uid="{00000000-0006-0000-0500-00007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6" authorId="0" shapeId="0" xr:uid="{00000000-0006-0000-0500-00007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6" authorId="0" shapeId="0" xr:uid="{00000000-0006-0000-0500-00007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6" authorId="0" shapeId="0" xr:uid="{00000000-0006-0000-0500-00008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7" authorId="0" shapeId="0" xr:uid="{00000000-0006-0000-0500-00008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7" authorId="0" shapeId="0" xr:uid="{00000000-0006-0000-0500-00008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7" authorId="0" shapeId="0" xr:uid="{00000000-0006-0000-0500-00008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7" authorId="0" shapeId="0" xr:uid="{00000000-0006-0000-0500-00008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7" authorId="0" shapeId="0" xr:uid="{00000000-0006-0000-0500-00008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7" authorId="0" shapeId="0" xr:uid="{00000000-0006-0000-0500-00008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7" authorId="0" shapeId="0" xr:uid="{00000000-0006-0000-0500-00008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7" authorId="0" shapeId="0" xr:uid="{00000000-0006-0000-0500-00008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7" authorId="0" shapeId="0" xr:uid="{00000000-0006-0000-0500-00008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7" authorId="0" shapeId="0" xr:uid="{00000000-0006-0000-0500-00008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7" authorId="0" shapeId="0" xr:uid="{00000000-0006-0000-0500-00008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7" authorId="0" shapeId="0" xr:uid="{00000000-0006-0000-0500-00008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7" authorId="0" shapeId="0" xr:uid="{00000000-0006-0000-0500-00008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7" authorId="0" shapeId="0" xr:uid="{00000000-0006-0000-0500-00008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7" authorId="0" shapeId="0" xr:uid="{00000000-0006-0000-0500-00008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7" authorId="0" shapeId="0" xr:uid="{00000000-0006-0000-0500-00009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7" authorId="0" shapeId="0" xr:uid="{00000000-0006-0000-0500-00009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7" authorId="0" shapeId="0" xr:uid="{00000000-0006-0000-0500-00009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7" authorId="0" shapeId="0" xr:uid="{00000000-0006-0000-0500-00009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7" authorId="0" shapeId="0" xr:uid="{00000000-0006-0000-0500-00009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8" authorId="0" shapeId="0" xr:uid="{00000000-0006-0000-0500-00009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8" authorId="0" shapeId="0" xr:uid="{00000000-0006-0000-0500-00009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8" authorId="0" shapeId="0" xr:uid="{00000000-0006-0000-0500-00009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8" authorId="0" shapeId="0" xr:uid="{00000000-0006-0000-0500-00009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8" authorId="0" shapeId="0" xr:uid="{00000000-0006-0000-0500-00009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8" authorId="0" shapeId="0" xr:uid="{00000000-0006-0000-0500-00009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8" authorId="0" shapeId="0" xr:uid="{00000000-0006-0000-0500-00009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8" authorId="0" shapeId="0" xr:uid="{00000000-0006-0000-0500-00009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8" authorId="0" shapeId="0" xr:uid="{00000000-0006-0000-0500-00009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8" authorId="0" shapeId="0" xr:uid="{00000000-0006-0000-0500-00009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8" authorId="0" shapeId="0" xr:uid="{00000000-0006-0000-0500-00009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8" authorId="0" shapeId="0" xr:uid="{00000000-0006-0000-0500-0000A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8" authorId="0" shapeId="0" xr:uid="{00000000-0006-0000-0500-0000A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8" authorId="0" shapeId="0" xr:uid="{00000000-0006-0000-0500-0000A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8" authorId="0" shapeId="0" xr:uid="{00000000-0006-0000-0500-0000A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8" authorId="0" shapeId="0" xr:uid="{00000000-0006-0000-0500-0000A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8" authorId="0" shapeId="0" xr:uid="{00000000-0006-0000-0500-0000A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8" authorId="0" shapeId="0" xr:uid="{00000000-0006-0000-0500-0000A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8" authorId="0" shapeId="0" xr:uid="{00000000-0006-0000-0500-0000A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8" authorId="0" shapeId="0" xr:uid="{00000000-0006-0000-0500-0000A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89" authorId="0" shapeId="0" xr:uid="{00000000-0006-0000-0500-0000A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89" authorId="0" shapeId="0" xr:uid="{00000000-0006-0000-0500-0000A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89" authorId="0" shapeId="0" xr:uid="{00000000-0006-0000-0500-0000A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89" authorId="0" shapeId="0" xr:uid="{00000000-0006-0000-0500-0000A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89" authorId="0" shapeId="0" xr:uid="{00000000-0006-0000-0500-0000A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89" authorId="0" shapeId="0" xr:uid="{00000000-0006-0000-0500-0000A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89" authorId="0" shapeId="0" xr:uid="{00000000-0006-0000-0500-0000A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89" authorId="0" shapeId="0" xr:uid="{00000000-0006-0000-0500-0000B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89" authorId="0" shapeId="0" xr:uid="{00000000-0006-0000-0500-0000B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89" authorId="0" shapeId="0" xr:uid="{00000000-0006-0000-0500-0000B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89" authorId="0" shapeId="0" xr:uid="{00000000-0006-0000-0500-0000B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89" authorId="0" shapeId="0" xr:uid="{00000000-0006-0000-0500-0000B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89" authorId="0" shapeId="0" xr:uid="{00000000-0006-0000-0500-0000B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89" authorId="0" shapeId="0" xr:uid="{00000000-0006-0000-0500-0000B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89" authorId="0" shapeId="0" xr:uid="{00000000-0006-0000-0500-0000B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89" authorId="0" shapeId="0" xr:uid="{00000000-0006-0000-0500-0000B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89" authorId="0" shapeId="0" xr:uid="{00000000-0006-0000-0500-0000B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89" authorId="0" shapeId="0" xr:uid="{00000000-0006-0000-0500-0000B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89" authorId="0" shapeId="0" xr:uid="{00000000-0006-0000-0500-0000B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89" authorId="0" shapeId="0" xr:uid="{00000000-0006-0000-0500-0000B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0" authorId="0" shapeId="0" xr:uid="{00000000-0006-0000-0500-0000B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0" authorId="0" shapeId="0" xr:uid="{00000000-0006-0000-0500-0000B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0" authorId="0" shapeId="0" xr:uid="{00000000-0006-0000-0500-0000B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0" authorId="0" shapeId="0" xr:uid="{00000000-0006-0000-0500-0000C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0" authorId="0" shapeId="0" xr:uid="{00000000-0006-0000-0500-0000C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0" authorId="0" shapeId="0" xr:uid="{00000000-0006-0000-0500-0000C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0" authorId="0" shapeId="0" xr:uid="{00000000-0006-0000-0500-0000C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0" authorId="0" shapeId="0" xr:uid="{00000000-0006-0000-0500-0000C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0" authorId="0" shapeId="0" xr:uid="{00000000-0006-0000-0500-0000C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0" authorId="0" shapeId="0" xr:uid="{00000000-0006-0000-0500-0000C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0" authorId="0" shapeId="0" xr:uid="{00000000-0006-0000-0500-0000C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0" authorId="0" shapeId="0" xr:uid="{00000000-0006-0000-0500-0000C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0" authorId="0" shapeId="0" xr:uid="{00000000-0006-0000-0500-0000C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0" authorId="0" shapeId="0" xr:uid="{00000000-0006-0000-0500-0000C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0" authorId="0" shapeId="0" xr:uid="{00000000-0006-0000-0500-0000C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0" authorId="0" shapeId="0" xr:uid="{00000000-0006-0000-0500-0000C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0" authorId="0" shapeId="0" xr:uid="{00000000-0006-0000-0500-0000C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0" authorId="0" shapeId="0" xr:uid="{00000000-0006-0000-0500-0000C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0" authorId="0" shapeId="0" xr:uid="{00000000-0006-0000-0500-0000C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0" authorId="0" shapeId="0" xr:uid="{00000000-0006-0000-0500-0000D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1" authorId="0" shapeId="0" xr:uid="{00000000-0006-0000-0500-0000D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1" authorId="0" shapeId="0" xr:uid="{00000000-0006-0000-0500-0000D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1" authorId="0" shapeId="0" xr:uid="{00000000-0006-0000-0500-0000D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1" authorId="0" shapeId="0" xr:uid="{00000000-0006-0000-0500-0000D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1" authorId="0" shapeId="0" xr:uid="{00000000-0006-0000-0500-0000D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1" authorId="0" shapeId="0" xr:uid="{00000000-0006-0000-0500-0000D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1" authorId="0" shapeId="0" xr:uid="{00000000-0006-0000-0500-0000D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1" authorId="0" shapeId="0" xr:uid="{00000000-0006-0000-0500-0000D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1" authorId="0" shapeId="0" xr:uid="{00000000-0006-0000-0500-0000D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1" authorId="0" shapeId="0" xr:uid="{00000000-0006-0000-0500-0000D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1" authorId="0" shapeId="0" xr:uid="{00000000-0006-0000-0500-0000D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1" authorId="0" shapeId="0" xr:uid="{00000000-0006-0000-0500-0000D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1" authorId="0" shapeId="0" xr:uid="{00000000-0006-0000-0500-0000D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1" authorId="0" shapeId="0" xr:uid="{00000000-0006-0000-0500-0000D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1" authorId="0" shapeId="0" xr:uid="{00000000-0006-0000-0500-0000D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1" authorId="0" shapeId="0" xr:uid="{00000000-0006-0000-0500-0000E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1" authorId="0" shapeId="0" xr:uid="{00000000-0006-0000-0500-0000E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1" authorId="0" shapeId="0" xr:uid="{00000000-0006-0000-0500-0000E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1" authorId="0" shapeId="0" xr:uid="{00000000-0006-0000-0500-0000E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1" authorId="0" shapeId="0" xr:uid="{00000000-0006-0000-0500-0000E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2" authorId="0" shapeId="0" xr:uid="{00000000-0006-0000-0500-0000E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2" authorId="0" shapeId="0" xr:uid="{00000000-0006-0000-0500-0000E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2" authorId="0" shapeId="0" xr:uid="{00000000-0006-0000-0500-0000E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2" authorId="0" shapeId="0" xr:uid="{00000000-0006-0000-0500-0000E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2" authorId="0" shapeId="0" xr:uid="{00000000-0006-0000-0500-0000E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2" authorId="0" shapeId="0" xr:uid="{00000000-0006-0000-0500-0000E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2" authorId="0" shapeId="0" xr:uid="{00000000-0006-0000-0500-0000E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2" authorId="0" shapeId="0" xr:uid="{00000000-0006-0000-0500-0000E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2" authorId="0" shapeId="0" xr:uid="{00000000-0006-0000-0500-0000E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2" authorId="0" shapeId="0" xr:uid="{00000000-0006-0000-0500-0000E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2" authorId="0" shapeId="0" xr:uid="{00000000-0006-0000-0500-0000E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2" authorId="0" shapeId="0" xr:uid="{00000000-0006-0000-0500-0000F0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2" authorId="0" shapeId="0" xr:uid="{00000000-0006-0000-0500-0000F1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2" authorId="0" shapeId="0" xr:uid="{00000000-0006-0000-0500-0000F2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2" authorId="0" shapeId="0" xr:uid="{00000000-0006-0000-0500-0000F3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2" authorId="0" shapeId="0" xr:uid="{00000000-0006-0000-0500-0000F4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2" authorId="0" shapeId="0" xr:uid="{00000000-0006-0000-0500-0000F5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2" authorId="0" shapeId="0" xr:uid="{00000000-0006-0000-0500-0000F6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2" authorId="0" shapeId="0" xr:uid="{00000000-0006-0000-0500-0000F7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2" authorId="0" shapeId="0" xr:uid="{00000000-0006-0000-0500-0000F8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3" authorId="0" shapeId="0" xr:uid="{00000000-0006-0000-0500-0000F9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3" authorId="0" shapeId="0" xr:uid="{00000000-0006-0000-0500-0000FA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3" authorId="0" shapeId="0" xr:uid="{00000000-0006-0000-0500-0000FB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3" authorId="0" shapeId="0" xr:uid="{00000000-0006-0000-0500-0000FC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3" authorId="0" shapeId="0" xr:uid="{00000000-0006-0000-0500-0000FD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3" authorId="0" shapeId="0" xr:uid="{00000000-0006-0000-0500-0000FE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3" authorId="0" shapeId="0" xr:uid="{00000000-0006-0000-0500-0000FF02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3" authorId="0" shapeId="0" xr:uid="{00000000-0006-0000-0500-00000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3" authorId="0" shapeId="0" xr:uid="{00000000-0006-0000-0500-00000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3" authorId="0" shapeId="0" xr:uid="{00000000-0006-0000-0500-00000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3" authorId="0" shapeId="0" xr:uid="{00000000-0006-0000-0500-00000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3" authorId="0" shapeId="0" xr:uid="{00000000-0006-0000-0500-00000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3" authorId="0" shapeId="0" xr:uid="{00000000-0006-0000-0500-00000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3" authorId="0" shapeId="0" xr:uid="{00000000-0006-0000-0500-00000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3" authorId="0" shapeId="0" xr:uid="{00000000-0006-0000-0500-00000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3" authorId="0" shapeId="0" xr:uid="{00000000-0006-0000-0500-00000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3" authorId="0" shapeId="0" xr:uid="{00000000-0006-0000-0500-00000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3" authorId="0" shapeId="0" xr:uid="{00000000-0006-0000-0500-00000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3" authorId="0" shapeId="0" xr:uid="{00000000-0006-0000-0500-00000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3" authorId="0" shapeId="0" xr:uid="{00000000-0006-0000-0500-00000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4" authorId="0" shapeId="0" xr:uid="{00000000-0006-0000-0500-00000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4" authorId="0" shapeId="0" xr:uid="{00000000-0006-0000-0500-00000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4" authorId="0" shapeId="0" xr:uid="{00000000-0006-0000-0500-00000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4" authorId="0" shapeId="0" xr:uid="{00000000-0006-0000-0500-00001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4" authorId="0" shapeId="0" xr:uid="{00000000-0006-0000-0500-00001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4" authorId="0" shapeId="0" xr:uid="{00000000-0006-0000-0500-00001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4" authorId="0" shapeId="0" xr:uid="{00000000-0006-0000-0500-00001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4" authorId="0" shapeId="0" xr:uid="{00000000-0006-0000-0500-00001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4" authorId="0" shapeId="0" xr:uid="{00000000-0006-0000-0500-00001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4" authorId="0" shapeId="0" xr:uid="{00000000-0006-0000-0500-00001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4" authorId="0" shapeId="0" xr:uid="{00000000-0006-0000-0500-00001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4" authorId="0" shapeId="0" xr:uid="{00000000-0006-0000-0500-00001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4" authorId="0" shapeId="0" xr:uid="{00000000-0006-0000-0500-00001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4" authorId="0" shapeId="0" xr:uid="{00000000-0006-0000-0500-00001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4" authorId="0" shapeId="0" xr:uid="{00000000-0006-0000-0500-00001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4" authorId="0" shapeId="0" xr:uid="{00000000-0006-0000-0500-00001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4" authorId="0" shapeId="0" xr:uid="{00000000-0006-0000-0500-00001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4" authorId="0" shapeId="0" xr:uid="{00000000-0006-0000-0500-00001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4" authorId="0" shapeId="0" xr:uid="{00000000-0006-0000-0500-00001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4" authorId="0" shapeId="0" xr:uid="{00000000-0006-0000-0500-00002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5" authorId="0" shapeId="0" xr:uid="{00000000-0006-0000-0500-00002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5" authorId="0" shapeId="0" xr:uid="{00000000-0006-0000-0500-00002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5" authorId="0" shapeId="0" xr:uid="{00000000-0006-0000-0500-00002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5" authorId="0" shapeId="0" xr:uid="{00000000-0006-0000-0500-00002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5" authorId="0" shapeId="0" xr:uid="{00000000-0006-0000-0500-00002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5" authorId="0" shapeId="0" xr:uid="{00000000-0006-0000-0500-00002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5" authorId="0" shapeId="0" xr:uid="{00000000-0006-0000-0500-00002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5" authorId="0" shapeId="0" xr:uid="{00000000-0006-0000-0500-00002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5" authorId="0" shapeId="0" xr:uid="{00000000-0006-0000-0500-00002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5" authorId="0" shapeId="0" xr:uid="{00000000-0006-0000-0500-00002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5" authorId="0" shapeId="0" xr:uid="{00000000-0006-0000-0500-00002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5" authorId="0" shapeId="0" xr:uid="{00000000-0006-0000-0500-00002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5" authorId="0" shapeId="0" xr:uid="{00000000-0006-0000-0500-00002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5" authorId="0" shapeId="0" xr:uid="{00000000-0006-0000-0500-00002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5" authorId="0" shapeId="0" xr:uid="{00000000-0006-0000-0500-00002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5" authorId="0" shapeId="0" xr:uid="{00000000-0006-0000-0500-00003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5" authorId="0" shapeId="0" xr:uid="{00000000-0006-0000-0500-00003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5" authorId="0" shapeId="0" xr:uid="{00000000-0006-0000-0500-00003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5" authorId="0" shapeId="0" xr:uid="{00000000-0006-0000-0500-00003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5" authorId="0" shapeId="0" xr:uid="{00000000-0006-0000-0500-00003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6" authorId="0" shapeId="0" xr:uid="{00000000-0006-0000-0500-00003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6" authorId="0" shapeId="0" xr:uid="{00000000-0006-0000-0500-00003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6" authorId="0" shapeId="0" xr:uid="{00000000-0006-0000-0500-00003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6" authorId="0" shapeId="0" xr:uid="{00000000-0006-0000-0500-00003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6" authorId="0" shapeId="0" xr:uid="{00000000-0006-0000-0500-00003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6" authorId="0" shapeId="0" xr:uid="{00000000-0006-0000-0500-00003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6" authorId="0" shapeId="0" xr:uid="{00000000-0006-0000-0500-00003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6" authorId="0" shapeId="0" xr:uid="{00000000-0006-0000-0500-00003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6" authorId="0" shapeId="0" xr:uid="{00000000-0006-0000-0500-00003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6" authorId="0" shapeId="0" xr:uid="{00000000-0006-0000-0500-00003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6" authorId="0" shapeId="0" xr:uid="{00000000-0006-0000-0500-00003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6" authorId="0" shapeId="0" xr:uid="{00000000-0006-0000-0500-00004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6" authorId="0" shapeId="0" xr:uid="{00000000-0006-0000-0500-00004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6" authorId="0" shapeId="0" xr:uid="{00000000-0006-0000-0500-00004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6" authorId="0" shapeId="0" xr:uid="{00000000-0006-0000-0500-00004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6" authorId="0" shapeId="0" xr:uid="{00000000-0006-0000-0500-00004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6" authorId="0" shapeId="0" xr:uid="{00000000-0006-0000-0500-00004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6" authorId="0" shapeId="0" xr:uid="{00000000-0006-0000-0500-00004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6" authorId="0" shapeId="0" xr:uid="{00000000-0006-0000-0500-00004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6" authorId="0" shapeId="0" xr:uid="{00000000-0006-0000-0500-00004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7" authorId="0" shapeId="0" xr:uid="{00000000-0006-0000-0500-00004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7" authorId="0" shapeId="0" xr:uid="{00000000-0006-0000-0500-00004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7" authorId="0" shapeId="0" xr:uid="{00000000-0006-0000-0500-00004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7" authorId="0" shapeId="0" xr:uid="{00000000-0006-0000-0500-00004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7" authorId="0" shapeId="0" xr:uid="{00000000-0006-0000-0500-00004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7" authorId="0" shapeId="0" xr:uid="{00000000-0006-0000-0500-00004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7" authorId="0" shapeId="0" xr:uid="{00000000-0006-0000-0500-00004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7" authorId="0" shapeId="0" xr:uid="{00000000-0006-0000-0500-00005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7" authorId="0" shapeId="0" xr:uid="{00000000-0006-0000-0500-00005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7" authorId="0" shapeId="0" xr:uid="{00000000-0006-0000-0500-00005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7" authorId="0" shapeId="0" xr:uid="{00000000-0006-0000-0500-00005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7" authorId="0" shapeId="0" xr:uid="{00000000-0006-0000-0500-00005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7" authorId="0" shapeId="0" xr:uid="{00000000-0006-0000-0500-00005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7" authorId="0" shapeId="0" xr:uid="{00000000-0006-0000-0500-00005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7" authorId="0" shapeId="0" xr:uid="{00000000-0006-0000-0500-00005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7" authorId="0" shapeId="0" xr:uid="{00000000-0006-0000-0500-00005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7" authorId="0" shapeId="0" xr:uid="{00000000-0006-0000-0500-00005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7" authorId="0" shapeId="0" xr:uid="{00000000-0006-0000-0500-00005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7" authorId="0" shapeId="0" xr:uid="{00000000-0006-0000-0500-00005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7" authorId="0" shapeId="0" xr:uid="{00000000-0006-0000-0500-00005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8" authorId="0" shapeId="0" xr:uid="{00000000-0006-0000-0500-00005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8" authorId="0" shapeId="0" xr:uid="{00000000-0006-0000-0500-00005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8" authorId="0" shapeId="0" xr:uid="{00000000-0006-0000-0500-00005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8" authorId="0" shapeId="0" xr:uid="{00000000-0006-0000-0500-00006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8" authorId="0" shapeId="0" xr:uid="{00000000-0006-0000-0500-00006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8" authorId="0" shapeId="0" xr:uid="{00000000-0006-0000-0500-00006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8" authorId="0" shapeId="0" xr:uid="{00000000-0006-0000-0500-00006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8" authorId="0" shapeId="0" xr:uid="{00000000-0006-0000-0500-00006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8" authorId="0" shapeId="0" xr:uid="{00000000-0006-0000-0500-00006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8" authorId="0" shapeId="0" xr:uid="{00000000-0006-0000-0500-00006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8" authorId="0" shapeId="0" xr:uid="{00000000-0006-0000-0500-00006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8" authorId="0" shapeId="0" xr:uid="{00000000-0006-0000-0500-00006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8" authorId="0" shapeId="0" xr:uid="{00000000-0006-0000-0500-00006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8" authorId="0" shapeId="0" xr:uid="{00000000-0006-0000-0500-00006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8" authorId="0" shapeId="0" xr:uid="{00000000-0006-0000-0500-00006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8" authorId="0" shapeId="0" xr:uid="{00000000-0006-0000-0500-00006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8" authorId="0" shapeId="0" xr:uid="{00000000-0006-0000-0500-00006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8" authorId="0" shapeId="0" xr:uid="{00000000-0006-0000-0500-00006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8" authorId="0" shapeId="0" xr:uid="{00000000-0006-0000-0500-00006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8" authorId="0" shapeId="0" xr:uid="{00000000-0006-0000-0500-00007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99" authorId="0" shapeId="0" xr:uid="{00000000-0006-0000-0500-00007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99" authorId="0" shapeId="0" xr:uid="{00000000-0006-0000-0500-00007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99" authorId="0" shapeId="0" xr:uid="{00000000-0006-0000-0500-00007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99" authorId="0" shapeId="0" xr:uid="{00000000-0006-0000-0500-00007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99" authorId="0" shapeId="0" xr:uid="{00000000-0006-0000-0500-00007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99" authorId="0" shapeId="0" xr:uid="{00000000-0006-0000-0500-00007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99" authorId="0" shapeId="0" xr:uid="{00000000-0006-0000-0500-00007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99" authorId="0" shapeId="0" xr:uid="{00000000-0006-0000-0500-00007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99" authorId="0" shapeId="0" xr:uid="{00000000-0006-0000-0500-00007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99" authorId="0" shapeId="0" xr:uid="{00000000-0006-0000-0500-00007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99" authorId="0" shapeId="0" xr:uid="{00000000-0006-0000-0500-00007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99" authorId="0" shapeId="0" xr:uid="{00000000-0006-0000-0500-00007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99" authorId="0" shapeId="0" xr:uid="{00000000-0006-0000-0500-00007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99" authorId="0" shapeId="0" xr:uid="{00000000-0006-0000-0500-00007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99" authorId="0" shapeId="0" xr:uid="{00000000-0006-0000-0500-00007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99" authorId="0" shapeId="0" xr:uid="{00000000-0006-0000-0500-00008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99" authorId="0" shapeId="0" xr:uid="{00000000-0006-0000-0500-00008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99" authorId="0" shapeId="0" xr:uid="{00000000-0006-0000-0500-00008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99" authorId="0" shapeId="0" xr:uid="{00000000-0006-0000-0500-00008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99" authorId="0" shapeId="0" xr:uid="{00000000-0006-0000-0500-00008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0" authorId="0" shapeId="0" xr:uid="{00000000-0006-0000-0500-00008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0" authorId="0" shapeId="0" xr:uid="{00000000-0006-0000-0500-00008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0" authorId="0" shapeId="0" xr:uid="{00000000-0006-0000-0500-00008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0" authorId="0" shapeId="0" xr:uid="{00000000-0006-0000-0500-00008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0" authorId="0" shapeId="0" xr:uid="{00000000-0006-0000-0500-00008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0" authorId="0" shapeId="0" xr:uid="{00000000-0006-0000-0500-00008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0" authorId="0" shapeId="0" xr:uid="{00000000-0006-0000-0500-00008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0" authorId="0" shapeId="0" xr:uid="{00000000-0006-0000-0500-00008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0" authorId="0" shapeId="0" xr:uid="{00000000-0006-0000-0500-00008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0" authorId="0" shapeId="0" xr:uid="{00000000-0006-0000-0500-00008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0" authorId="0" shapeId="0" xr:uid="{00000000-0006-0000-0500-00008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0" authorId="0" shapeId="0" xr:uid="{00000000-0006-0000-0500-00009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0" authorId="0" shapeId="0" xr:uid="{00000000-0006-0000-0500-00009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0" authorId="0" shapeId="0" xr:uid="{00000000-0006-0000-0500-00009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0" authorId="0" shapeId="0" xr:uid="{00000000-0006-0000-0500-00009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0" authorId="0" shapeId="0" xr:uid="{00000000-0006-0000-0500-00009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0" authorId="0" shapeId="0" xr:uid="{00000000-0006-0000-0500-00009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0" authorId="0" shapeId="0" xr:uid="{00000000-0006-0000-0500-00009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0" authorId="0" shapeId="0" xr:uid="{00000000-0006-0000-0500-00009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0" authorId="0" shapeId="0" xr:uid="{00000000-0006-0000-0500-00009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1" authorId="0" shapeId="0" xr:uid="{00000000-0006-0000-0500-00009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1" authorId="0" shapeId="0" xr:uid="{00000000-0006-0000-0500-00009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1" authorId="0" shapeId="0" xr:uid="{00000000-0006-0000-0500-00009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1" authorId="0" shapeId="0" xr:uid="{00000000-0006-0000-0500-00009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1" authorId="0" shapeId="0" xr:uid="{00000000-0006-0000-0500-00009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1" authorId="0" shapeId="0" xr:uid="{00000000-0006-0000-0500-00009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1" authorId="0" shapeId="0" xr:uid="{00000000-0006-0000-0500-00009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1" authorId="0" shapeId="0" xr:uid="{00000000-0006-0000-0500-0000A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1" authorId="0" shapeId="0" xr:uid="{00000000-0006-0000-0500-0000A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1" authorId="0" shapeId="0" xr:uid="{00000000-0006-0000-0500-0000A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1" authorId="0" shapeId="0" xr:uid="{00000000-0006-0000-0500-0000A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1" authorId="0" shapeId="0" xr:uid="{00000000-0006-0000-0500-0000A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1" authorId="0" shapeId="0" xr:uid="{00000000-0006-0000-0500-0000A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1" authorId="0" shapeId="0" xr:uid="{00000000-0006-0000-0500-0000A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1" authorId="0" shapeId="0" xr:uid="{00000000-0006-0000-0500-0000A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1" authorId="0" shapeId="0" xr:uid="{00000000-0006-0000-0500-0000A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1" authorId="0" shapeId="0" xr:uid="{00000000-0006-0000-0500-0000A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1" authorId="0" shapeId="0" xr:uid="{00000000-0006-0000-0500-0000A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1" authorId="0" shapeId="0" xr:uid="{00000000-0006-0000-0500-0000A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1" authorId="0" shapeId="0" xr:uid="{00000000-0006-0000-0500-0000A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2" authorId="0" shapeId="0" xr:uid="{00000000-0006-0000-0500-0000A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2" authorId="0" shapeId="0" xr:uid="{00000000-0006-0000-0500-0000A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2" authorId="0" shapeId="0" xr:uid="{00000000-0006-0000-0500-0000A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2" authorId="0" shapeId="0" xr:uid="{00000000-0006-0000-0500-0000B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2" authorId="0" shapeId="0" xr:uid="{00000000-0006-0000-0500-0000B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2" authorId="0" shapeId="0" xr:uid="{00000000-0006-0000-0500-0000B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2" authorId="0" shapeId="0" xr:uid="{00000000-0006-0000-0500-0000B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2" authorId="0" shapeId="0" xr:uid="{00000000-0006-0000-0500-0000B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2" authorId="0" shapeId="0" xr:uid="{00000000-0006-0000-0500-0000B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2" authorId="0" shapeId="0" xr:uid="{00000000-0006-0000-0500-0000B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2" authorId="0" shapeId="0" xr:uid="{00000000-0006-0000-0500-0000B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2" authorId="0" shapeId="0" xr:uid="{00000000-0006-0000-0500-0000B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2" authorId="0" shapeId="0" xr:uid="{00000000-0006-0000-0500-0000B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2" authorId="0" shapeId="0" xr:uid="{00000000-0006-0000-0500-0000B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2" authorId="0" shapeId="0" xr:uid="{00000000-0006-0000-0500-0000B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2" authorId="0" shapeId="0" xr:uid="{00000000-0006-0000-0500-0000B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2" authorId="0" shapeId="0" xr:uid="{00000000-0006-0000-0500-0000B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2" authorId="0" shapeId="0" xr:uid="{00000000-0006-0000-0500-0000B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2" authorId="0" shapeId="0" xr:uid="{00000000-0006-0000-0500-0000B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2" authorId="0" shapeId="0" xr:uid="{00000000-0006-0000-0500-0000C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3" authorId="0" shapeId="0" xr:uid="{00000000-0006-0000-0500-0000C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3" authorId="0" shapeId="0" xr:uid="{00000000-0006-0000-0500-0000C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3" authorId="0" shapeId="0" xr:uid="{00000000-0006-0000-0500-0000C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3" authorId="0" shapeId="0" xr:uid="{00000000-0006-0000-0500-0000C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3" authorId="0" shapeId="0" xr:uid="{00000000-0006-0000-0500-0000C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3" authorId="0" shapeId="0" xr:uid="{00000000-0006-0000-0500-0000C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3" authorId="0" shapeId="0" xr:uid="{00000000-0006-0000-0500-0000C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3" authorId="0" shapeId="0" xr:uid="{00000000-0006-0000-0500-0000C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3" authorId="0" shapeId="0" xr:uid="{00000000-0006-0000-0500-0000C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3" authorId="0" shapeId="0" xr:uid="{00000000-0006-0000-0500-0000C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3" authorId="0" shapeId="0" xr:uid="{00000000-0006-0000-0500-0000C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3" authorId="0" shapeId="0" xr:uid="{00000000-0006-0000-0500-0000C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3" authorId="0" shapeId="0" xr:uid="{00000000-0006-0000-0500-0000C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3" authorId="0" shapeId="0" xr:uid="{00000000-0006-0000-0500-0000C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3" authorId="0" shapeId="0" xr:uid="{00000000-0006-0000-0500-0000C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3" authorId="0" shapeId="0" xr:uid="{00000000-0006-0000-0500-0000D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3" authorId="0" shapeId="0" xr:uid="{00000000-0006-0000-0500-0000D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3" authorId="0" shapeId="0" xr:uid="{00000000-0006-0000-0500-0000D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3" authorId="0" shapeId="0" xr:uid="{00000000-0006-0000-0500-0000D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3" authorId="0" shapeId="0" xr:uid="{00000000-0006-0000-0500-0000D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4" authorId="0" shapeId="0" xr:uid="{00000000-0006-0000-0500-0000D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4" authorId="0" shapeId="0" xr:uid="{00000000-0006-0000-0500-0000D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4" authorId="0" shapeId="0" xr:uid="{00000000-0006-0000-0500-0000D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4" authorId="0" shapeId="0" xr:uid="{00000000-0006-0000-0500-0000D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4" authorId="0" shapeId="0" xr:uid="{00000000-0006-0000-0500-0000D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4" authorId="0" shapeId="0" xr:uid="{00000000-0006-0000-0500-0000D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4" authorId="0" shapeId="0" xr:uid="{00000000-0006-0000-0500-0000D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4" authorId="0" shapeId="0" xr:uid="{00000000-0006-0000-0500-0000D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4" authorId="0" shapeId="0" xr:uid="{00000000-0006-0000-0500-0000D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4" authorId="0" shapeId="0" xr:uid="{00000000-0006-0000-0500-0000D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4" authorId="0" shapeId="0" xr:uid="{00000000-0006-0000-0500-0000D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4" authorId="0" shapeId="0" xr:uid="{00000000-0006-0000-0500-0000E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4" authorId="0" shapeId="0" xr:uid="{00000000-0006-0000-0500-0000E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4" authorId="0" shapeId="0" xr:uid="{00000000-0006-0000-0500-0000E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4" authorId="0" shapeId="0" xr:uid="{00000000-0006-0000-0500-0000E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4" authorId="0" shapeId="0" xr:uid="{00000000-0006-0000-0500-0000E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4" authorId="0" shapeId="0" xr:uid="{00000000-0006-0000-0500-0000E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4" authorId="0" shapeId="0" xr:uid="{00000000-0006-0000-0500-0000E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4" authorId="0" shapeId="0" xr:uid="{00000000-0006-0000-0500-0000E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4" authorId="0" shapeId="0" xr:uid="{00000000-0006-0000-0500-0000E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5" authorId="0" shapeId="0" xr:uid="{00000000-0006-0000-0500-0000E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5" authorId="0" shapeId="0" xr:uid="{00000000-0006-0000-0500-0000E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5" authorId="0" shapeId="0" xr:uid="{00000000-0006-0000-0500-0000E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5" authorId="0" shapeId="0" xr:uid="{00000000-0006-0000-0500-0000E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5" authorId="0" shapeId="0" xr:uid="{00000000-0006-0000-0500-0000E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5" authorId="0" shapeId="0" xr:uid="{00000000-0006-0000-0500-0000E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5" authorId="0" shapeId="0" xr:uid="{00000000-0006-0000-0500-0000E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5" authorId="0" shapeId="0" xr:uid="{00000000-0006-0000-0500-0000F0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5" authorId="0" shapeId="0" xr:uid="{00000000-0006-0000-0500-0000F1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5" authorId="0" shapeId="0" xr:uid="{00000000-0006-0000-0500-0000F2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5" authorId="0" shapeId="0" xr:uid="{00000000-0006-0000-0500-0000F3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5" authorId="0" shapeId="0" xr:uid="{00000000-0006-0000-0500-0000F4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5" authorId="0" shapeId="0" xr:uid="{00000000-0006-0000-0500-0000F5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5" authorId="0" shapeId="0" xr:uid="{00000000-0006-0000-0500-0000F6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5" authorId="0" shapeId="0" xr:uid="{00000000-0006-0000-0500-0000F7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5" authorId="0" shapeId="0" xr:uid="{00000000-0006-0000-0500-0000F8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5" authorId="0" shapeId="0" xr:uid="{00000000-0006-0000-0500-0000F9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5" authorId="0" shapeId="0" xr:uid="{00000000-0006-0000-0500-0000FA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5" authorId="0" shapeId="0" xr:uid="{00000000-0006-0000-0500-0000FB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5" authorId="0" shapeId="0" xr:uid="{00000000-0006-0000-0500-0000FC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6" authorId="0" shapeId="0" xr:uid="{00000000-0006-0000-0500-0000FD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6" authorId="0" shapeId="0" xr:uid="{00000000-0006-0000-0500-0000FE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6" authorId="0" shapeId="0" xr:uid="{00000000-0006-0000-0500-0000FF03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6" authorId="0" shapeId="0" xr:uid="{00000000-0006-0000-0500-00000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6" authorId="0" shapeId="0" xr:uid="{00000000-0006-0000-0500-00000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6" authorId="0" shapeId="0" xr:uid="{00000000-0006-0000-0500-00000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6" authorId="0" shapeId="0" xr:uid="{00000000-0006-0000-0500-00000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6" authorId="0" shapeId="0" xr:uid="{00000000-0006-0000-0500-00000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6" authorId="0" shapeId="0" xr:uid="{00000000-0006-0000-0500-00000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6" authorId="0" shapeId="0" xr:uid="{00000000-0006-0000-0500-00000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6" authorId="0" shapeId="0" xr:uid="{00000000-0006-0000-0500-00000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6" authorId="0" shapeId="0" xr:uid="{00000000-0006-0000-0500-00000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6" authorId="0" shapeId="0" xr:uid="{00000000-0006-0000-0500-00000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6" authorId="0" shapeId="0" xr:uid="{00000000-0006-0000-0500-00000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6" authorId="0" shapeId="0" xr:uid="{00000000-0006-0000-0500-00000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6" authorId="0" shapeId="0" xr:uid="{00000000-0006-0000-0500-00000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6" authorId="0" shapeId="0" xr:uid="{00000000-0006-0000-0500-00000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6" authorId="0" shapeId="0" xr:uid="{00000000-0006-0000-0500-00000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6" authorId="0" shapeId="0" xr:uid="{00000000-0006-0000-0500-00000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6" authorId="0" shapeId="0" xr:uid="{00000000-0006-0000-0500-00001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7" authorId="0" shapeId="0" xr:uid="{00000000-0006-0000-0500-00001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7" authorId="0" shapeId="0" xr:uid="{00000000-0006-0000-0500-00001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7" authorId="0" shapeId="0" xr:uid="{00000000-0006-0000-0500-00001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7" authorId="0" shapeId="0" xr:uid="{00000000-0006-0000-0500-00001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7" authorId="0" shapeId="0" xr:uid="{00000000-0006-0000-0500-00001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7" authorId="0" shapeId="0" xr:uid="{00000000-0006-0000-0500-00001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7" authorId="0" shapeId="0" xr:uid="{00000000-0006-0000-0500-00001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7" authorId="0" shapeId="0" xr:uid="{00000000-0006-0000-0500-00001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7" authorId="0" shapeId="0" xr:uid="{00000000-0006-0000-0500-00001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7" authorId="0" shapeId="0" xr:uid="{00000000-0006-0000-0500-00001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7" authorId="0" shapeId="0" xr:uid="{00000000-0006-0000-0500-00001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7" authorId="0" shapeId="0" xr:uid="{00000000-0006-0000-0500-00001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7" authorId="0" shapeId="0" xr:uid="{00000000-0006-0000-0500-00001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7" authorId="0" shapeId="0" xr:uid="{00000000-0006-0000-0500-00001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7" authorId="0" shapeId="0" xr:uid="{00000000-0006-0000-0500-00001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7" authorId="0" shapeId="0" xr:uid="{00000000-0006-0000-0500-00002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7" authorId="0" shapeId="0" xr:uid="{00000000-0006-0000-0500-00002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7" authorId="0" shapeId="0" xr:uid="{00000000-0006-0000-0500-00002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7" authorId="0" shapeId="0" xr:uid="{00000000-0006-0000-0500-00002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7" authorId="0" shapeId="0" xr:uid="{00000000-0006-0000-0500-00002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8" authorId="0" shapeId="0" xr:uid="{00000000-0006-0000-0500-00002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8" authorId="0" shapeId="0" xr:uid="{00000000-0006-0000-0500-00002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8" authorId="0" shapeId="0" xr:uid="{00000000-0006-0000-0500-00002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8" authorId="0" shapeId="0" xr:uid="{00000000-0006-0000-0500-00002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8" authorId="0" shapeId="0" xr:uid="{00000000-0006-0000-0500-00002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8" authorId="0" shapeId="0" xr:uid="{00000000-0006-0000-0500-00002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8" authorId="0" shapeId="0" xr:uid="{00000000-0006-0000-0500-00002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8" authorId="0" shapeId="0" xr:uid="{00000000-0006-0000-0500-00002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8" authorId="0" shapeId="0" xr:uid="{00000000-0006-0000-0500-00002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8" authorId="0" shapeId="0" xr:uid="{00000000-0006-0000-0500-00002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8" authorId="0" shapeId="0" xr:uid="{00000000-0006-0000-0500-00002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8" authorId="0" shapeId="0" xr:uid="{00000000-0006-0000-0500-00003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8" authorId="0" shapeId="0" xr:uid="{00000000-0006-0000-0500-00003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8" authorId="0" shapeId="0" xr:uid="{00000000-0006-0000-0500-00003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8" authorId="0" shapeId="0" xr:uid="{00000000-0006-0000-0500-00003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8" authorId="0" shapeId="0" xr:uid="{00000000-0006-0000-0500-00003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8" authorId="0" shapeId="0" xr:uid="{00000000-0006-0000-0500-00003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8" authorId="0" shapeId="0" xr:uid="{00000000-0006-0000-0500-00003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8" authorId="0" shapeId="0" xr:uid="{00000000-0006-0000-0500-00003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8" authorId="0" shapeId="0" xr:uid="{00000000-0006-0000-0500-00003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09" authorId="0" shapeId="0" xr:uid="{00000000-0006-0000-0500-00003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09" authorId="0" shapeId="0" xr:uid="{00000000-0006-0000-0500-00003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09" authorId="0" shapeId="0" xr:uid="{00000000-0006-0000-0500-00003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09" authorId="0" shapeId="0" xr:uid="{00000000-0006-0000-0500-00003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09" authorId="0" shapeId="0" xr:uid="{00000000-0006-0000-0500-00003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09" authorId="0" shapeId="0" xr:uid="{00000000-0006-0000-0500-00003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09" authorId="0" shapeId="0" xr:uid="{00000000-0006-0000-0500-00003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09" authorId="0" shapeId="0" xr:uid="{00000000-0006-0000-0500-00004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09" authorId="0" shapeId="0" xr:uid="{00000000-0006-0000-0500-00004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09" authorId="0" shapeId="0" xr:uid="{00000000-0006-0000-0500-00004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09" authorId="0" shapeId="0" xr:uid="{00000000-0006-0000-0500-00004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09" authorId="0" shapeId="0" xr:uid="{00000000-0006-0000-0500-00004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09" authorId="0" shapeId="0" xr:uid="{00000000-0006-0000-0500-00004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09" authorId="0" shapeId="0" xr:uid="{00000000-0006-0000-0500-00004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09" authorId="0" shapeId="0" xr:uid="{00000000-0006-0000-0500-00004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09" authorId="0" shapeId="0" xr:uid="{00000000-0006-0000-0500-00004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09" authorId="0" shapeId="0" xr:uid="{00000000-0006-0000-0500-00004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09" authorId="0" shapeId="0" xr:uid="{00000000-0006-0000-0500-00004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09" authorId="0" shapeId="0" xr:uid="{00000000-0006-0000-0500-00004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09" authorId="0" shapeId="0" xr:uid="{00000000-0006-0000-0500-00004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0" authorId="0" shapeId="0" xr:uid="{00000000-0006-0000-0500-00004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0" authorId="0" shapeId="0" xr:uid="{00000000-0006-0000-0500-00004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0" authorId="0" shapeId="0" xr:uid="{00000000-0006-0000-0500-00004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0" authorId="0" shapeId="0" xr:uid="{00000000-0006-0000-0500-00005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0" authorId="0" shapeId="0" xr:uid="{00000000-0006-0000-0500-00005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0" authorId="0" shapeId="0" xr:uid="{00000000-0006-0000-0500-00005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0" authorId="0" shapeId="0" xr:uid="{00000000-0006-0000-0500-00005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0" authorId="0" shapeId="0" xr:uid="{00000000-0006-0000-0500-00005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0" authorId="0" shapeId="0" xr:uid="{00000000-0006-0000-0500-00005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0" authorId="0" shapeId="0" xr:uid="{00000000-0006-0000-0500-00005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0" authorId="0" shapeId="0" xr:uid="{00000000-0006-0000-0500-00005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0" authorId="0" shapeId="0" xr:uid="{00000000-0006-0000-0500-00005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0" authorId="0" shapeId="0" xr:uid="{00000000-0006-0000-0500-00005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0" authorId="0" shapeId="0" xr:uid="{00000000-0006-0000-0500-00005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0" authorId="0" shapeId="0" xr:uid="{00000000-0006-0000-0500-00005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0" authorId="0" shapeId="0" xr:uid="{00000000-0006-0000-0500-00005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0" authorId="0" shapeId="0" xr:uid="{00000000-0006-0000-0500-00005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0" authorId="0" shapeId="0" xr:uid="{00000000-0006-0000-0500-00005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0" authorId="0" shapeId="0" xr:uid="{00000000-0006-0000-0500-00005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0" authorId="0" shapeId="0" xr:uid="{00000000-0006-0000-0500-00006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1" authorId="0" shapeId="0" xr:uid="{00000000-0006-0000-0500-00006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1" authorId="0" shapeId="0" xr:uid="{00000000-0006-0000-0500-00006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1" authorId="0" shapeId="0" xr:uid="{00000000-0006-0000-0500-00006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1" authorId="0" shapeId="0" xr:uid="{00000000-0006-0000-0500-00006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1" authorId="0" shapeId="0" xr:uid="{00000000-0006-0000-0500-00006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1" authorId="0" shapeId="0" xr:uid="{00000000-0006-0000-0500-00006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1" authorId="0" shapeId="0" xr:uid="{00000000-0006-0000-0500-00006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1" authorId="0" shapeId="0" xr:uid="{00000000-0006-0000-0500-00006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1" authorId="0" shapeId="0" xr:uid="{00000000-0006-0000-0500-00006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1" authorId="0" shapeId="0" xr:uid="{00000000-0006-0000-0500-00006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1" authorId="0" shapeId="0" xr:uid="{00000000-0006-0000-0500-00006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1" authorId="0" shapeId="0" xr:uid="{00000000-0006-0000-0500-00006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1" authorId="0" shapeId="0" xr:uid="{00000000-0006-0000-0500-00006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1" authorId="0" shapeId="0" xr:uid="{00000000-0006-0000-0500-00006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1" authorId="0" shapeId="0" xr:uid="{00000000-0006-0000-0500-00006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1" authorId="0" shapeId="0" xr:uid="{00000000-0006-0000-0500-00007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1" authorId="0" shapeId="0" xr:uid="{00000000-0006-0000-0500-00007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1" authorId="0" shapeId="0" xr:uid="{00000000-0006-0000-0500-00007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1" authorId="0" shapeId="0" xr:uid="{00000000-0006-0000-0500-00007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1" authorId="0" shapeId="0" xr:uid="{00000000-0006-0000-0500-00007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2" authorId="0" shapeId="0" xr:uid="{00000000-0006-0000-0500-00007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2" authorId="0" shapeId="0" xr:uid="{00000000-0006-0000-0500-00007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2" authorId="0" shapeId="0" xr:uid="{00000000-0006-0000-0500-00007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2" authorId="0" shapeId="0" xr:uid="{00000000-0006-0000-0500-00007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2" authorId="0" shapeId="0" xr:uid="{00000000-0006-0000-0500-00007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2" authorId="0" shapeId="0" xr:uid="{00000000-0006-0000-0500-00007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2" authorId="0" shapeId="0" xr:uid="{00000000-0006-0000-0500-00007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2" authorId="0" shapeId="0" xr:uid="{00000000-0006-0000-0500-00007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2" authorId="0" shapeId="0" xr:uid="{00000000-0006-0000-0500-00007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2" authorId="0" shapeId="0" xr:uid="{00000000-0006-0000-0500-00007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2" authorId="0" shapeId="0" xr:uid="{00000000-0006-0000-0500-00007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2" authorId="0" shapeId="0" xr:uid="{00000000-0006-0000-0500-00008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2" authorId="0" shapeId="0" xr:uid="{00000000-0006-0000-0500-00008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2" authorId="0" shapeId="0" xr:uid="{00000000-0006-0000-0500-00008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2" authorId="0" shapeId="0" xr:uid="{00000000-0006-0000-0500-00008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2" authorId="0" shapeId="0" xr:uid="{00000000-0006-0000-0500-00008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2" authorId="0" shapeId="0" xr:uid="{00000000-0006-0000-0500-00008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2" authorId="0" shapeId="0" xr:uid="{00000000-0006-0000-0500-00008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2" authorId="0" shapeId="0" xr:uid="{00000000-0006-0000-0500-00008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2" authorId="0" shapeId="0" xr:uid="{00000000-0006-0000-0500-00008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3" authorId="0" shapeId="0" xr:uid="{00000000-0006-0000-0500-00008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3" authorId="0" shapeId="0" xr:uid="{00000000-0006-0000-0500-00008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3" authorId="0" shapeId="0" xr:uid="{00000000-0006-0000-0500-00008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3" authorId="0" shapeId="0" xr:uid="{00000000-0006-0000-0500-00008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3" authorId="0" shapeId="0" xr:uid="{00000000-0006-0000-0500-00008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3" authorId="0" shapeId="0" xr:uid="{00000000-0006-0000-0500-00008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3" authorId="0" shapeId="0" xr:uid="{00000000-0006-0000-0500-00008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3" authorId="0" shapeId="0" xr:uid="{00000000-0006-0000-0500-00009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3" authorId="0" shapeId="0" xr:uid="{00000000-0006-0000-0500-00009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3" authorId="0" shapeId="0" xr:uid="{00000000-0006-0000-0500-00009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3" authorId="0" shapeId="0" xr:uid="{00000000-0006-0000-0500-00009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3" authorId="0" shapeId="0" xr:uid="{00000000-0006-0000-0500-00009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3" authorId="0" shapeId="0" xr:uid="{00000000-0006-0000-0500-00009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3" authorId="0" shapeId="0" xr:uid="{00000000-0006-0000-0500-00009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3" authorId="0" shapeId="0" xr:uid="{00000000-0006-0000-0500-00009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3" authorId="0" shapeId="0" xr:uid="{00000000-0006-0000-0500-00009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3" authorId="0" shapeId="0" xr:uid="{00000000-0006-0000-0500-00009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3" authorId="0" shapeId="0" xr:uid="{00000000-0006-0000-0500-00009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3" authorId="0" shapeId="0" xr:uid="{00000000-0006-0000-0500-00009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3" authorId="0" shapeId="0" xr:uid="{00000000-0006-0000-0500-00009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4" authorId="0" shapeId="0" xr:uid="{00000000-0006-0000-0500-00009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4" authorId="0" shapeId="0" xr:uid="{00000000-0006-0000-0500-00009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4" authorId="0" shapeId="0" xr:uid="{00000000-0006-0000-0500-00009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4" authorId="0" shapeId="0" xr:uid="{00000000-0006-0000-0500-0000A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4" authorId="0" shapeId="0" xr:uid="{00000000-0006-0000-0500-0000A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4" authorId="0" shapeId="0" xr:uid="{00000000-0006-0000-0500-0000A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4" authorId="0" shapeId="0" xr:uid="{00000000-0006-0000-0500-0000A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4" authorId="0" shapeId="0" xr:uid="{00000000-0006-0000-0500-0000A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4" authorId="0" shapeId="0" xr:uid="{00000000-0006-0000-0500-0000A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4" authorId="0" shapeId="0" xr:uid="{00000000-0006-0000-0500-0000A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4" authorId="0" shapeId="0" xr:uid="{00000000-0006-0000-0500-0000A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4" authorId="0" shapeId="0" xr:uid="{00000000-0006-0000-0500-0000A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4" authorId="0" shapeId="0" xr:uid="{00000000-0006-0000-0500-0000A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4" authorId="0" shapeId="0" xr:uid="{00000000-0006-0000-0500-0000A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4" authorId="0" shapeId="0" xr:uid="{00000000-0006-0000-0500-0000A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4" authorId="0" shapeId="0" xr:uid="{00000000-0006-0000-0500-0000A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4" authorId="0" shapeId="0" xr:uid="{00000000-0006-0000-0500-0000A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4" authorId="0" shapeId="0" xr:uid="{00000000-0006-0000-0500-0000A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4" authorId="0" shapeId="0" xr:uid="{00000000-0006-0000-0500-0000A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4" authorId="0" shapeId="0" xr:uid="{00000000-0006-0000-0500-0000B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5" authorId="0" shapeId="0" xr:uid="{00000000-0006-0000-0500-0000B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5" authorId="0" shapeId="0" xr:uid="{00000000-0006-0000-0500-0000B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5" authorId="0" shapeId="0" xr:uid="{00000000-0006-0000-0500-0000B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5" authorId="0" shapeId="0" xr:uid="{00000000-0006-0000-0500-0000B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5" authorId="0" shapeId="0" xr:uid="{00000000-0006-0000-0500-0000B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5" authorId="0" shapeId="0" xr:uid="{00000000-0006-0000-0500-0000B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5" authorId="0" shapeId="0" xr:uid="{00000000-0006-0000-0500-0000B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5" authorId="0" shapeId="0" xr:uid="{00000000-0006-0000-0500-0000B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5" authorId="0" shapeId="0" xr:uid="{00000000-0006-0000-0500-0000B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5" authorId="0" shapeId="0" xr:uid="{00000000-0006-0000-0500-0000B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5" authorId="0" shapeId="0" xr:uid="{00000000-0006-0000-0500-0000B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5" authorId="0" shapeId="0" xr:uid="{00000000-0006-0000-0500-0000B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5" authorId="0" shapeId="0" xr:uid="{00000000-0006-0000-0500-0000B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5" authorId="0" shapeId="0" xr:uid="{00000000-0006-0000-0500-0000B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5" authorId="0" shapeId="0" xr:uid="{00000000-0006-0000-0500-0000B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5" authorId="0" shapeId="0" xr:uid="{00000000-0006-0000-0500-0000C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5" authorId="0" shapeId="0" xr:uid="{00000000-0006-0000-0500-0000C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5" authorId="0" shapeId="0" xr:uid="{00000000-0006-0000-0500-0000C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5" authorId="0" shapeId="0" xr:uid="{00000000-0006-0000-0500-0000C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5" authorId="0" shapeId="0" xr:uid="{00000000-0006-0000-0500-0000C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6" authorId="0" shapeId="0" xr:uid="{00000000-0006-0000-0500-0000C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6" authorId="0" shapeId="0" xr:uid="{00000000-0006-0000-0500-0000C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6" authorId="0" shapeId="0" xr:uid="{00000000-0006-0000-0500-0000C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6" authorId="0" shapeId="0" xr:uid="{00000000-0006-0000-0500-0000C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6" authorId="0" shapeId="0" xr:uid="{00000000-0006-0000-0500-0000C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6" authorId="0" shapeId="0" xr:uid="{00000000-0006-0000-0500-0000C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6" authorId="0" shapeId="0" xr:uid="{00000000-0006-0000-0500-0000C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6" authorId="0" shapeId="0" xr:uid="{00000000-0006-0000-0500-0000C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6" authorId="0" shapeId="0" xr:uid="{00000000-0006-0000-0500-0000C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6" authorId="0" shapeId="0" xr:uid="{00000000-0006-0000-0500-0000C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6" authorId="0" shapeId="0" xr:uid="{00000000-0006-0000-0500-0000C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6" authorId="0" shapeId="0" xr:uid="{00000000-0006-0000-0500-0000D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6" authorId="0" shapeId="0" xr:uid="{00000000-0006-0000-0500-0000D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6" authorId="0" shapeId="0" xr:uid="{00000000-0006-0000-0500-0000D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6" authorId="0" shapeId="0" xr:uid="{00000000-0006-0000-0500-0000D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6" authorId="0" shapeId="0" xr:uid="{00000000-0006-0000-0500-0000D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6" authorId="0" shapeId="0" xr:uid="{00000000-0006-0000-0500-0000D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6" authorId="0" shapeId="0" xr:uid="{00000000-0006-0000-0500-0000D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6" authorId="0" shapeId="0" xr:uid="{00000000-0006-0000-0500-0000D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6" authorId="0" shapeId="0" xr:uid="{00000000-0006-0000-0500-0000D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7" authorId="0" shapeId="0" xr:uid="{00000000-0006-0000-0500-0000D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7" authorId="0" shapeId="0" xr:uid="{00000000-0006-0000-0500-0000D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7" authorId="0" shapeId="0" xr:uid="{00000000-0006-0000-0500-0000D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7" authorId="0" shapeId="0" xr:uid="{00000000-0006-0000-0500-0000D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7" authorId="0" shapeId="0" xr:uid="{00000000-0006-0000-0500-0000D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7" authorId="0" shapeId="0" xr:uid="{00000000-0006-0000-0500-0000D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7" authorId="0" shapeId="0" xr:uid="{00000000-0006-0000-0500-0000D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7" authorId="0" shapeId="0" xr:uid="{00000000-0006-0000-0500-0000E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7" authorId="0" shapeId="0" xr:uid="{00000000-0006-0000-0500-0000E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7" authorId="0" shapeId="0" xr:uid="{00000000-0006-0000-0500-0000E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7" authorId="0" shapeId="0" xr:uid="{00000000-0006-0000-0500-0000E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7" authorId="0" shapeId="0" xr:uid="{00000000-0006-0000-0500-0000E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7" authorId="0" shapeId="0" xr:uid="{00000000-0006-0000-0500-0000E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7" authorId="0" shapeId="0" xr:uid="{00000000-0006-0000-0500-0000E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7" authorId="0" shapeId="0" xr:uid="{00000000-0006-0000-0500-0000E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7" authorId="0" shapeId="0" xr:uid="{00000000-0006-0000-0500-0000E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7" authorId="0" shapeId="0" xr:uid="{00000000-0006-0000-0500-0000E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7" authorId="0" shapeId="0" xr:uid="{00000000-0006-0000-0500-0000E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7" authorId="0" shapeId="0" xr:uid="{00000000-0006-0000-0500-0000E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7" authorId="0" shapeId="0" xr:uid="{00000000-0006-0000-0500-0000E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8" authorId="0" shapeId="0" xr:uid="{00000000-0006-0000-0500-0000E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8" authorId="0" shapeId="0" xr:uid="{00000000-0006-0000-0500-0000E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8" authorId="0" shapeId="0" xr:uid="{00000000-0006-0000-0500-0000E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8" authorId="0" shapeId="0" xr:uid="{00000000-0006-0000-0500-0000F0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8" authorId="0" shapeId="0" xr:uid="{00000000-0006-0000-0500-0000F1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8" authorId="0" shapeId="0" xr:uid="{00000000-0006-0000-0500-0000F2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8" authorId="0" shapeId="0" xr:uid="{00000000-0006-0000-0500-0000F3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8" authorId="0" shapeId="0" xr:uid="{00000000-0006-0000-0500-0000F4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8" authorId="0" shapeId="0" xr:uid="{00000000-0006-0000-0500-0000F5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8" authorId="0" shapeId="0" xr:uid="{00000000-0006-0000-0500-0000F6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8" authorId="0" shapeId="0" xr:uid="{00000000-0006-0000-0500-0000F7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8" authorId="0" shapeId="0" xr:uid="{00000000-0006-0000-0500-0000F8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8" authorId="0" shapeId="0" xr:uid="{00000000-0006-0000-0500-0000F9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8" authorId="0" shapeId="0" xr:uid="{00000000-0006-0000-0500-0000FA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8" authorId="0" shapeId="0" xr:uid="{00000000-0006-0000-0500-0000FB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8" authorId="0" shapeId="0" xr:uid="{00000000-0006-0000-0500-0000FC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8" authorId="0" shapeId="0" xr:uid="{00000000-0006-0000-0500-0000FD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8" authorId="0" shapeId="0" xr:uid="{00000000-0006-0000-0500-0000FE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8" authorId="0" shapeId="0" xr:uid="{00000000-0006-0000-0500-0000FF04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8" authorId="0" shapeId="0" xr:uid="{00000000-0006-0000-0500-00000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19" authorId="0" shapeId="0" xr:uid="{00000000-0006-0000-0500-00000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19" authorId="0" shapeId="0" xr:uid="{00000000-0006-0000-0500-00000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19" authorId="0" shapeId="0" xr:uid="{00000000-0006-0000-0500-00000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19" authorId="0" shapeId="0" xr:uid="{00000000-0006-0000-0500-00000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19" authorId="0" shapeId="0" xr:uid="{00000000-0006-0000-0500-00000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19" authorId="0" shapeId="0" xr:uid="{00000000-0006-0000-0500-00000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19" authorId="0" shapeId="0" xr:uid="{00000000-0006-0000-0500-00000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19" authorId="0" shapeId="0" xr:uid="{00000000-0006-0000-0500-00000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19" authorId="0" shapeId="0" xr:uid="{00000000-0006-0000-0500-00000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19" authorId="0" shapeId="0" xr:uid="{00000000-0006-0000-0500-00000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19" authorId="0" shapeId="0" xr:uid="{00000000-0006-0000-0500-00000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19" authorId="0" shapeId="0" xr:uid="{00000000-0006-0000-0500-00000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19" authorId="0" shapeId="0" xr:uid="{00000000-0006-0000-0500-00000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19" authorId="0" shapeId="0" xr:uid="{00000000-0006-0000-0500-00000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19" authorId="0" shapeId="0" xr:uid="{00000000-0006-0000-0500-00000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19" authorId="0" shapeId="0" xr:uid="{00000000-0006-0000-0500-00001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19" authorId="0" shapeId="0" xr:uid="{00000000-0006-0000-0500-00001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19" authorId="0" shapeId="0" xr:uid="{00000000-0006-0000-0500-00001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19" authorId="0" shapeId="0" xr:uid="{00000000-0006-0000-0500-00001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19" authorId="0" shapeId="0" xr:uid="{00000000-0006-0000-0500-00001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0" authorId="0" shapeId="0" xr:uid="{00000000-0006-0000-0500-00001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0" authorId="0" shapeId="0" xr:uid="{00000000-0006-0000-0500-00001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0" authorId="0" shapeId="0" xr:uid="{00000000-0006-0000-0500-00001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0" authorId="0" shapeId="0" xr:uid="{00000000-0006-0000-0500-00001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0" authorId="0" shapeId="0" xr:uid="{00000000-0006-0000-0500-00001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0" authorId="0" shapeId="0" xr:uid="{00000000-0006-0000-0500-00001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0" authorId="0" shapeId="0" xr:uid="{00000000-0006-0000-0500-00001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0" authorId="0" shapeId="0" xr:uid="{00000000-0006-0000-0500-00001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0" authorId="0" shapeId="0" xr:uid="{00000000-0006-0000-0500-00001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0" authorId="0" shapeId="0" xr:uid="{00000000-0006-0000-0500-00001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0" authorId="0" shapeId="0" xr:uid="{00000000-0006-0000-0500-00001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0" authorId="0" shapeId="0" xr:uid="{00000000-0006-0000-0500-00002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0" authorId="0" shapeId="0" xr:uid="{00000000-0006-0000-0500-00002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0" authorId="0" shapeId="0" xr:uid="{00000000-0006-0000-0500-00002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0" authorId="0" shapeId="0" xr:uid="{00000000-0006-0000-0500-00002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0" authorId="0" shapeId="0" xr:uid="{00000000-0006-0000-0500-00002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0" authorId="0" shapeId="0" xr:uid="{00000000-0006-0000-0500-00002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0" authorId="0" shapeId="0" xr:uid="{00000000-0006-0000-0500-00002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0" authorId="0" shapeId="0" xr:uid="{00000000-0006-0000-0500-00002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0" authorId="0" shapeId="0" xr:uid="{00000000-0006-0000-0500-00002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1" authorId="0" shapeId="0" xr:uid="{00000000-0006-0000-0500-00002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1" authorId="0" shapeId="0" xr:uid="{00000000-0006-0000-0500-00002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1" authorId="0" shapeId="0" xr:uid="{00000000-0006-0000-0500-00002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1" authorId="0" shapeId="0" xr:uid="{00000000-0006-0000-0500-00002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1" authorId="0" shapeId="0" xr:uid="{00000000-0006-0000-0500-00002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1" authorId="0" shapeId="0" xr:uid="{00000000-0006-0000-0500-00002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1" authorId="0" shapeId="0" xr:uid="{00000000-0006-0000-0500-00002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1" authorId="0" shapeId="0" xr:uid="{00000000-0006-0000-0500-00003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1" authorId="0" shapeId="0" xr:uid="{00000000-0006-0000-0500-00003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1" authorId="0" shapeId="0" xr:uid="{00000000-0006-0000-0500-00003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1" authorId="0" shapeId="0" xr:uid="{00000000-0006-0000-0500-00003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1" authorId="0" shapeId="0" xr:uid="{00000000-0006-0000-0500-00003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1" authorId="0" shapeId="0" xr:uid="{00000000-0006-0000-0500-00003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1" authorId="0" shapeId="0" xr:uid="{00000000-0006-0000-0500-00003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1" authorId="0" shapeId="0" xr:uid="{00000000-0006-0000-0500-00003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1" authorId="0" shapeId="0" xr:uid="{00000000-0006-0000-0500-00003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1" authorId="0" shapeId="0" xr:uid="{00000000-0006-0000-0500-00003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1" authorId="0" shapeId="0" xr:uid="{00000000-0006-0000-0500-00003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1" authorId="0" shapeId="0" xr:uid="{00000000-0006-0000-0500-00003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1" authorId="0" shapeId="0" xr:uid="{00000000-0006-0000-0500-00003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2" authorId="0" shapeId="0" xr:uid="{00000000-0006-0000-0500-00003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2" authorId="0" shapeId="0" xr:uid="{00000000-0006-0000-0500-00003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2" authorId="0" shapeId="0" xr:uid="{00000000-0006-0000-0500-00003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2" authorId="0" shapeId="0" xr:uid="{00000000-0006-0000-0500-00004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2" authorId="0" shapeId="0" xr:uid="{00000000-0006-0000-0500-00004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2" authorId="0" shapeId="0" xr:uid="{00000000-0006-0000-0500-00004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2" authorId="0" shapeId="0" xr:uid="{00000000-0006-0000-0500-00004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2" authorId="0" shapeId="0" xr:uid="{00000000-0006-0000-0500-00004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2" authorId="0" shapeId="0" xr:uid="{00000000-0006-0000-0500-00004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2" authorId="0" shapeId="0" xr:uid="{00000000-0006-0000-0500-00004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2" authorId="0" shapeId="0" xr:uid="{00000000-0006-0000-0500-00004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2" authorId="0" shapeId="0" xr:uid="{00000000-0006-0000-0500-00004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2" authorId="0" shapeId="0" xr:uid="{00000000-0006-0000-0500-00004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2" authorId="0" shapeId="0" xr:uid="{00000000-0006-0000-0500-00004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2" authorId="0" shapeId="0" xr:uid="{00000000-0006-0000-0500-00004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2" authorId="0" shapeId="0" xr:uid="{00000000-0006-0000-0500-00004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2" authorId="0" shapeId="0" xr:uid="{00000000-0006-0000-0500-00004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2" authorId="0" shapeId="0" xr:uid="{00000000-0006-0000-0500-00004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2" authorId="0" shapeId="0" xr:uid="{00000000-0006-0000-0500-00004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2" authorId="0" shapeId="0" xr:uid="{00000000-0006-0000-0500-00005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3" authorId="0" shapeId="0" xr:uid="{00000000-0006-0000-0500-00005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3" authorId="0" shapeId="0" xr:uid="{00000000-0006-0000-0500-00005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3" authorId="0" shapeId="0" xr:uid="{00000000-0006-0000-0500-00005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3" authorId="0" shapeId="0" xr:uid="{00000000-0006-0000-0500-00005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3" authorId="0" shapeId="0" xr:uid="{00000000-0006-0000-0500-00005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3" authorId="0" shapeId="0" xr:uid="{00000000-0006-0000-0500-00005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3" authorId="0" shapeId="0" xr:uid="{00000000-0006-0000-0500-00005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3" authorId="0" shapeId="0" xr:uid="{00000000-0006-0000-0500-00005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3" authorId="0" shapeId="0" xr:uid="{00000000-0006-0000-0500-00005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3" authorId="0" shapeId="0" xr:uid="{00000000-0006-0000-0500-00005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3" authorId="0" shapeId="0" xr:uid="{00000000-0006-0000-0500-00005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3" authorId="0" shapeId="0" xr:uid="{00000000-0006-0000-0500-00005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3" authorId="0" shapeId="0" xr:uid="{00000000-0006-0000-0500-00005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3" authorId="0" shapeId="0" xr:uid="{00000000-0006-0000-0500-00005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3" authorId="0" shapeId="0" xr:uid="{00000000-0006-0000-0500-00005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3" authorId="0" shapeId="0" xr:uid="{00000000-0006-0000-0500-00006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3" authorId="0" shapeId="0" xr:uid="{00000000-0006-0000-0500-00006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3" authorId="0" shapeId="0" xr:uid="{00000000-0006-0000-0500-00006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3" authorId="0" shapeId="0" xr:uid="{00000000-0006-0000-0500-00006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3" authorId="0" shapeId="0" xr:uid="{00000000-0006-0000-0500-00006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4" authorId="0" shapeId="0" xr:uid="{00000000-0006-0000-0500-00006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4" authorId="0" shapeId="0" xr:uid="{00000000-0006-0000-0500-00006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4" authorId="0" shapeId="0" xr:uid="{00000000-0006-0000-0500-00006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4" authorId="0" shapeId="0" xr:uid="{00000000-0006-0000-0500-00006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4" authorId="0" shapeId="0" xr:uid="{00000000-0006-0000-0500-00006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4" authorId="0" shapeId="0" xr:uid="{00000000-0006-0000-0500-00006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4" authorId="0" shapeId="0" xr:uid="{00000000-0006-0000-0500-00006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4" authorId="0" shapeId="0" xr:uid="{00000000-0006-0000-0500-00006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4" authorId="0" shapeId="0" xr:uid="{00000000-0006-0000-0500-00006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4" authorId="0" shapeId="0" xr:uid="{00000000-0006-0000-0500-00006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4" authorId="0" shapeId="0" xr:uid="{00000000-0006-0000-0500-00006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4" authorId="0" shapeId="0" xr:uid="{00000000-0006-0000-0500-00007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4" authorId="0" shapeId="0" xr:uid="{00000000-0006-0000-0500-00007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4" authorId="0" shapeId="0" xr:uid="{00000000-0006-0000-0500-00007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4" authorId="0" shapeId="0" xr:uid="{00000000-0006-0000-0500-00007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4" authorId="0" shapeId="0" xr:uid="{00000000-0006-0000-0500-00007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4" authorId="0" shapeId="0" xr:uid="{00000000-0006-0000-0500-00007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4" authorId="0" shapeId="0" xr:uid="{00000000-0006-0000-0500-00007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4" authorId="0" shapeId="0" xr:uid="{00000000-0006-0000-0500-00007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4" authorId="0" shapeId="0" xr:uid="{00000000-0006-0000-0500-00007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5" authorId="0" shapeId="0" xr:uid="{00000000-0006-0000-0500-00007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5" authorId="0" shapeId="0" xr:uid="{00000000-0006-0000-0500-00007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5" authorId="0" shapeId="0" xr:uid="{00000000-0006-0000-0500-00007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5" authorId="0" shapeId="0" xr:uid="{00000000-0006-0000-0500-00007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5" authorId="0" shapeId="0" xr:uid="{00000000-0006-0000-0500-00007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5" authorId="0" shapeId="0" xr:uid="{00000000-0006-0000-0500-00007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5" authorId="0" shapeId="0" xr:uid="{00000000-0006-0000-0500-00007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5" authorId="0" shapeId="0" xr:uid="{00000000-0006-0000-0500-00008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5" authorId="0" shapeId="0" xr:uid="{00000000-0006-0000-0500-00008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5" authorId="0" shapeId="0" xr:uid="{00000000-0006-0000-0500-00008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5" authorId="0" shapeId="0" xr:uid="{00000000-0006-0000-0500-00008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5" authorId="0" shapeId="0" xr:uid="{00000000-0006-0000-0500-00008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5" authorId="0" shapeId="0" xr:uid="{00000000-0006-0000-0500-00008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5" authorId="0" shapeId="0" xr:uid="{00000000-0006-0000-0500-00008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D125" authorId="0" shapeId="0" xr:uid="{00000000-0006-0000-0500-00008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5" authorId="0" shapeId="0" xr:uid="{00000000-0006-0000-0500-00008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5" authorId="0" shapeId="0" xr:uid="{00000000-0006-0000-0500-00008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5" authorId="0" shapeId="0" xr:uid="{00000000-0006-0000-0500-00008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5" authorId="0" shapeId="0" xr:uid="{00000000-0006-0000-0500-00008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5" authorId="0" shapeId="0" xr:uid="{00000000-0006-0000-0500-00008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6" authorId="0" shapeId="0" xr:uid="{00000000-0006-0000-0500-00008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6" authorId="0" shapeId="0" xr:uid="{00000000-0006-0000-0500-00008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6" authorId="0" shapeId="0" xr:uid="{00000000-0006-0000-0500-00008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6" authorId="0" shapeId="0" xr:uid="{00000000-0006-0000-0500-00009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6" authorId="0" shapeId="0" xr:uid="{00000000-0006-0000-0500-00009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6" authorId="0" shapeId="0" xr:uid="{00000000-0006-0000-0500-00009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6" authorId="0" shapeId="0" xr:uid="{00000000-0006-0000-0500-00009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6" authorId="0" shapeId="0" xr:uid="{00000000-0006-0000-0500-00009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6" authorId="0" shapeId="0" xr:uid="{00000000-0006-0000-0500-00009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6" authorId="0" shapeId="0" xr:uid="{00000000-0006-0000-0500-00009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6" authorId="0" shapeId="0" xr:uid="{00000000-0006-0000-0500-00009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6" authorId="0" shapeId="0" xr:uid="{00000000-0006-0000-0500-00009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6" authorId="0" shapeId="0" xr:uid="{00000000-0006-0000-0500-00009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6" authorId="0" shapeId="0" xr:uid="{00000000-0006-0000-0500-00009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6" authorId="0" shapeId="0" xr:uid="{00000000-0006-0000-0500-00009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6" authorId="0" shapeId="0" xr:uid="{00000000-0006-0000-0500-00009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6" authorId="0" shapeId="0" xr:uid="{00000000-0006-0000-0500-00009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6" authorId="0" shapeId="0" xr:uid="{00000000-0006-0000-0500-00009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6" authorId="0" shapeId="0" xr:uid="{00000000-0006-0000-0500-00009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7" authorId="0" shapeId="0" xr:uid="{00000000-0006-0000-0500-0000A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7" authorId="0" shapeId="0" xr:uid="{00000000-0006-0000-0500-0000A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7" authorId="0" shapeId="0" xr:uid="{00000000-0006-0000-0500-0000A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7" authorId="0" shapeId="0" xr:uid="{00000000-0006-0000-0500-0000A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7" authorId="0" shapeId="0" xr:uid="{00000000-0006-0000-0500-0000A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7" authorId="0" shapeId="0" xr:uid="{00000000-0006-0000-0500-0000A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7" authorId="0" shapeId="0" xr:uid="{00000000-0006-0000-0500-0000A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7" authorId="0" shapeId="0" xr:uid="{00000000-0006-0000-0500-0000A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7" authorId="0" shapeId="0" xr:uid="{00000000-0006-0000-0500-0000A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7" authorId="0" shapeId="0" xr:uid="{00000000-0006-0000-0500-0000A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7" authorId="0" shapeId="0" xr:uid="{00000000-0006-0000-0500-0000A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7" authorId="0" shapeId="0" xr:uid="{00000000-0006-0000-0500-0000A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7" authorId="0" shapeId="0" xr:uid="{00000000-0006-0000-0500-0000A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7" authorId="0" shapeId="0" xr:uid="{00000000-0006-0000-0500-0000A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7" authorId="0" shapeId="0" xr:uid="{00000000-0006-0000-0500-0000A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7" authorId="0" shapeId="0" xr:uid="{00000000-0006-0000-0500-0000A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7" authorId="0" shapeId="0" xr:uid="{00000000-0006-0000-0500-0000B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7" authorId="0" shapeId="0" xr:uid="{00000000-0006-0000-0500-0000B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7" authorId="0" shapeId="0" xr:uid="{00000000-0006-0000-0500-0000B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8" authorId="0" shapeId="0" xr:uid="{00000000-0006-0000-0500-0000B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8" authorId="0" shapeId="0" xr:uid="{00000000-0006-0000-0500-0000B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8" authorId="0" shapeId="0" xr:uid="{00000000-0006-0000-0500-0000B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8" authorId="0" shapeId="0" xr:uid="{00000000-0006-0000-0500-0000B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8" authorId="0" shapeId="0" xr:uid="{00000000-0006-0000-0500-0000B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8" authorId="0" shapeId="0" xr:uid="{00000000-0006-0000-0500-0000B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8" authorId="0" shapeId="0" xr:uid="{00000000-0006-0000-0500-0000B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8" authorId="0" shapeId="0" xr:uid="{00000000-0006-0000-0500-0000B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8" authorId="0" shapeId="0" xr:uid="{00000000-0006-0000-0500-0000B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8" authorId="0" shapeId="0" xr:uid="{00000000-0006-0000-0500-0000B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8" authorId="0" shapeId="0" xr:uid="{00000000-0006-0000-0500-0000B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8" authorId="0" shapeId="0" xr:uid="{00000000-0006-0000-0500-0000B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8" authorId="0" shapeId="0" xr:uid="{00000000-0006-0000-0500-0000B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8" authorId="0" shapeId="0" xr:uid="{00000000-0006-0000-0500-0000C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8" authorId="0" shapeId="0" xr:uid="{00000000-0006-0000-0500-0000C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8" authorId="0" shapeId="0" xr:uid="{00000000-0006-0000-0500-0000C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8" authorId="0" shapeId="0" xr:uid="{00000000-0006-0000-0500-0000C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8" authorId="0" shapeId="0" xr:uid="{00000000-0006-0000-0500-0000C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8" authorId="0" shapeId="0" xr:uid="{00000000-0006-0000-0500-0000C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29" authorId="0" shapeId="0" xr:uid="{00000000-0006-0000-0500-0000C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29" authorId="0" shapeId="0" xr:uid="{00000000-0006-0000-0500-0000C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29" authorId="0" shapeId="0" xr:uid="{00000000-0006-0000-0500-0000C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29" authorId="0" shapeId="0" xr:uid="{00000000-0006-0000-0500-0000C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29" authorId="0" shapeId="0" xr:uid="{00000000-0006-0000-0500-0000C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29" authorId="0" shapeId="0" xr:uid="{00000000-0006-0000-0500-0000C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29" authorId="0" shapeId="0" xr:uid="{00000000-0006-0000-0500-0000C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29" authorId="0" shapeId="0" xr:uid="{00000000-0006-0000-0500-0000C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29" authorId="0" shapeId="0" xr:uid="{00000000-0006-0000-0500-0000C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29" authorId="0" shapeId="0" xr:uid="{00000000-0006-0000-0500-0000C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29" authorId="0" shapeId="0" xr:uid="{00000000-0006-0000-0500-0000D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29" authorId="0" shapeId="0" xr:uid="{00000000-0006-0000-0500-0000D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29" authorId="0" shapeId="0" xr:uid="{00000000-0006-0000-0500-0000D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29" authorId="0" shapeId="0" xr:uid="{00000000-0006-0000-0500-0000D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29" authorId="0" shapeId="0" xr:uid="{00000000-0006-0000-0500-0000D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29" authorId="0" shapeId="0" xr:uid="{00000000-0006-0000-0500-0000D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29" authorId="0" shapeId="0" xr:uid="{00000000-0006-0000-0500-0000D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29" authorId="0" shapeId="0" xr:uid="{00000000-0006-0000-0500-0000D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29" authorId="0" shapeId="0" xr:uid="{00000000-0006-0000-0500-0000D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0" authorId="0" shapeId="0" xr:uid="{00000000-0006-0000-0500-0000D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0" authorId="0" shapeId="0" xr:uid="{00000000-0006-0000-0500-0000D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0" authorId="0" shapeId="0" xr:uid="{00000000-0006-0000-0500-0000D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0" authorId="0" shapeId="0" xr:uid="{00000000-0006-0000-0500-0000D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30" authorId="0" shapeId="0" xr:uid="{00000000-0006-0000-0500-0000D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0" authorId="0" shapeId="0" xr:uid="{00000000-0006-0000-0500-0000D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0" authorId="0" shapeId="0" xr:uid="{00000000-0006-0000-0500-0000D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0" authorId="0" shapeId="0" xr:uid="{00000000-0006-0000-0500-0000E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0" authorId="0" shapeId="0" xr:uid="{00000000-0006-0000-0500-0000E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0" authorId="0" shapeId="0" xr:uid="{00000000-0006-0000-0500-0000E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0" authorId="0" shapeId="0" xr:uid="{00000000-0006-0000-0500-0000E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0" authorId="0" shapeId="0" xr:uid="{00000000-0006-0000-0500-0000E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0" authorId="0" shapeId="0" xr:uid="{00000000-0006-0000-0500-0000E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0" authorId="0" shapeId="0" xr:uid="{00000000-0006-0000-0500-0000E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0" authorId="0" shapeId="0" xr:uid="{00000000-0006-0000-0500-0000E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0" authorId="0" shapeId="0" xr:uid="{00000000-0006-0000-0500-0000E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0" authorId="0" shapeId="0" xr:uid="{00000000-0006-0000-0500-0000E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30" authorId="0" shapeId="0" xr:uid="{00000000-0006-0000-0500-0000E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0" authorId="0" shapeId="0" xr:uid="{00000000-0006-0000-0500-0000E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1" authorId="0" shapeId="0" xr:uid="{00000000-0006-0000-0500-0000E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1" authorId="0" shapeId="0" xr:uid="{00000000-0006-0000-0500-0000E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1" authorId="0" shapeId="0" xr:uid="{00000000-0006-0000-0500-0000E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1" authorId="0" shapeId="0" xr:uid="{00000000-0006-0000-0500-0000E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31" authorId="0" shapeId="0" xr:uid="{00000000-0006-0000-0500-0000F0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1" authorId="0" shapeId="0" xr:uid="{00000000-0006-0000-0500-0000F1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1" authorId="0" shapeId="0" xr:uid="{00000000-0006-0000-0500-0000F2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1" authorId="0" shapeId="0" xr:uid="{00000000-0006-0000-0500-0000F3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1" authorId="0" shapeId="0" xr:uid="{00000000-0006-0000-0500-0000F4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1" authorId="0" shapeId="0" xr:uid="{00000000-0006-0000-0500-0000F5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1" authorId="0" shapeId="0" xr:uid="{00000000-0006-0000-0500-0000F6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1" authorId="0" shapeId="0" xr:uid="{00000000-0006-0000-0500-0000F7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1" authorId="0" shapeId="0" xr:uid="{00000000-0006-0000-0500-0000F8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1" authorId="0" shapeId="0" xr:uid="{00000000-0006-0000-0500-0000F9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1" authorId="0" shapeId="0" xr:uid="{00000000-0006-0000-0500-0000FA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1" authorId="0" shapeId="0" xr:uid="{00000000-0006-0000-0500-0000FB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1" authorId="0" shapeId="0" xr:uid="{00000000-0006-0000-0500-0000FC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31" authorId="0" shapeId="0" xr:uid="{00000000-0006-0000-0500-0000FD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1" authorId="0" shapeId="0" xr:uid="{00000000-0006-0000-0500-0000FE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2" authorId="0" shapeId="0" xr:uid="{00000000-0006-0000-0500-0000FF05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2" authorId="0" shapeId="0" xr:uid="{00000000-0006-0000-0500-00000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2" authorId="0" shapeId="0" xr:uid="{00000000-0006-0000-0500-00000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2" authorId="0" shapeId="0" xr:uid="{00000000-0006-0000-0500-00000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32" authorId="0" shapeId="0" xr:uid="{00000000-0006-0000-0500-00000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2" authorId="0" shapeId="0" xr:uid="{00000000-0006-0000-0500-00000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2" authorId="0" shapeId="0" xr:uid="{00000000-0006-0000-0500-00000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2" authorId="0" shapeId="0" xr:uid="{00000000-0006-0000-0500-00000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2" authorId="0" shapeId="0" xr:uid="{00000000-0006-0000-0500-00000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2" authorId="0" shapeId="0" xr:uid="{00000000-0006-0000-0500-00000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2" authorId="0" shapeId="0" xr:uid="{00000000-0006-0000-0500-00000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2" authorId="0" shapeId="0" xr:uid="{00000000-0006-0000-0500-00000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2" authorId="0" shapeId="0" xr:uid="{00000000-0006-0000-0500-00000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2" authorId="0" shapeId="0" xr:uid="{00000000-0006-0000-0500-00000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2" authorId="0" shapeId="0" xr:uid="{00000000-0006-0000-0500-00000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2" authorId="0" shapeId="0" xr:uid="{00000000-0006-0000-0500-00000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2" authorId="0" shapeId="0" xr:uid="{00000000-0006-0000-0500-00000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32" authorId="0" shapeId="0" xr:uid="{00000000-0006-0000-0500-00001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2" authorId="0" shapeId="0" xr:uid="{00000000-0006-0000-0500-00001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3" authorId="0" shapeId="0" xr:uid="{00000000-0006-0000-0500-00001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3" authorId="0" shapeId="0" xr:uid="{00000000-0006-0000-0500-00001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3" authorId="0" shapeId="0" xr:uid="{00000000-0006-0000-0500-00001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3" authorId="0" shapeId="0" xr:uid="{00000000-0006-0000-0500-00001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N133" authorId="0" shapeId="0" xr:uid="{00000000-0006-0000-0500-00001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3" authorId="0" shapeId="0" xr:uid="{00000000-0006-0000-0500-00001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3" authorId="0" shapeId="0" xr:uid="{00000000-0006-0000-0500-00001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3" authorId="0" shapeId="0" xr:uid="{00000000-0006-0000-0500-00001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3" authorId="0" shapeId="0" xr:uid="{00000000-0006-0000-0500-00001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3" authorId="0" shapeId="0" xr:uid="{00000000-0006-0000-0500-00001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3" authorId="0" shapeId="0" xr:uid="{00000000-0006-0000-0500-00001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3" authorId="0" shapeId="0" xr:uid="{00000000-0006-0000-0500-00001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3" authorId="0" shapeId="0" xr:uid="{00000000-0006-0000-0500-00001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3" authorId="0" shapeId="0" xr:uid="{00000000-0006-0000-0500-00001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3" authorId="0" shapeId="0" xr:uid="{00000000-0006-0000-0500-00002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3" authorId="0" shapeId="0" xr:uid="{00000000-0006-0000-0500-00002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3" authorId="0" shapeId="0" xr:uid="{00000000-0006-0000-0500-00002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K133" authorId="0" shapeId="0" xr:uid="{00000000-0006-0000-0500-00002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3" authorId="0" shapeId="0" xr:uid="{00000000-0006-0000-0500-00002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4" authorId="0" shapeId="0" xr:uid="{00000000-0006-0000-0500-00002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4" authorId="0" shapeId="0" xr:uid="{00000000-0006-0000-0500-00002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4" authorId="0" shapeId="0" xr:uid="{00000000-0006-0000-0500-00002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4" authorId="0" shapeId="0" xr:uid="{00000000-0006-0000-0500-00002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4" authorId="0" shapeId="0" xr:uid="{00000000-0006-0000-0500-00002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4" authorId="0" shapeId="0" xr:uid="{00000000-0006-0000-0500-00002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4" authorId="0" shapeId="0" xr:uid="{00000000-0006-0000-0500-00002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4" authorId="0" shapeId="0" xr:uid="{00000000-0006-0000-0500-00002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4" authorId="0" shapeId="0" xr:uid="{00000000-0006-0000-0500-00002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4" authorId="0" shapeId="0" xr:uid="{00000000-0006-0000-0500-00002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4" authorId="0" shapeId="0" xr:uid="{00000000-0006-0000-0500-00002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4" authorId="0" shapeId="0" xr:uid="{00000000-0006-0000-0500-00003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4" authorId="0" shapeId="0" xr:uid="{00000000-0006-0000-0500-00003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4" authorId="0" shapeId="0" xr:uid="{00000000-0006-0000-0500-00003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4" authorId="0" shapeId="0" xr:uid="{00000000-0006-0000-0500-00003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4" authorId="0" shapeId="0" xr:uid="{00000000-0006-0000-0500-00003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4" authorId="0" shapeId="0" xr:uid="{00000000-0006-0000-0500-00003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5" authorId="0" shapeId="0" xr:uid="{00000000-0006-0000-0500-00003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5" authorId="0" shapeId="0" xr:uid="{00000000-0006-0000-0500-00003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5" authorId="0" shapeId="0" xr:uid="{00000000-0006-0000-0500-00003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5" authorId="0" shapeId="0" xr:uid="{00000000-0006-0000-0500-00003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5" authorId="0" shapeId="0" xr:uid="{00000000-0006-0000-0500-00003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5" authorId="0" shapeId="0" xr:uid="{00000000-0006-0000-0500-00003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5" authorId="0" shapeId="0" xr:uid="{00000000-0006-0000-0500-00003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5" authorId="0" shapeId="0" xr:uid="{00000000-0006-0000-0500-00003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5" authorId="0" shapeId="0" xr:uid="{00000000-0006-0000-0500-00003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5" authorId="0" shapeId="0" xr:uid="{00000000-0006-0000-0500-00003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5" authorId="0" shapeId="0" xr:uid="{00000000-0006-0000-0500-00004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5" authorId="0" shapeId="0" xr:uid="{00000000-0006-0000-0500-00004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5" authorId="0" shapeId="0" xr:uid="{00000000-0006-0000-0500-00004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5" authorId="0" shapeId="0" xr:uid="{00000000-0006-0000-0500-00004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5" authorId="0" shapeId="0" xr:uid="{00000000-0006-0000-0500-00004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5" authorId="0" shapeId="0" xr:uid="{00000000-0006-0000-0500-00004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5" authorId="0" shapeId="0" xr:uid="{00000000-0006-0000-0500-00004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6" authorId="0" shapeId="0" xr:uid="{00000000-0006-0000-0500-00004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6" authorId="0" shapeId="0" xr:uid="{00000000-0006-0000-0500-00004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6" authorId="0" shapeId="0" xr:uid="{00000000-0006-0000-0500-00004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6" authorId="0" shapeId="0" xr:uid="{00000000-0006-0000-0500-00004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6" authorId="0" shapeId="0" xr:uid="{00000000-0006-0000-0500-00004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6" authorId="0" shapeId="0" xr:uid="{00000000-0006-0000-0500-00004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6" authorId="0" shapeId="0" xr:uid="{00000000-0006-0000-0500-00004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6" authorId="0" shapeId="0" xr:uid="{00000000-0006-0000-0500-00004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6" authorId="0" shapeId="0" xr:uid="{00000000-0006-0000-0500-00004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6" authorId="0" shapeId="0" xr:uid="{00000000-0006-0000-0500-00005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6" authorId="0" shapeId="0" xr:uid="{00000000-0006-0000-0500-00005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6" authorId="0" shapeId="0" xr:uid="{00000000-0006-0000-0500-00005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6" authorId="0" shapeId="0" xr:uid="{00000000-0006-0000-0500-00005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6" authorId="0" shapeId="0" xr:uid="{00000000-0006-0000-0500-00005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6" authorId="0" shapeId="0" xr:uid="{00000000-0006-0000-0500-00005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6" authorId="0" shapeId="0" xr:uid="{00000000-0006-0000-0500-00005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6" authorId="0" shapeId="0" xr:uid="{00000000-0006-0000-0500-00005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7" authorId="0" shapeId="0" xr:uid="{00000000-0006-0000-0500-00005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7" authorId="0" shapeId="0" xr:uid="{00000000-0006-0000-0500-00005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7" authorId="0" shapeId="0" xr:uid="{00000000-0006-0000-0500-00005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7" authorId="0" shapeId="0" xr:uid="{00000000-0006-0000-0500-00005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7" authorId="0" shapeId="0" xr:uid="{00000000-0006-0000-0500-00005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7" authorId="0" shapeId="0" xr:uid="{00000000-0006-0000-0500-00005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7" authorId="0" shapeId="0" xr:uid="{00000000-0006-0000-0500-00005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7" authorId="0" shapeId="0" xr:uid="{00000000-0006-0000-0500-00005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7" authorId="0" shapeId="0" xr:uid="{00000000-0006-0000-0500-00006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7" authorId="0" shapeId="0" xr:uid="{00000000-0006-0000-0500-00006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7" authorId="0" shapeId="0" xr:uid="{00000000-0006-0000-0500-00006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7" authorId="0" shapeId="0" xr:uid="{00000000-0006-0000-0500-00006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7" authorId="0" shapeId="0" xr:uid="{00000000-0006-0000-0500-00006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7" authorId="0" shapeId="0" xr:uid="{00000000-0006-0000-0500-00006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7" authorId="0" shapeId="0" xr:uid="{00000000-0006-0000-0500-00006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7" authorId="0" shapeId="0" xr:uid="{00000000-0006-0000-0500-00006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7" authorId="0" shapeId="0" xr:uid="{00000000-0006-0000-0500-00006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8" authorId="0" shapeId="0" xr:uid="{00000000-0006-0000-0500-00006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8" authorId="0" shapeId="0" xr:uid="{00000000-0006-0000-0500-00006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8" authorId="0" shapeId="0" xr:uid="{00000000-0006-0000-0500-00006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8" authorId="0" shapeId="0" xr:uid="{00000000-0006-0000-0500-00006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8" authorId="0" shapeId="0" xr:uid="{00000000-0006-0000-0500-00006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8" authorId="0" shapeId="0" xr:uid="{00000000-0006-0000-0500-00006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8" authorId="0" shapeId="0" xr:uid="{00000000-0006-0000-0500-00006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8" authorId="0" shapeId="0" xr:uid="{00000000-0006-0000-0500-00007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8" authorId="0" shapeId="0" xr:uid="{00000000-0006-0000-0500-00007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8" authorId="0" shapeId="0" xr:uid="{00000000-0006-0000-0500-00007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8" authorId="0" shapeId="0" xr:uid="{00000000-0006-0000-0500-00007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8" authorId="0" shapeId="0" xr:uid="{00000000-0006-0000-0500-00007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8" authorId="0" shapeId="0" xr:uid="{00000000-0006-0000-0500-00007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8" authorId="0" shapeId="0" xr:uid="{00000000-0006-0000-0500-00007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8" authorId="0" shapeId="0" xr:uid="{00000000-0006-0000-0500-00007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8" authorId="0" shapeId="0" xr:uid="{00000000-0006-0000-0500-00007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8" authorId="0" shapeId="0" xr:uid="{00000000-0006-0000-0500-00007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39" authorId="0" shapeId="0" xr:uid="{00000000-0006-0000-0500-00007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39" authorId="0" shapeId="0" xr:uid="{00000000-0006-0000-0500-00007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39" authorId="0" shapeId="0" xr:uid="{00000000-0006-0000-0500-00007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39" authorId="0" shapeId="0" xr:uid="{00000000-0006-0000-0500-00007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39" authorId="0" shapeId="0" xr:uid="{00000000-0006-0000-0500-00007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39" authorId="0" shapeId="0" xr:uid="{00000000-0006-0000-0500-00007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39" authorId="0" shapeId="0" xr:uid="{00000000-0006-0000-0500-00008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39" authorId="0" shapeId="0" xr:uid="{00000000-0006-0000-0500-00008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39" authorId="0" shapeId="0" xr:uid="{00000000-0006-0000-0500-00008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39" authorId="0" shapeId="0" xr:uid="{00000000-0006-0000-0500-00008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39" authorId="0" shapeId="0" xr:uid="{00000000-0006-0000-0500-00008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39" authorId="0" shapeId="0" xr:uid="{00000000-0006-0000-0500-00008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39" authorId="0" shapeId="0" xr:uid="{00000000-0006-0000-0500-00008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39" authorId="0" shapeId="0" xr:uid="{00000000-0006-0000-0500-00008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39" authorId="0" shapeId="0" xr:uid="{00000000-0006-0000-0500-00008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39" authorId="0" shapeId="0" xr:uid="{00000000-0006-0000-0500-00008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39" authorId="0" shapeId="0" xr:uid="{00000000-0006-0000-0500-00008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0" authorId="0" shapeId="0" xr:uid="{00000000-0006-0000-0500-00008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0" authorId="0" shapeId="0" xr:uid="{00000000-0006-0000-0500-00008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0" authorId="0" shapeId="0" xr:uid="{00000000-0006-0000-0500-00008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0" authorId="0" shapeId="0" xr:uid="{00000000-0006-0000-0500-00008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0" authorId="0" shapeId="0" xr:uid="{00000000-0006-0000-0500-00008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0" authorId="0" shapeId="0" xr:uid="{00000000-0006-0000-0500-00009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0" authorId="0" shapeId="0" xr:uid="{00000000-0006-0000-0500-00009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0" authorId="0" shapeId="0" xr:uid="{00000000-0006-0000-0500-00009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0" authorId="0" shapeId="0" xr:uid="{00000000-0006-0000-0500-00009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0" authorId="0" shapeId="0" xr:uid="{00000000-0006-0000-0500-00009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0" authorId="0" shapeId="0" xr:uid="{00000000-0006-0000-0500-00009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0" authorId="0" shapeId="0" xr:uid="{00000000-0006-0000-0500-00009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0" authorId="0" shapeId="0" xr:uid="{00000000-0006-0000-0500-00009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0" authorId="0" shapeId="0" xr:uid="{00000000-0006-0000-0500-00009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0" authorId="0" shapeId="0" xr:uid="{00000000-0006-0000-0500-00009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0" authorId="0" shapeId="0" xr:uid="{00000000-0006-0000-0500-00009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0" authorId="0" shapeId="0" xr:uid="{00000000-0006-0000-0500-00009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1" authorId="0" shapeId="0" xr:uid="{00000000-0006-0000-0500-00009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1" authorId="0" shapeId="0" xr:uid="{00000000-0006-0000-0500-00009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1" authorId="0" shapeId="0" xr:uid="{00000000-0006-0000-0500-00009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1" authorId="0" shapeId="0" xr:uid="{00000000-0006-0000-0500-00009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1" authorId="0" shapeId="0" xr:uid="{00000000-0006-0000-0500-0000A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1" authorId="0" shapeId="0" xr:uid="{00000000-0006-0000-0500-0000A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1" authorId="0" shapeId="0" xr:uid="{00000000-0006-0000-0500-0000A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1" authorId="0" shapeId="0" xr:uid="{00000000-0006-0000-0500-0000A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1" authorId="0" shapeId="0" xr:uid="{00000000-0006-0000-0500-0000A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1" authorId="0" shapeId="0" xr:uid="{00000000-0006-0000-0500-0000A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1" authorId="0" shapeId="0" xr:uid="{00000000-0006-0000-0500-0000A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1" authorId="0" shapeId="0" xr:uid="{00000000-0006-0000-0500-0000A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1" authorId="0" shapeId="0" xr:uid="{00000000-0006-0000-0500-0000A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1" authorId="0" shapeId="0" xr:uid="{00000000-0006-0000-0500-0000A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1" authorId="0" shapeId="0" xr:uid="{00000000-0006-0000-0500-0000A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1" authorId="0" shapeId="0" xr:uid="{00000000-0006-0000-0500-0000A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1" authorId="0" shapeId="0" xr:uid="{00000000-0006-0000-0500-0000A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2" authorId="0" shapeId="0" xr:uid="{00000000-0006-0000-0500-0000A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2" authorId="0" shapeId="0" xr:uid="{00000000-0006-0000-0500-0000A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2" authorId="0" shapeId="0" xr:uid="{00000000-0006-0000-0500-0000A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2" authorId="0" shapeId="0" xr:uid="{00000000-0006-0000-0500-0000B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2" authorId="0" shapeId="0" xr:uid="{00000000-0006-0000-0500-0000B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2" authorId="0" shapeId="0" xr:uid="{00000000-0006-0000-0500-0000B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2" authorId="0" shapeId="0" xr:uid="{00000000-0006-0000-0500-0000B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2" authorId="0" shapeId="0" xr:uid="{00000000-0006-0000-0500-0000B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2" authorId="0" shapeId="0" xr:uid="{00000000-0006-0000-0500-0000B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2" authorId="0" shapeId="0" xr:uid="{00000000-0006-0000-0500-0000B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2" authorId="0" shapeId="0" xr:uid="{00000000-0006-0000-0500-0000B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2" authorId="0" shapeId="0" xr:uid="{00000000-0006-0000-0500-0000B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2" authorId="0" shapeId="0" xr:uid="{00000000-0006-0000-0500-0000B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2" authorId="0" shapeId="0" xr:uid="{00000000-0006-0000-0500-0000B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2" authorId="0" shapeId="0" xr:uid="{00000000-0006-0000-0500-0000B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2" authorId="0" shapeId="0" xr:uid="{00000000-0006-0000-0500-0000B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2" authorId="0" shapeId="0" xr:uid="{00000000-0006-0000-0500-0000B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3" authorId="0" shapeId="0" xr:uid="{00000000-0006-0000-0500-0000B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3" authorId="0" shapeId="0" xr:uid="{00000000-0006-0000-0500-0000B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3" authorId="0" shapeId="0" xr:uid="{00000000-0006-0000-0500-0000C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3" authorId="0" shapeId="0" xr:uid="{00000000-0006-0000-0500-0000C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3" authorId="0" shapeId="0" xr:uid="{00000000-0006-0000-0500-0000C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3" authorId="0" shapeId="0" xr:uid="{00000000-0006-0000-0500-0000C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3" authorId="0" shapeId="0" xr:uid="{00000000-0006-0000-0500-0000C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3" authorId="0" shapeId="0" xr:uid="{00000000-0006-0000-0500-0000C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3" authorId="0" shapeId="0" xr:uid="{00000000-0006-0000-0500-0000C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3" authorId="0" shapeId="0" xr:uid="{00000000-0006-0000-0500-0000C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3" authorId="0" shapeId="0" xr:uid="{00000000-0006-0000-0500-0000C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3" authorId="0" shapeId="0" xr:uid="{00000000-0006-0000-0500-0000C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3" authorId="0" shapeId="0" xr:uid="{00000000-0006-0000-0500-0000C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3" authorId="0" shapeId="0" xr:uid="{00000000-0006-0000-0500-0000C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3" authorId="0" shapeId="0" xr:uid="{00000000-0006-0000-0500-0000C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3" authorId="0" shapeId="0" xr:uid="{00000000-0006-0000-0500-0000C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3" authorId="0" shapeId="0" xr:uid="{00000000-0006-0000-0500-0000C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4" authorId="0" shapeId="0" xr:uid="{00000000-0006-0000-0500-0000C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4" authorId="0" shapeId="0" xr:uid="{00000000-0006-0000-0500-0000D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4" authorId="0" shapeId="0" xr:uid="{00000000-0006-0000-0500-0000D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4" authorId="0" shapeId="0" xr:uid="{00000000-0006-0000-0500-0000D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4" authorId="0" shapeId="0" xr:uid="{00000000-0006-0000-0500-0000D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4" authorId="0" shapeId="0" xr:uid="{00000000-0006-0000-0500-0000D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4" authorId="0" shapeId="0" xr:uid="{00000000-0006-0000-0500-0000D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4" authorId="0" shapeId="0" xr:uid="{00000000-0006-0000-0500-0000D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4" authorId="0" shapeId="0" xr:uid="{00000000-0006-0000-0500-0000D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4" authorId="0" shapeId="0" xr:uid="{00000000-0006-0000-0500-0000D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4" authorId="0" shapeId="0" xr:uid="{00000000-0006-0000-0500-0000D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4" authorId="0" shapeId="0" xr:uid="{00000000-0006-0000-0500-0000D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4" authorId="0" shapeId="0" xr:uid="{00000000-0006-0000-0500-0000D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4" authorId="0" shapeId="0" xr:uid="{00000000-0006-0000-0500-0000D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4" authorId="0" shapeId="0" xr:uid="{00000000-0006-0000-0500-0000D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4" authorId="0" shapeId="0" xr:uid="{00000000-0006-0000-0500-0000D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4" authorId="0" shapeId="0" xr:uid="{00000000-0006-0000-0500-0000D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5" authorId="0" shapeId="0" xr:uid="{00000000-0006-0000-0500-0000E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5" authorId="0" shapeId="0" xr:uid="{00000000-0006-0000-0500-0000E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5" authorId="0" shapeId="0" xr:uid="{00000000-0006-0000-0500-0000E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5" authorId="0" shapeId="0" xr:uid="{00000000-0006-0000-0500-0000E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5" authorId="0" shapeId="0" xr:uid="{00000000-0006-0000-0500-0000E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5" authorId="0" shapeId="0" xr:uid="{00000000-0006-0000-0500-0000E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5" authorId="0" shapeId="0" xr:uid="{00000000-0006-0000-0500-0000E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5" authorId="0" shapeId="0" xr:uid="{00000000-0006-0000-0500-0000E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5" authorId="0" shapeId="0" xr:uid="{00000000-0006-0000-0500-0000E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5" authorId="0" shapeId="0" xr:uid="{00000000-0006-0000-0500-0000E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5" authorId="0" shapeId="0" xr:uid="{00000000-0006-0000-0500-0000E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5" authorId="0" shapeId="0" xr:uid="{00000000-0006-0000-0500-0000E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5" authorId="0" shapeId="0" xr:uid="{00000000-0006-0000-0500-0000E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5" authorId="0" shapeId="0" xr:uid="{00000000-0006-0000-0500-0000E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5" authorId="0" shapeId="0" xr:uid="{00000000-0006-0000-0500-0000E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5" authorId="0" shapeId="0" xr:uid="{00000000-0006-0000-0500-0000E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5" authorId="0" shapeId="0" xr:uid="{00000000-0006-0000-0500-0000F0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6" authorId="0" shapeId="0" xr:uid="{00000000-0006-0000-0500-0000F1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6" authorId="0" shapeId="0" xr:uid="{00000000-0006-0000-0500-0000F2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6" authorId="0" shapeId="0" xr:uid="{00000000-0006-0000-0500-0000F3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6" authorId="0" shapeId="0" xr:uid="{00000000-0006-0000-0500-0000F4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6" authorId="0" shapeId="0" xr:uid="{00000000-0006-0000-0500-0000F5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6" authorId="0" shapeId="0" xr:uid="{00000000-0006-0000-0500-0000F6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6" authorId="0" shapeId="0" xr:uid="{00000000-0006-0000-0500-0000F7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6" authorId="0" shapeId="0" xr:uid="{00000000-0006-0000-0500-0000F8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6" authorId="0" shapeId="0" xr:uid="{00000000-0006-0000-0500-0000F9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6" authorId="0" shapeId="0" xr:uid="{00000000-0006-0000-0500-0000FA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6" authorId="0" shapeId="0" xr:uid="{00000000-0006-0000-0500-0000FB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6" authorId="0" shapeId="0" xr:uid="{00000000-0006-0000-0500-0000FC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6" authorId="0" shapeId="0" xr:uid="{00000000-0006-0000-0500-0000FD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6" authorId="0" shapeId="0" xr:uid="{00000000-0006-0000-0500-0000FE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6" authorId="0" shapeId="0" xr:uid="{00000000-0006-0000-0500-0000FF06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6" authorId="0" shapeId="0" xr:uid="{00000000-0006-0000-0500-00000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6" authorId="0" shapeId="0" xr:uid="{00000000-0006-0000-0500-00000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7" authorId="0" shapeId="0" xr:uid="{00000000-0006-0000-0500-00000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7" authorId="0" shapeId="0" xr:uid="{00000000-0006-0000-0500-00000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7" authorId="0" shapeId="0" xr:uid="{00000000-0006-0000-0500-00000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7" authorId="0" shapeId="0" xr:uid="{00000000-0006-0000-0500-00000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7" authorId="0" shapeId="0" xr:uid="{00000000-0006-0000-0500-00000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7" authorId="0" shapeId="0" xr:uid="{00000000-0006-0000-0500-00000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7" authorId="0" shapeId="0" xr:uid="{00000000-0006-0000-0500-00000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7" authorId="0" shapeId="0" xr:uid="{00000000-0006-0000-0500-00000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7" authorId="0" shapeId="0" xr:uid="{00000000-0006-0000-0500-00000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7" authorId="0" shapeId="0" xr:uid="{00000000-0006-0000-0500-00000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7" authorId="0" shapeId="0" xr:uid="{00000000-0006-0000-0500-00000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7" authorId="0" shapeId="0" xr:uid="{00000000-0006-0000-0500-00000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7" authorId="0" shapeId="0" xr:uid="{00000000-0006-0000-0500-00000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7" authorId="0" shapeId="0" xr:uid="{00000000-0006-0000-0500-00000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7" authorId="0" shapeId="0" xr:uid="{00000000-0006-0000-0500-00001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7" authorId="0" shapeId="0" xr:uid="{00000000-0006-0000-0500-00001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7" authorId="0" shapeId="0" xr:uid="{00000000-0006-0000-0500-00001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8" authorId="0" shapeId="0" xr:uid="{00000000-0006-0000-0500-00001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8" authorId="0" shapeId="0" xr:uid="{00000000-0006-0000-0500-00001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8" authorId="0" shapeId="0" xr:uid="{00000000-0006-0000-0500-00001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8" authorId="0" shapeId="0" xr:uid="{00000000-0006-0000-0500-00001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8" authorId="0" shapeId="0" xr:uid="{00000000-0006-0000-0500-00001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8" authorId="0" shapeId="0" xr:uid="{00000000-0006-0000-0500-00001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8" authorId="0" shapeId="0" xr:uid="{00000000-0006-0000-0500-00001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8" authorId="0" shapeId="0" xr:uid="{00000000-0006-0000-0500-00001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8" authorId="0" shapeId="0" xr:uid="{00000000-0006-0000-0500-00001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8" authorId="0" shapeId="0" xr:uid="{00000000-0006-0000-0500-00001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8" authorId="0" shapeId="0" xr:uid="{00000000-0006-0000-0500-00001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8" authorId="0" shapeId="0" xr:uid="{00000000-0006-0000-0500-00001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8" authorId="0" shapeId="0" xr:uid="{00000000-0006-0000-0500-00001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8" authorId="0" shapeId="0" xr:uid="{00000000-0006-0000-0500-00002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8" authorId="0" shapeId="0" xr:uid="{00000000-0006-0000-0500-00002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8" authorId="0" shapeId="0" xr:uid="{00000000-0006-0000-0500-00002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8" authorId="0" shapeId="0" xr:uid="{00000000-0006-0000-0500-00002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49" authorId="0" shapeId="0" xr:uid="{00000000-0006-0000-0500-00002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49" authorId="0" shapeId="0" xr:uid="{00000000-0006-0000-0500-00002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49" authorId="0" shapeId="0" xr:uid="{00000000-0006-0000-0500-00002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49" authorId="0" shapeId="0" xr:uid="{00000000-0006-0000-0500-00002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49" authorId="0" shapeId="0" xr:uid="{00000000-0006-0000-0500-00002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49" authorId="0" shapeId="0" xr:uid="{00000000-0006-0000-0500-00002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49" authorId="0" shapeId="0" xr:uid="{00000000-0006-0000-0500-00002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49" authorId="0" shapeId="0" xr:uid="{00000000-0006-0000-0500-00002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49" authorId="0" shapeId="0" xr:uid="{00000000-0006-0000-0500-00002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49" authorId="0" shapeId="0" xr:uid="{00000000-0006-0000-0500-00002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49" authorId="0" shapeId="0" xr:uid="{00000000-0006-0000-0500-00002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49" authorId="0" shapeId="0" xr:uid="{00000000-0006-0000-0500-00002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49" authorId="0" shapeId="0" xr:uid="{00000000-0006-0000-0500-00003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49" authorId="0" shapeId="0" xr:uid="{00000000-0006-0000-0500-00003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49" authorId="0" shapeId="0" xr:uid="{00000000-0006-0000-0500-00003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49" authorId="0" shapeId="0" xr:uid="{00000000-0006-0000-0500-00003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49" authorId="0" shapeId="0" xr:uid="{00000000-0006-0000-0500-00003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0" authorId="0" shapeId="0" xr:uid="{00000000-0006-0000-0500-00003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0" authorId="0" shapeId="0" xr:uid="{00000000-0006-0000-0500-00003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0" authorId="0" shapeId="0" xr:uid="{00000000-0006-0000-0500-00003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0" authorId="0" shapeId="0" xr:uid="{00000000-0006-0000-0500-00003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0" authorId="0" shapeId="0" xr:uid="{00000000-0006-0000-0500-00003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0" authorId="0" shapeId="0" xr:uid="{00000000-0006-0000-0500-00003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0" authorId="0" shapeId="0" xr:uid="{00000000-0006-0000-0500-00003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0" authorId="0" shapeId="0" xr:uid="{00000000-0006-0000-0500-00003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0" authorId="0" shapeId="0" xr:uid="{00000000-0006-0000-0500-00003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0" authorId="0" shapeId="0" xr:uid="{00000000-0006-0000-0500-00003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0" authorId="0" shapeId="0" xr:uid="{00000000-0006-0000-0500-00003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0" authorId="0" shapeId="0" xr:uid="{00000000-0006-0000-0500-00004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0" authorId="0" shapeId="0" xr:uid="{00000000-0006-0000-0500-00004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0" authorId="0" shapeId="0" xr:uid="{00000000-0006-0000-0500-00004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0" authorId="0" shapeId="0" xr:uid="{00000000-0006-0000-0500-00004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0" authorId="0" shapeId="0" xr:uid="{00000000-0006-0000-0500-00004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0" authorId="0" shapeId="0" xr:uid="{00000000-0006-0000-0500-00004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1" authorId="0" shapeId="0" xr:uid="{00000000-0006-0000-0500-00004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1" authorId="0" shapeId="0" xr:uid="{00000000-0006-0000-0500-00004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1" authorId="0" shapeId="0" xr:uid="{00000000-0006-0000-0500-00004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1" authorId="0" shapeId="0" xr:uid="{00000000-0006-0000-0500-00004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1" authorId="0" shapeId="0" xr:uid="{00000000-0006-0000-0500-00004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1" authorId="0" shapeId="0" xr:uid="{00000000-0006-0000-0500-00004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1" authorId="0" shapeId="0" xr:uid="{00000000-0006-0000-0500-00004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1" authorId="0" shapeId="0" xr:uid="{00000000-0006-0000-0500-00004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1" authorId="0" shapeId="0" xr:uid="{00000000-0006-0000-0500-00004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1" authorId="0" shapeId="0" xr:uid="{00000000-0006-0000-0500-00004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1" authorId="0" shapeId="0" xr:uid="{00000000-0006-0000-0500-00005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1" authorId="0" shapeId="0" xr:uid="{00000000-0006-0000-0500-00005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1" authorId="0" shapeId="0" xr:uid="{00000000-0006-0000-0500-00005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1" authorId="0" shapeId="0" xr:uid="{00000000-0006-0000-0500-00005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1" authorId="0" shapeId="0" xr:uid="{00000000-0006-0000-0500-00005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1" authorId="0" shapeId="0" xr:uid="{00000000-0006-0000-0500-00005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1" authorId="0" shapeId="0" xr:uid="{00000000-0006-0000-0500-00005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2" authorId="0" shapeId="0" xr:uid="{00000000-0006-0000-0500-00005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2" authorId="0" shapeId="0" xr:uid="{00000000-0006-0000-0500-00005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2" authorId="0" shapeId="0" xr:uid="{00000000-0006-0000-0500-00005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2" authorId="0" shapeId="0" xr:uid="{00000000-0006-0000-0500-00005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2" authorId="0" shapeId="0" xr:uid="{00000000-0006-0000-0500-00005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2" authorId="0" shapeId="0" xr:uid="{00000000-0006-0000-0500-00005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2" authorId="0" shapeId="0" xr:uid="{00000000-0006-0000-0500-00005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2" authorId="0" shapeId="0" xr:uid="{00000000-0006-0000-0500-00005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2" authorId="0" shapeId="0" xr:uid="{00000000-0006-0000-0500-00005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2" authorId="0" shapeId="0" xr:uid="{00000000-0006-0000-0500-00006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2" authorId="0" shapeId="0" xr:uid="{00000000-0006-0000-0500-00006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2" authorId="0" shapeId="0" xr:uid="{00000000-0006-0000-0500-00006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2" authorId="0" shapeId="0" xr:uid="{00000000-0006-0000-0500-00006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2" authorId="0" shapeId="0" xr:uid="{00000000-0006-0000-0500-00006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2" authorId="0" shapeId="0" xr:uid="{00000000-0006-0000-0500-00006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2" authorId="0" shapeId="0" xr:uid="{00000000-0006-0000-0500-00006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2" authorId="0" shapeId="0" xr:uid="{00000000-0006-0000-0500-00006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3" authorId="0" shapeId="0" xr:uid="{00000000-0006-0000-0500-00006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3" authorId="0" shapeId="0" xr:uid="{00000000-0006-0000-0500-00006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3" authorId="0" shapeId="0" xr:uid="{00000000-0006-0000-0500-00006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3" authorId="0" shapeId="0" xr:uid="{00000000-0006-0000-0500-00006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3" authorId="0" shapeId="0" xr:uid="{00000000-0006-0000-0500-00006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3" authorId="0" shapeId="0" xr:uid="{00000000-0006-0000-0500-00006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3" authorId="0" shapeId="0" xr:uid="{00000000-0006-0000-0500-00006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3" authorId="0" shapeId="0" xr:uid="{00000000-0006-0000-0500-00006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3" authorId="0" shapeId="0" xr:uid="{00000000-0006-0000-0500-00007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3" authorId="0" shapeId="0" xr:uid="{00000000-0006-0000-0500-00007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3" authorId="0" shapeId="0" xr:uid="{00000000-0006-0000-0500-00007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3" authorId="0" shapeId="0" xr:uid="{00000000-0006-0000-0500-00007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3" authorId="0" shapeId="0" xr:uid="{00000000-0006-0000-0500-00007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3" authorId="0" shapeId="0" xr:uid="{00000000-0006-0000-0500-00007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3" authorId="0" shapeId="0" xr:uid="{00000000-0006-0000-0500-00007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3" authorId="0" shapeId="0" xr:uid="{00000000-0006-0000-0500-00007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3" authorId="0" shapeId="0" xr:uid="{00000000-0006-0000-0500-00007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4" authorId="0" shapeId="0" xr:uid="{00000000-0006-0000-0500-00007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4" authorId="0" shapeId="0" xr:uid="{00000000-0006-0000-0500-00007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4" authorId="0" shapeId="0" xr:uid="{00000000-0006-0000-0500-00007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4" authorId="0" shapeId="0" xr:uid="{00000000-0006-0000-0500-00007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4" authorId="0" shapeId="0" xr:uid="{00000000-0006-0000-0500-00007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4" authorId="0" shapeId="0" xr:uid="{00000000-0006-0000-0500-00007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4" authorId="0" shapeId="0" xr:uid="{00000000-0006-0000-0500-00007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4" authorId="0" shapeId="0" xr:uid="{00000000-0006-0000-0500-00008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4" authorId="0" shapeId="0" xr:uid="{00000000-0006-0000-0500-00008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4" authorId="0" shapeId="0" xr:uid="{00000000-0006-0000-0500-00008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4" authorId="0" shapeId="0" xr:uid="{00000000-0006-0000-0500-00008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4" authorId="0" shapeId="0" xr:uid="{00000000-0006-0000-0500-00008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4" authorId="0" shapeId="0" xr:uid="{00000000-0006-0000-0500-00008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4" authorId="0" shapeId="0" xr:uid="{00000000-0006-0000-0500-00008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4" authorId="0" shapeId="0" xr:uid="{00000000-0006-0000-0500-00008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4" authorId="0" shapeId="0" xr:uid="{00000000-0006-0000-0500-00008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4" authorId="0" shapeId="0" xr:uid="{00000000-0006-0000-0500-00008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5" authorId="0" shapeId="0" xr:uid="{00000000-0006-0000-0500-00008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5" authorId="0" shapeId="0" xr:uid="{00000000-0006-0000-0500-00008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5" authorId="0" shapeId="0" xr:uid="{00000000-0006-0000-0500-00008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5" authorId="0" shapeId="0" xr:uid="{00000000-0006-0000-0500-00008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5" authorId="0" shapeId="0" xr:uid="{00000000-0006-0000-0500-00008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5" authorId="0" shapeId="0" xr:uid="{00000000-0006-0000-0500-00008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5" authorId="0" shapeId="0" xr:uid="{00000000-0006-0000-0500-00009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5" authorId="0" shapeId="0" xr:uid="{00000000-0006-0000-0500-00009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5" authorId="0" shapeId="0" xr:uid="{00000000-0006-0000-0500-00009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5" authorId="0" shapeId="0" xr:uid="{00000000-0006-0000-0500-00009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5" authorId="0" shapeId="0" xr:uid="{00000000-0006-0000-0500-00009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5" authorId="0" shapeId="0" xr:uid="{00000000-0006-0000-0500-00009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5" authorId="0" shapeId="0" xr:uid="{00000000-0006-0000-0500-00009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5" authorId="0" shapeId="0" xr:uid="{00000000-0006-0000-0500-00009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5" authorId="0" shapeId="0" xr:uid="{00000000-0006-0000-0500-00009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5" authorId="0" shapeId="0" xr:uid="{00000000-0006-0000-0500-00009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5" authorId="0" shapeId="0" xr:uid="{00000000-0006-0000-0500-00009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6" authorId="0" shapeId="0" xr:uid="{00000000-0006-0000-0500-00009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6" authorId="0" shapeId="0" xr:uid="{00000000-0006-0000-0500-00009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6" authorId="0" shapeId="0" xr:uid="{00000000-0006-0000-0500-00009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6" authorId="0" shapeId="0" xr:uid="{00000000-0006-0000-0500-00009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6" authorId="0" shapeId="0" xr:uid="{00000000-0006-0000-0500-00009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6" authorId="0" shapeId="0" xr:uid="{00000000-0006-0000-0500-0000A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6" authorId="0" shapeId="0" xr:uid="{00000000-0006-0000-0500-0000A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6" authorId="0" shapeId="0" xr:uid="{00000000-0006-0000-0500-0000A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6" authorId="0" shapeId="0" xr:uid="{00000000-0006-0000-0500-0000A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6" authorId="0" shapeId="0" xr:uid="{00000000-0006-0000-0500-0000A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6" authorId="0" shapeId="0" xr:uid="{00000000-0006-0000-0500-0000A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6" authorId="0" shapeId="0" xr:uid="{00000000-0006-0000-0500-0000A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6" authorId="0" shapeId="0" xr:uid="{00000000-0006-0000-0500-0000A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6" authorId="0" shapeId="0" xr:uid="{00000000-0006-0000-0500-0000A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6" authorId="0" shapeId="0" xr:uid="{00000000-0006-0000-0500-0000A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6" authorId="0" shapeId="0" xr:uid="{00000000-0006-0000-0500-0000A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6" authorId="0" shapeId="0" xr:uid="{00000000-0006-0000-0500-0000A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7" authorId="0" shapeId="0" xr:uid="{00000000-0006-0000-0500-0000A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7" authorId="0" shapeId="0" xr:uid="{00000000-0006-0000-0500-0000A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7" authorId="0" shapeId="0" xr:uid="{00000000-0006-0000-0500-0000A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7" authorId="0" shapeId="0" xr:uid="{00000000-0006-0000-0500-0000A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7" authorId="0" shapeId="0" xr:uid="{00000000-0006-0000-0500-0000B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7" authorId="0" shapeId="0" xr:uid="{00000000-0006-0000-0500-0000B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7" authorId="0" shapeId="0" xr:uid="{00000000-0006-0000-0500-0000B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7" authorId="0" shapeId="0" xr:uid="{00000000-0006-0000-0500-0000B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7" authorId="0" shapeId="0" xr:uid="{00000000-0006-0000-0500-0000B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7" authorId="0" shapeId="0" xr:uid="{00000000-0006-0000-0500-0000B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7" authorId="0" shapeId="0" xr:uid="{00000000-0006-0000-0500-0000B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7" authorId="0" shapeId="0" xr:uid="{00000000-0006-0000-0500-0000B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7" authorId="0" shapeId="0" xr:uid="{00000000-0006-0000-0500-0000B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7" authorId="0" shapeId="0" xr:uid="{00000000-0006-0000-0500-0000B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7" authorId="0" shapeId="0" xr:uid="{00000000-0006-0000-0500-0000B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7" authorId="0" shapeId="0" xr:uid="{00000000-0006-0000-0500-0000B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7" authorId="0" shapeId="0" xr:uid="{00000000-0006-0000-0500-0000B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8" authorId="0" shapeId="0" xr:uid="{00000000-0006-0000-0500-0000B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8" authorId="0" shapeId="0" xr:uid="{00000000-0006-0000-0500-0000B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8" authorId="0" shapeId="0" xr:uid="{00000000-0006-0000-0500-0000B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8" authorId="0" shapeId="0" xr:uid="{00000000-0006-0000-0500-0000C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8" authorId="0" shapeId="0" xr:uid="{00000000-0006-0000-0500-0000C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8" authorId="0" shapeId="0" xr:uid="{00000000-0006-0000-0500-0000C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8" authorId="0" shapeId="0" xr:uid="{00000000-0006-0000-0500-0000C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8" authorId="0" shapeId="0" xr:uid="{00000000-0006-0000-0500-0000C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8" authorId="0" shapeId="0" xr:uid="{00000000-0006-0000-0500-0000C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8" authorId="0" shapeId="0" xr:uid="{00000000-0006-0000-0500-0000C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8" authorId="0" shapeId="0" xr:uid="{00000000-0006-0000-0500-0000C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8" authorId="0" shapeId="0" xr:uid="{00000000-0006-0000-0500-0000C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8" authorId="0" shapeId="0" xr:uid="{00000000-0006-0000-0500-0000C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8" authorId="0" shapeId="0" xr:uid="{00000000-0006-0000-0500-0000C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8" authorId="0" shapeId="0" xr:uid="{00000000-0006-0000-0500-0000C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8" authorId="0" shapeId="0" xr:uid="{00000000-0006-0000-0500-0000C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8" authorId="0" shapeId="0" xr:uid="{00000000-0006-0000-0500-0000C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59" authorId="0" shapeId="0" xr:uid="{00000000-0006-0000-0500-0000C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59" authorId="0" shapeId="0" xr:uid="{00000000-0006-0000-0500-0000C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59" authorId="0" shapeId="0" xr:uid="{00000000-0006-0000-0500-0000D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59" authorId="0" shapeId="0" xr:uid="{00000000-0006-0000-0500-0000D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59" authorId="0" shapeId="0" xr:uid="{00000000-0006-0000-0500-0000D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59" authorId="0" shapeId="0" xr:uid="{00000000-0006-0000-0500-0000D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59" authorId="0" shapeId="0" xr:uid="{00000000-0006-0000-0500-0000D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59" authorId="0" shapeId="0" xr:uid="{00000000-0006-0000-0500-0000D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59" authorId="0" shapeId="0" xr:uid="{00000000-0006-0000-0500-0000D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59" authorId="0" shapeId="0" xr:uid="{00000000-0006-0000-0500-0000D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59" authorId="0" shapeId="0" xr:uid="{00000000-0006-0000-0500-0000D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59" authorId="0" shapeId="0" xr:uid="{00000000-0006-0000-0500-0000D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59" authorId="0" shapeId="0" xr:uid="{00000000-0006-0000-0500-0000D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59" authorId="0" shapeId="0" xr:uid="{00000000-0006-0000-0500-0000D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59" authorId="0" shapeId="0" xr:uid="{00000000-0006-0000-0500-0000D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59" authorId="0" shapeId="0" xr:uid="{00000000-0006-0000-0500-0000D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59" authorId="0" shapeId="0" xr:uid="{00000000-0006-0000-0500-0000D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0" authorId="0" shapeId="0" xr:uid="{00000000-0006-0000-0500-0000D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0" authorId="0" shapeId="0" xr:uid="{00000000-0006-0000-0500-0000E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0" authorId="0" shapeId="0" xr:uid="{00000000-0006-0000-0500-0000E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0" authorId="0" shapeId="0" xr:uid="{00000000-0006-0000-0500-0000E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0" authorId="0" shapeId="0" xr:uid="{00000000-0006-0000-0500-0000E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0" authorId="0" shapeId="0" xr:uid="{00000000-0006-0000-0500-0000E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0" authorId="0" shapeId="0" xr:uid="{00000000-0006-0000-0500-0000E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0" authorId="0" shapeId="0" xr:uid="{00000000-0006-0000-0500-0000E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0" authorId="0" shapeId="0" xr:uid="{00000000-0006-0000-0500-0000E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0" authorId="0" shapeId="0" xr:uid="{00000000-0006-0000-0500-0000E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0" authorId="0" shapeId="0" xr:uid="{00000000-0006-0000-0500-0000E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0" authorId="0" shapeId="0" xr:uid="{00000000-0006-0000-0500-0000E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0" authorId="0" shapeId="0" xr:uid="{00000000-0006-0000-0500-0000E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0" authorId="0" shapeId="0" xr:uid="{00000000-0006-0000-0500-0000E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0" authorId="0" shapeId="0" xr:uid="{00000000-0006-0000-0500-0000E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0" authorId="0" shapeId="0" xr:uid="{00000000-0006-0000-0500-0000E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0" authorId="0" shapeId="0" xr:uid="{00000000-0006-0000-0500-0000E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1" authorId="0" shapeId="0" xr:uid="{00000000-0006-0000-0500-0000F0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1" authorId="0" shapeId="0" xr:uid="{00000000-0006-0000-0500-0000F1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1" authorId="0" shapeId="0" xr:uid="{00000000-0006-0000-0500-0000F2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1" authorId="0" shapeId="0" xr:uid="{00000000-0006-0000-0500-0000F3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1" authorId="0" shapeId="0" xr:uid="{00000000-0006-0000-0500-0000F4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1" authorId="0" shapeId="0" xr:uid="{00000000-0006-0000-0500-0000F5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1" authorId="0" shapeId="0" xr:uid="{00000000-0006-0000-0500-0000F6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1" authorId="0" shapeId="0" xr:uid="{00000000-0006-0000-0500-0000F7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1" authorId="0" shapeId="0" xr:uid="{00000000-0006-0000-0500-0000F8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1" authorId="0" shapeId="0" xr:uid="{00000000-0006-0000-0500-0000F9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1" authorId="0" shapeId="0" xr:uid="{00000000-0006-0000-0500-0000FA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1" authorId="0" shapeId="0" xr:uid="{00000000-0006-0000-0500-0000FB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1" authorId="0" shapeId="0" xr:uid="{00000000-0006-0000-0500-0000FC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1" authorId="0" shapeId="0" xr:uid="{00000000-0006-0000-0500-0000FD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1" authorId="0" shapeId="0" xr:uid="{00000000-0006-0000-0500-0000FE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1" authorId="0" shapeId="0" xr:uid="{00000000-0006-0000-0500-0000FF07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1" authorId="0" shapeId="0" xr:uid="{00000000-0006-0000-0500-00000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2" authorId="0" shapeId="0" xr:uid="{00000000-0006-0000-0500-00000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2" authorId="0" shapeId="0" xr:uid="{00000000-0006-0000-0500-00000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2" authorId="0" shapeId="0" xr:uid="{00000000-0006-0000-0500-00000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2" authorId="0" shapeId="0" xr:uid="{00000000-0006-0000-0500-00000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2" authorId="0" shapeId="0" xr:uid="{00000000-0006-0000-0500-00000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2" authorId="0" shapeId="0" xr:uid="{00000000-0006-0000-0500-00000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2" authorId="0" shapeId="0" xr:uid="{00000000-0006-0000-0500-00000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2" authorId="0" shapeId="0" xr:uid="{00000000-0006-0000-0500-00000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2" authorId="0" shapeId="0" xr:uid="{00000000-0006-0000-0500-00000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2" authorId="0" shapeId="0" xr:uid="{00000000-0006-0000-0500-00000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2" authorId="0" shapeId="0" xr:uid="{00000000-0006-0000-0500-00000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2" authorId="0" shapeId="0" xr:uid="{00000000-0006-0000-0500-00000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2" authorId="0" shapeId="0" xr:uid="{00000000-0006-0000-0500-00000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2" authorId="0" shapeId="0" xr:uid="{00000000-0006-0000-0500-00000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2" authorId="0" shapeId="0" xr:uid="{00000000-0006-0000-0500-00000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2" authorId="0" shapeId="0" xr:uid="{00000000-0006-0000-0500-00001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2" authorId="0" shapeId="0" xr:uid="{00000000-0006-0000-0500-00001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3" authorId="0" shapeId="0" xr:uid="{00000000-0006-0000-0500-00001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3" authorId="0" shapeId="0" xr:uid="{00000000-0006-0000-0500-00001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3" authorId="0" shapeId="0" xr:uid="{00000000-0006-0000-0500-00001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3" authorId="0" shapeId="0" xr:uid="{00000000-0006-0000-0500-00001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3" authorId="0" shapeId="0" xr:uid="{00000000-0006-0000-0500-00001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3" authorId="0" shapeId="0" xr:uid="{00000000-0006-0000-0500-00001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3" authorId="0" shapeId="0" xr:uid="{00000000-0006-0000-0500-00001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3" authorId="0" shapeId="0" xr:uid="{00000000-0006-0000-0500-00001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3" authorId="0" shapeId="0" xr:uid="{00000000-0006-0000-0500-00001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3" authorId="0" shapeId="0" xr:uid="{00000000-0006-0000-0500-00001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3" authorId="0" shapeId="0" xr:uid="{00000000-0006-0000-0500-00001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3" authorId="0" shapeId="0" xr:uid="{00000000-0006-0000-0500-00001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3" authorId="0" shapeId="0" xr:uid="{00000000-0006-0000-0500-00001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3" authorId="0" shapeId="0" xr:uid="{00000000-0006-0000-0500-00001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3" authorId="0" shapeId="0" xr:uid="{00000000-0006-0000-0500-00002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3" authorId="0" shapeId="0" xr:uid="{00000000-0006-0000-0500-00002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3" authorId="0" shapeId="0" xr:uid="{00000000-0006-0000-0500-00002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4" authorId="0" shapeId="0" xr:uid="{00000000-0006-0000-0500-00002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4" authorId="0" shapeId="0" xr:uid="{00000000-0006-0000-0500-00002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4" authorId="0" shapeId="0" xr:uid="{00000000-0006-0000-0500-00002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4" authorId="0" shapeId="0" xr:uid="{00000000-0006-0000-0500-00002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4" authorId="0" shapeId="0" xr:uid="{00000000-0006-0000-0500-00002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4" authorId="0" shapeId="0" xr:uid="{00000000-0006-0000-0500-00002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4" authorId="0" shapeId="0" xr:uid="{00000000-0006-0000-0500-00002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4" authorId="0" shapeId="0" xr:uid="{00000000-0006-0000-0500-00002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4" authorId="0" shapeId="0" xr:uid="{00000000-0006-0000-0500-00002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4" authorId="0" shapeId="0" xr:uid="{00000000-0006-0000-0500-00002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4" authorId="0" shapeId="0" xr:uid="{00000000-0006-0000-0500-00002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4" authorId="0" shapeId="0" xr:uid="{00000000-0006-0000-0500-00002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4" authorId="0" shapeId="0" xr:uid="{00000000-0006-0000-0500-00002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4" authorId="0" shapeId="0" xr:uid="{00000000-0006-0000-0500-00003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4" authorId="0" shapeId="0" xr:uid="{00000000-0006-0000-0500-00003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4" authorId="0" shapeId="0" xr:uid="{00000000-0006-0000-0500-00003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4" authorId="0" shapeId="0" xr:uid="{00000000-0006-0000-0500-00003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5" authorId="0" shapeId="0" xr:uid="{00000000-0006-0000-0500-00003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5" authorId="0" shapeId="0" xr:uid="{00000000-0006-0000-0500-00003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5" authorId="0" shapeId="0" xr:uid="{00000000-0006-0000-0500-00003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5" authorId="0" shapeId="0" xr:uid="{00000000-0006-0000-0500-00003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5" authorId="0" shapeId="0" xr:uid="{00000000-0006-0000-0500-00003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5" authorId="0" shapeId="0" xr:uid="{00000000-0006-0000-0500-00003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5" authorId="0" shapeId="0" xr:uid="{00000000-0006-0000-0500-00003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5" authorId="0" shapeId="0" xr:uid="{00000000-0006-0000-0500-00003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5" authorId="0" shapeId="0" xr:uid="{00000000-0006-0000-0500-00003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5" authorId="0" shapeId="0" xr:uid="{00000000-0006-0000-0500-00003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5" authorId="0" shapeId="0" xr:uid="{00000000-0006-0000-0500-00003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5" authorId="0" shapeId="0" xr:uid="{00000000-0006-0000-0500-00003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5" authorId="0" shapeId="0" xr:uid="{00000000-0006-0000-0500-00004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5" authorId="0" shapeId="0" xr:uid="{00000000-0006-0000-0500-00004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5" authorId="0" shapeId="0" xr:uid="{00000000-0006-0000-0500-00004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5" authorId="0" shapeId="0" xr:uid="{00000000-0006-0000-0500-00004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5" authorId="0" shapeId="0" xr:uid="{00000000-0006-0000-0500-00004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6" authorId="0" shapeId="0" xr:uid="{00000000-0006-0000-0500-00004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6" authorId="0" shapeId="0" xr:uid="{00000000-0006-0000-0500-00004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6" authorId="0" shapeId="0" xr:uid="{00000000-0006-0000-0500-00004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6" authorId="0" shapeId="0" xr:uid="{00000000-0006-0000-0500-00004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6" authorId="0" shapeId="0" xr:uid="{00000000-0006-0000-0500-00004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6" authorId="0" shapeId="0" xr:uid="{00000000-0006-0000-0500-00004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6" authorId="0" shapeId="0" xr:uid="{00000000-0006-0000-0500-00004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6" authorId="0" shapeId="0" xr:uid="{00000000-0006-0000-0500-00004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6" authorId="0" shapeId="0" xr:uid="{00000000-0006-0000-0500-00004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6" authorId="0" shapeId="0" xr:uid="{00000000-0006-0000-0500-00004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6" authorId="0" shapeId="0" xr:uid="{00000000-0006-0000-0500-00004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6" authorId="0" shapeId="0" xr:uid="{00000000-0006-0000-0500-00005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6" authorId="0" shapeId="0" xr:uid="{00000000-0006-0000-0500-00005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6" authorId="0" shapeId="0" xr:uid="{00000000-0006-0000-0500-00005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6" authorId="0" shapeId="0" xr:uid="{00000000-0006-0000-0500-00005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6" authorId="0" shapeId="0" xr:uid="{00000000-0006-0000-0500-00005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6" authorId="0" shapeId="0" xr:uid="{00000000-0006-0000-0500-00005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7" authorId="0" shapeId="0" xr:uid="{00000000-0006-0000-0500-00005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7" authorId="0" shapeId="0" xr:uid="{00000000-0006-0000-0500-00005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7" authorId="0" shapeId="0" xr:uid="{00000000-0006-0000-0500-00005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7" authorId="0" shapeId="0" xr:uid="{00000000-0006-0000-0500-00005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7" authorId="0" shapeId="0" xr:uid="{00000000-0006-0000-0500-00005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7" authorId="0" shapeId="0" xr:uid="{00000000-0006-0000-0500-00005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7" authorId="0" shapeId="0" xr:uid="{00000000-0006-0000-0500-00005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7" authorId="0" shapeId="0" xr:uid="{00000000-0006-0000-0500-00005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7" authorId="0" shapeId="0" xr:uid="{00000000-0006-0000-0500-00005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7" authorId="0" shapeId="0" xr:uid="{00000000-0006-0000-0500-00005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7" authorId="0" shapeId="0" xr:uid="{00000000-0006-0000-0500-00006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7" authorId="0" shapeId="0" xr:uid="{00000000-0006-0000-0500-00006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7" authorId="0" shapeId="0" xr:uid="{00000000-0006-0000-0500-00006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7" authorId="0" shapeId="0" xr:uid="{00000000-0006-0000-0500-00006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7" authorId="0" shapeId="0" xr:uid="{00000000-0006-0000-0500-00006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7" authorId="0" shapeId="0" xr:uid="{00000000-0006-0000-0500-00006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7" authorId="0" shapeId="0" xr:uid="{00000000-0006-0000-0500-00006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8" authorId="0" shapeId="0" xr:uid="{00000000-0006-0000-0500-00006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8" authorId="0" shapeId="0" xr:uid="{00000000-0006-0000-0500-00006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8" authorId="0" shapeId="0" xr:uid="{00000000-0006-0000-0500-00006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8" authorId="0" shapeId="0" xr:uid="{00000000-0006-0000-0500-00006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8" authorId="0" shapeId="0" xr:uid="{00000000-0006-0000-0500-00006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8" authorId="0" shapeId="0" xr:uid="{00000000-0006-0000-0500-00006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8" authorId="0" shapeId="0" xr:uid="{00000000-0006-0000-0500-00006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8" authorId="0" shapeId="0" xr:uid="{00000000-0006-0000-0500-00006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8" authorId="0" shapeId="0" xr:uid="{00000000-0006-0000-0500-00006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8" authorId="0" shapeId="0" xr:uid="{00000000-0006-0000-0500-00007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8" authorId="0" shapeId="0" xr:uid="{00000000-0006-0000-0500-00007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8" authorId="0" shapeId="0" xr:uid="{00000000-0006-0000-0500-00007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8" authorId="0" shapeId="0" xr:uid="{00000000-0006-0000-0500-00007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8" authorId="0" shapeId="0" xr:uid="{00000000-0006-0000-0500-00007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8" authorId="0" shapeId="0" xr:uid="{00000000-0006-0000-0500-00007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8" authorId="0" shapeId="0" xr:uid="{00000000-0006-0000-0500-00007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8" authorId="0" shapeId="0" xr:uid="{00000000-0006-0000-0500-00007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69" authorId="0" shapeId="0" xr:uid="{00000000-0006-0000-0500-00007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69" authorId="0" shapeId="0" xr:uid="{00000000-0006-0000-0500-00007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69" authorId="0" shapeId="0" xr:uid="{00000000-0006-0000-0500-00007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69" authorId="0" shapeId="0" xr:uid="{00000000-0006-0000-0500-00007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69" authorId="0" shapeId="0" xr:uid="{00000000-0006-0000-0500-00007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69" authorId="0" shapeId="0" xr:uid="{00000000-0006-0000-0500-00007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69" authorId="0" shapeId="0" xr:uid="{00000000-0006-0000-0500-00007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69" authorId="0" shapeId="0" xr:uid="{00000000-0006-0000-0500-00007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69" authorId="0" shapeId="0" xr:uid="{00000000-0006-0000-0500-00008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69" authorId="0" shapeId="0" xr:uid="{00000000-0006-0000-0500-00008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69" authorId="0" shapeId="0" xr:uid="{00000000-0006-0000-0500-00008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69" authorId="0" shapeId="0" xr:uid="{00000000-0006-0000-0500-00008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69" authorId="0" shapeId="0" xr:uid="{00000000-0006-0000-0500-00008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69" authorId="0" shapeId="0" xr:uid="{00000000-0006-0000-0500-00008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69" authorId="0" shapeId="0" xr:uid="{00000000-0006-0000-0500-00008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69" authorId="0" shapeId="0" xr:uid="{00000000-0006-0000-0500-00008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69" authorId="0" shapeId="0" xr:uid="{00000000-0006-0000-0500-00008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0" authorId="0" shapeId="0" xr:uid="{00000000-0006-0000-0500-00008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0" authorId="0" shapeId="0" xr:uid="{00000000-0006-0000-0500-00008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0" authorId="0" shapeId="0" xr:uid="{00000000-0006-0000-0500-00008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70" authorId="0" shapeId="0" xr:uid="{00000000-0006-0000-0500-00008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0" authorId="0" shapeId="0" xr:uid="{00000000-0006-0000-0500-00008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0" authorId="0" shapeId="0" xr:uid="{00000000-0006-0000-0500-00008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0" authorId="0" shapeId="0" xr:uid="{00000000-0006-0000-0500-00008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0" authorId="0" shapeId="0" xr:uid="{00000000-0006-0000-0500-00009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0" authorId="0" shapeId="0" xr:uid="{00000000-0006-0000-0500-00009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0" authorId="0" shapeId="0" xr:uid="{00000000-0006-0000-0500-00009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0" authorId="0" shapeId="0" xr:uid="{00000000-0006-0000-0500-00009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0" authorId="0" shapeId="0" xr:uid="{00000000-0006-0000-0500-00009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0" authorId="0" shapeId="0" xr:uid="{00000000-0006-0000-0500-00009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0" authorId="0" shapeId="0" xr:uid="{00000000-0006-0000-0500-00009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0" authorId="0" shapeId="0" xr:uid="{00000000-0006-0000-0500-00009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0" authorId="0" shapeId="0" xr:uid="{00000000-0006-0000-0500-00009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0" authorId="0" shapeId="0" xr:uid="{00000000-0006-0000-0500-00009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1" authorId="0" shapeId="0" xr:uid="{00000000-0006-0000-0500-00009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1" authorId="0" shapeId="0" xr:uid="{00000000-0006-0000-0500-00009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1" authorId="0" shapeId="0" xr:uid="{00000000-0006-0000-0500-00009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71" authorId="0" shapeId="0" xr:uid="{00000000-0006-0000-0500-00009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1" authorId="0" shapeId="0" xr:uid="{00000000-0006-0000-0500-00009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1" authorId="0" shapeId="0" xr:uid="{00000000-0006-0000-0500-00009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1" authorId="0" shapeId="0" xr:uid="{00000000-0006-0000-0500-0000A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1" authorId="0" shapeId="0" xr:uid="{00000000-0006-0000-0500-0000A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1" authorId="0" shapeId="0" xr:uid="{00000000-0006-0000-0500-0000A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1" authorId="0" shapeId="0" xr:uid="{00000000-0006-0000-0500-0000A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1" authorId="0" shapeId="0" xr:uid="{00000000-0006-0000-0500-0000A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1" authorId="0" shapeId="0" xr:uid="{00000000-0006-0000-0500-0000A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1" authorId="0" shapeId="0" xr:uid="{00000000-0006-0000-0500-0000A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1" authorId="0" shapeId="0" xr:uid="{00000000-0006-0000-0500-0000A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1" authorId="0" shapeId="0" xr:uid="{00000000-0006-0000-0500-0000A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1" authorId="0" shapeId="0" xr:uid="{00000000-0006-0000-0500-0000A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1" authorId="0" shapeId="0" xr:uid="{00000000-0006-0000-0500-0000A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2" authorId="0" shapeId="0" xr:uid="{00000000-0006-0000-0500-0000A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2" authorId="0" shapeId="0" xr:uid="{00000000-0006-0000-0500-0000A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2" authorId="0" shapeId="0" xr:uid="{00000000-0006-0000-0500-0000A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72" authorId="0" shapeId="0" xr:uid="{00000000-0006-0000-0500-0000A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2" authorId="0" shapeId="0" xr:uid="{00000000-0006-0000-0500-0000A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2" authorId="0" shapeId="0" xr:uid="{00000000-0006-0000-0500-0000B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2" authorId="0" shapeId="0" xr:uid="{00000000-0006-0000-0500-0000B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2" authorId="0" shapeId="0" xr:uid="{00000000-0006-0000-0500-0000B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2" authorId="0" shapeId="0" xr:uid="{00000000-0006-0000-0500-0000B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2" authorId="0" shapeId="0" xr:uid="{00000000-0006-0000-0500-0000B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2" authorId="0" shapeId="0" xr:uid="{00000000-0006-0000-0500-0000B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2" authorId="0" shapeId="0" xr:uid="{00000000-0006-0000-0500-0000B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2" authorId="0" shapeId="0" xr:uid="{00000000-0006-0000-0500-0000B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2" authorId="0" shapeId="0" xr:uid="{00000000-0006-0000-0500-0000B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2" authorId="0" shapeId="0" xr:uid="{00000000-0006-0000-0500-0000B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2" authorId="0" shapeId="0" xr:uid="{00000000-0006-0000-0500-0000B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2" authorId="0" shapeId="0" xr:uid="{00000000-0006-0000-0500-0000B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3" authorId="0" shapeId="0" xr:uid="{00000000-0006-0000-0500-0000B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3" authorId="0" shapeId="0" xr:uid="{00000000-0006-0000-0500-0000B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3" authorId="0" shapeId="0" xr:uid="{00000000-0006-0000-0500-0000B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M173" authorId="0" shapeId="0" xr:uid="{00000000-0006-0000-0500-0000B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3" authorId="0" shapeId="0" xr:uid="{00000000-0006-0000-0500-0000C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3" authorId="0" shapeId="0" xr:uid="{00000000-0006-0000-0500-0000C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3" authorId="0" shapeId="0" xr:uid="{00000000-0006-0000-0500-0000C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3" authorId="0" shapeId="0" xr:uid="{00000000-0006-0000-0500-0000C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3" authorId="0" shapeId="0" xr:uid="{00000000-0006-0000-0500-0000C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3" authorId="0" shapeId="0" xr:uid="{00000000-0006-0000-0500-0000C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3" authorId="0" shapeId="0" xr:uid="{00000000-0006-0000-0500-0000C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3" authorId="0" shapeId="0" xr:uid="{00000000-0006-0000-0500-0000C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3" authorId="0" shapeId="0" xr:uid="{00000000-0006-0000-0500-0000C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3" authorId="0" shapeId="0" xr:uid="{00000000-0006-0000-0500-0000C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3" authorId="0" shapeId="0" xr:uid="{00000000-0006-0000-0500-0000C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3" authorId="0" shapeId="0" xr:uid="{00000000-0006-0000-0500-0000C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3" authorId="0" shapeId="0" xr:uid="{00000000-0006-0000-0500-0000C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4" authorId="0" shapeId="0" xr:uid="{00000000-0006-0000-0500-0000C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4" authorId="0" shapeId="0" xr:uid="{00000000-0006-0000-0500-0000C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4" authorId="0" shapeId="0" xr:uid="{00000000-0006-0000-0500-0000C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4" authorId="0" shapeId="0" xr:uid="{00000000-0006-0000-0500-0000D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4" authorId="0" shapeId="0" xr:uid="{00000000-0006-0000-0500-0000D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4" authorId="0" shapeId="0" xr:uid="{00000000-0006-0000-0500-0000D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4" authorId="0" shapeId="0" xr:uid="{00000000-0006-0000-0500-0000D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4" authorId="0" shapeId="0" xr:uid="{00000000-0006-0000-0500-0000D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4" authorId="0" shapeId="0" xr:uid="{00000000-0006-0000-0500-0000D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4" authorId="0" shapeId="0" xr:uid="{00000000-0006-0000-0500-0000D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4" authorId="0" shapeId="0" xr:uid="{00000000-0006-0000-0500-0000D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4" authorId="0" shapeId="0" xr:uid="{00000000-0006-0000-0500-0000D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4" authorId="0" shapeId="0" xr:uid="{00000000-0006-0000-0500-0000D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4" authorId="0" shapeId="0" xr:uid="{00000000-0006-0000-0500-0000D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4" authorId="0" shapeId="0" xr:uid="{00000000-0006-0000-0500-0000D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4" authorId="0" shapeId="0" xr:uid="{00000000-0006-0000-0500-0000D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5" authorId="0" shapeId="0" xr:uid="{00000000-0006-0000-0500-0000D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5" authorId="0" shapeId="0" xr:uid="{00000000-0006-0000-0500-0000D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5" authorId="0" shapeId="0" xr:uid="{00000000-0006-0000-0500-0000D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5" authorId="0" shapeId="0" xr:uid="{00000000-0006-0000-0500-0000E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5" authorId="0" shapeId="0" xr:uid="{00000000-0006-0000-0500-0000E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5" authorId="0" shapeId="0" xr:uid="{00000000-0006-0000-0500-0000E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5" authorId="0" shapeId="0" xr:uid="{00000000-0006-0000-0500-0000E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5" authorId="0" shapeId="0" xr:uid="{00000000-0006-0000-0500-0000E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5" authorId="0" shapeId="0" xr:uid="{00000000-0006-0000-0500-0000E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5" authorId="0" shapeId="0" xr:uid="{00000000-0006-0000-0500-0000E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5" authorId="0" shapeId="0" xr:uid="{00000000-0006-0000-0500-0000E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5" authorId="0" shapeId="0" xr:uid="{00000000-0006-0000-0500-0000E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5" authorId="0" shapeId="0" xr:uid="{00000000-0006-0000-0500-0000E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5" authorId="0" shapeId="0" xr:uid="{00000000-0006-0000-0500-0000E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5" authorId="0" shapeId="0" xr:uid="{00000000-0006-0000-0500-0000E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75" authorId="0" shapeId="0" xr:uid="{00000000-0006-0000-0500-0000E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5" authorId="0" shapeId="0" xr:uid="{00000000-0006-0000-0500-0000E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6" authorId="0" shapeId="0" xr:uid="{00000000-0006-0000-0500-0000E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6" authorId="0" shapeId="0" xr:uid="{00000000-0006-0000-0500-0000E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6" authorId="0" shapeId="0" xr:uid="{00000000-0006-0000-0500-0000F0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6" authorId="0" shapeId="0" xr:uid="{00000000-0006-0000-0500-0000F1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6" authorId="0" shapeId="0" xr:uid="{00000000-0006-0000-0500-0000F2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6" authorId="0" shapeId="0" xr:uid="{00000000-0006-0000-0500-0000F3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6" authorId="0" shapeId="0" xr:uid="{00000000-0006-0000-0500-0000F4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6" authorId="0" shapeId="0" xr:uid="{00000000-0006-0000-0500-0000F5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6" authorId="0" shapeId="0" xr:uid="{00000000-0006-0000-0500-0000F6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6" authorId="0" shapeId="0" xr:uid="{00000000-0006-0000-0500-0000F7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6" authorId="0" shapeId="0" xr:uid="{00000000-0006-0000-0500-0000F8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6" authorId="0" shapeId="0" xr:uid="{00000000-0006-0000-0500-0000F9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6" authorId="0" shapeId="0" xr:uid="{00000000-0006-0000-0500-0000FA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6" authorId="0" shapeId="0" xr:uid="{00000000-0006-0000-0500-0000FB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6" authorId="0" shapeId="0" xr:uid="{00000000-0006-0000-0500-0000FC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76" authorId="0" shapeId="0" xr:uid="{00000000-0006-0000-0500-0000FD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6" authorId="0" shapeId="0" xr:uid="{00000000-0006-0000-0500-0000FE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7" authorId="0" shapeId="0" xr:uid="{00000000-0006-0000-0500-0000FF08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7" authorId="0" shapeId="0" xr:uid="{00000000-0006-0000-0500-00000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7" authorId="0" shapeId="0" xr:uid="{00000000-0006-0000-0500-00000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O177" authorId="0" shapeId="0" xr:uid="{00000000-0006-0000-0500-00000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7" authorId="0" shapeId="0" xr:uid="{00000000-0006-0000-0500-00000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7" authorId="0" shapeId="0" xr:uid="{00000000-0006-0000-0500-00000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7" authorId="0" shapeId="0" xr:uid="{00000000-0006-0000-0500-00000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7" authorId="0" shapeId="0" xr:uid="{00000000-0006-0000-0500-00000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7" authorId="0" shapeId="0" xr:uid="{00000000-0006-0000-0500-00000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7" authorId="0" shapeId="0" xr:uid="{00000000-0006-0000-0500-00000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7" authorId="0" shapeId="0" xr:uid="{00000000-0006-0000-0500-00000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7" authorId="0" shapeId="0" xr:uid="{00000000-0006-0000-0500-00000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7" authorId="0" shapeId="0" xr:uid="{00000000-0006-0000-0500-00000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7" authorId="0" shapeId="0" xr:uid="{00000000-0006-0000-0500-00000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7" authorId="0" shapeId="0" xr:uid="{00000000-0006-0000-0500-00000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77" authorId="0" shapeId="0" xr:uid="{00000000-0006-0000-0500-00000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7" authorId="0" shapeId="0" xr:uid="{00000000-0006-0000-0500-00000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8" authorId="0" shapeId="0" xr:uid="{00000000-0006-0000-0500-00001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8" authorId="0" shapeId="0" xr:uid="{00000000-0006-0000-0500-00001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8" authorId="0" shapeId="0" xr:uid="{00000000-0006-0000-0500-00001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8" authorId="0" shapeId="0" xr:uid="{00000000-0006-0000-0500-00001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8" authorId="0" shapeId="0" xr:uid="{00000000-0006-0000-0500-00001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8" authorId="0" shapeId="0" xr:uid="{00000000-0006-0000-0500-00001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8" authorId="0" shapeId="0" xr:uid="{00000000-0006-0000-0500-00001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8" authorId="0" shapeId="0" xr:uid="{00000000-0006-0000-0500-00001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8" authorId="0" shapeId="0" xr:uid="{00000000-0006-0000-0500-00001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8" authorId="0" shapeId="0" xr:uid="{00000000-0006-0000-0500-00001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8" authorId="0" shapeId="0" xr:uid="{00000000-0006-0000-0500-00001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8" authorId="0" shapeId="0" xr:uid="{00000000-0006-0000-0500-00001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8" authorId="0" shapeId="0" xr:uid="{00000000-0006-0000-0500-00001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8" authorId="0" shapeId="0" xr:uid="{00000000-0006-0000-0500-00001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78" authorId="0" shapeId="0" xr:uid="{00000000-0006-0000-0500-00001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8" authorId="0" shapeId="0" xr:uid="{00000000-0006-0000-0500-00001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79" authorId="0" shapeId="0" xr:uid="{00000000-0006-0000-0500-00002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79" authorId="0" shapeId="0" xr:uid="{00000000-0006-0000-0500-00002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79" authorId="0" shapeId="0" xr:uid="{00000000-0006-0000-0500-00002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79" authorId="0" shapeId="0" xr:uid="{00000000-0006-0000-0500-00002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79" authorId="0" shapeId="0" xr:uid="{00000000-0006-0000-0500-00002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79" authorId="0" shapeId="0" xr:uid="{00000000-0006-0000-0500-00002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79" authorId="0" shapeId="0" xr:uid="{00000000-0006-0000-0500-00002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79" authorId="0" shapeId="0" xr:uid="{00000000-0006-0000-0500-00002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79" authorId="0" shapeId="0" xr:uid="{00000000-0006-0000-0500-00002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79" authorId="0" shapeId="0" xr:uid="{00000000-0006-0000-0500-00002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79" authorId="0" shapeId="0" xr:uid="{00000000-0006-0000-0500-00002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79" authorId="0" shapeId="0" xr:uid="{00000000-0006-0000-0500-00002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79" authorId="0" shapeId="0" xr:uid="{00000000-0006-0000-0500-00002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79" authorId="0" shapeId="0" xr:uid="{00000000-0006-0000-0500-00002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79" authorId="0" shapeId="0" xr:uid="{00000000-0006-0000-0500-00002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79" authorId="0" shapeId="0" xr:uid="{00000000-0006-0000-0500-00002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0" authorId="0" shapeId="0" xr:uid="{00000000-0006-0000-0500-00003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0" authorId="0" shapeId="0" xr:uid="{00000000-0006-0000-0500-00003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0" authorId="0" shapeId="0" xr:uid="{00000000-0006-0000-0500-00003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0" authorId="0" shapeId="0" xr:uid="{00000000-0006-0000-0500-00003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0" authorId="0" shapeId="0" xr:uid="{00000000-0006-0000-0500-00003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0" authorId="0" shapeId="0" xr:uid="{00000000-0006-0000-0500-00003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0" authorId="0" shapeId="0" xr:uid="{00000000-0006-0000-0500-00003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0" authorId="0" shapeId="0" xr:uid="{00000000-0006-0000-0500-00003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0" authorId="0" shapeId="0" xr:uid="{00000000-0006-0000-0500-00003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0" authorId="0" shapeId="0" xr:uid="{00000000-0006-0000-0500-00003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0" authorId="0" shapeId="0" xr:uid="{00000000-0006-0000-0500-00003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0" authorId="0" shapeId="0" xr:uid="{00000000-0006-0000-0500-00003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0" authorId="0" shapeId="0" xr:uid="{00000000-0006-0000-0500-00003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0" authorId="0" shapeId="0" xr:uid="{00000000-0006-0000-0500-00003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0" authorId="0" shapeId="0" xr:uid="{00000000-0006-0000-0500-00003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0" authorId="0" shapeId="0" xr:uid="{00000000-0006-0000-0500-00003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1" authorId="0" shapeId="0" xr:uid="{00000000-0006-0000-0500-00004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1" authorId="0" shapeId="0" xr:uid="{00000000-0006-0000-0500-00004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1" authorId="0" shapeId="0" xr:uid="{00000000-0006-0000-0500-00004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1" authorId="0" shapeId="0" xr:uid="{00000000-0006-0000-0500-00004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1" authorId="0" shapeId="0" xr:uid="{00000000-0006-0000-0500-00004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1" authorId="0" shapeId="0" xr:uid="{00000000-0006-0000-0500-00004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1" authorId="0" shapeId="0" xr:uid="{00000000-0006-0000-0500-00004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1" authorId="0" shapeId="0" xr:uid="{00000000-0006-0000-0500-00004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1" authorId="0" shapeId="0" xr:uid="{00000000-0006-0000-0500-00004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1" authorId="0" shapeId="0" xr:uid="{00000000-0006-0000-0500-00004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1" authorId="0" shapeId="0" xr:uid="{00000000-0006-0000-0500-00004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1" authorId="0" shapeId="0" xr:uid="{00000000-0006-0000-0500-00004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1" authorId="0" shapeId="0" xr:uid="{00000000-0006-0000-0500-00004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1" authorId="0" shapeId="0" xr:uid="{00000000-0006-0000-0500-00004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1" authorId="0" shapeId="0" xr:uid="{00000000-0006-0000-0500-00004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1" authorId="0" shapeId="0" xr:uid="{00000000-0006-0000-0500-00004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2" authorId="0" shapeId="0" xr:uid="{00000000-0006-0000-0500-00005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2" authorId="0" shapeId="0" xr:uid="{00000000-0006-0000-0500-00005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2" authorId="0" shapeId="0" xr:uid="{00000000-0006-0000-0500-00005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2" authorId="0" shapeId="0" xr:uid="{00000000-0006-0000-0500-00005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2" authorId="0" shapeId="0" xr:uid="{00000000-0006-0000-0500-00005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2" authorId="0" shapeId="0" xr:uid="{00000000-0006-0000-0500-00005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2" authorId="0" shapeId="0" xr:uid="{00000000-0006-0000-0500-00005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2" authorId="0" shapeId="0" xr:uid="{00000000-0006-0000-0500-00005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2" authorId="0" shapeId="0" xr:uid="{00000000-0006-0000-0500-00005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2" authorId="0" shapeId="0" xr:uid="{00000000-0006-0000-0500-00005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2" authorId="0" shapeId="0" xr:uid="{00000000-0006-0000-0500-00005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2" authorId="0" shapeId="0" xr:uid="{00000000-0006-0000-0500-00005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2" authorId="0" shapeId="0" xr:uid="{00000000-0006-0000-0500-00005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2" authorId="0" shapeId="0" xr:uid="{00000000-0006-0000-0500-00005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2" authorId="0" shapeId="0" xr:uid="{00000000-0006-0000-0500-00005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2" authorId="0" shapeId="0" xr:uid="{00000000-0006-0000-0500-00005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3" authorId="0" shapeId="0" xr:uid="{00000000-0006-0000-0500-00006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3" authorId="0" shapeId="0" xr:uid="{00000000-0006-0000-0500-00006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3" authorId="0" shapeId="0" xr:uid="{00000000-0006-0000-0500-00006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3" authorId="0" shapeId="0" xr:uid="{00000000-0006-0000-0500-00006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3" authorId="0" shapeId="0" xr:uid="{00000000-0006-0000-0500-00006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3" authorId="0" shapeId="0" xr:uid="{00000000-0006-0000-0500-00006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3" authorId="0" shapeId="0" xr:uid="{00000000-0006-0000-0500-00006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3" authorId="0" shapeId="0" xr:uid="{00000000-0006-0000-0500-00006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3" authorId="0" shapeId="0" xr:uid="{00000000-0006-0000-0500-00006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3" authorId="0" shapeId="0" xr:uid="{00000000-0006-0000-0500-00006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3" authorId="0" shapeId="0" xr:uid="{00000000-0006-0000-0500-00006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3" authorId="0" shapeId="0" xr:uid="{00000000-0006-0000-0500-00006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3" authorId="0" shapeId="0" xr:uid="{00000000-0006-0000-0500-00006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3" authorId="0" shapeId="0" xr:uid="{00000000-0006-0000-0500-00006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3" authorId="0" shapeId="0" xr:uid="{00000000-0006-0000-0500-00006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3" authorId="0" shapeId="0" xr:uid="{00000000-0006-0000-0500-00006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4" authorId="0" shapeId="0" xr:uid="{00000000-0006-0000-0500-00007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4" authorId="0" shapeId="0" xr:uid="{00000000-0006-0000-0500-00007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4" authorId="0" shapeId="0" xr:uid="{00000000-0006-0000-0500-00007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4" authorId="0" shapeId="0" xr:uid="{00000000-0006-0000-0500-00007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4" authorId="0" shapeId="0" xr:uid="{00000000-0006-0000-0500-00007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4" authorId="0" shapeId="0" xr:uid="{00000000-0006-0000-0500-00007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4" authorId="0" shapeId="0" xr:uid="{00000000-0006-0000-0500-00007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4" authorId="0" shapeId="0" xr:uid="{00000000-0006-0000-0500-00007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4" authorId="0" shapeId="0" xr:uid="{00000000-0006-0000-0500-00007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4" authorId="0" shapeId="0" xr:uid="{00000000-0006-0000-0500-00007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4" authorId="0" shapeId="0" xr:uid="{00000000-0006-0000-0500-00007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4" authorId="0" shapeId="0" xr:uid="{00000000-0006-0000-0500-00007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4" authorId="0" shapeId="0" xr:uid="{00000000-0006-0000-0500-00007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4" authorId="0" shapeId="0" xr:uid="{00000000-0006-0000-0500-00007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4" authorId="0" shapeId="0" xr:uid="{00000000-0006-0000-0500-00007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4" authorId="0" shapeId="0" xr:uid="{00000000-0006-0000-0500-00007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5" authorId="0" shapeId="0" xr:uid="{00000000-0006-0000-0500-00008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5" authorId="0" shapeId="0" xr:uid="{00000000-0006-0000-0500-00008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5" authorId="0" shapeId="0" xr:uid="{00000000-0006-0000-0500-00008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5" authorId="0" shapeId="0" xr:uid="{00000000-0006-0000-0500-00008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5" authorId="0" shapeId="0" xr:uid="{00000000-0006-0000-0500-00008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5" authorId="0" shapeId="0" xr:uid="{00000000-0006-0000-0500-00008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5" authorId="0" shapeId="0" xr:uid="{00000000-0006-0000-0500-00008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5" authorId="0" shapeId="0" xr:uid="{00000000-0006-0000-0500-00008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5" authorId="0" shapeId="0" xr:uid="{00000000-0006-0000-0500-00008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A185" authorId="0" shapeId="0" xr:uid="{00000000-0006-0000-0500-00008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5" authorId="0" shapeId="0" xr:uid="{00000000-0006-0000-0500-00008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5" authorId="0" shapeId="0" xr:uid="{00000000-0006-0000-0500-00008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5" authorId="0" shapeId="0" xr:uid="{00000000-0006-0000-0500-00008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J185" authorId="0" shapeId="0" xr:uid="{00000000-0006-0000-0500-00008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5" authorId="0" shapeId="0" xr:uid="{00000000-0006-0000-0500-00008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5" authorId="0" shapeId="0" xr:uid="{00000000-0006-0000-0500-00008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6" authorId="0" shapeId="0" xr:uid="{00000000-0006-0000-0500-00009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6" authorId="0" shapeId="0" xr:uid="{00000000-0006-0000-0500-00009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6" authorId="0" shapeId="0" xr:uid="{00000000-0006-0000-0500-00009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6" authorId="0" shapeId="0" xr:uid="{00000000-0006-0000-0500-00009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6" authorId="0" shapeId="0" xr:uid="{00000000-0006-0000-0500-00009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6" authorId="0" shapeId="0" xr:uid="{00000000-0006-0000-0500-00009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6" authorId="0" shapeId="0" xr:uid="{00000000-0006-0000-0500-00009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6" authorId="0" shapeId="0" xr:uid="{00000000-0006-0000-0500-00009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6" authorId="0" shapeId="0" xr:uid="{00000000-0006-0000-0500-00009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6" authorId="0" shapeId="0" xr:uid="{00000000-0006-0000-0500-00009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6" authorId="0" shapeId="0" xr:uid="{00000000-0006-0000-0500-00009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6" authorId="0" shapeId="0" xr:uid="{00000000-0006-0000-0500-00009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6" authorId="0" shapeId="0" xr:uid="{00000000-0006-0000-0500-00009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6" authorId="0" shapeId="0" xr:uid="{00000000-0006-0000-0500-00009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7" authorId="0" shapeId="0" xr:uid="{00000000-0006-0000-0500-00009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7" authorId="0" shapeId="0" xr:uid="{00000000-0006-0000-0500-00009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7" authorId="0" shapeId="0" xr:uid="{00000000-0006-0000-0500-0000A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7" authorId="0" shapeId="0" xr:uid="{00000000-0006-0000-0500-0000A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7" authorId="0" shapeId="0" xr:uid="{00000000-0006-0000-0500-0000A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7" authorId="0" shapeId="0" xr:uid="{00000000-0006-0000-0500-0000A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7" authorId="0" shapeId="0" xr:uid="{00000000-0006-0000-0500-0000A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7" authorId="0" shapeId="0" xr:uid="{00000000-0006-0000-0500-0000A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7" authorId="0" shapeId="0" xr:uid="{00000000-0006-0000-0500-0000A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7" authorId="0" shapeId="0" xr:uid="{00000000-0006-0000-0500-0000A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7" authorId="0" shapeId="0" xr:uid="{00000000-0006-0000-0500-0000A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87" authorId="0" shapeId="0" xr:uid="{00000000-0006-0000-0500-0000A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7" authorId="0" shapeId="0" xr:uid="{00000000-0006-0000-0500-0000A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7" authorId="0" shapeId="0" xr:uid="{00000000-0006-0000-0500-0000A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7" authorId="0" shapeId="0" xr:uid="{00000000-0006-0000-0500-0000A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8" authorId="0" shapeId="0" xr:uid="{00000000-0006-0000-0500-0000A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8" authorId="0" shapeId="0" xr:uid="{00000000-0006-0000-0500-0000A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8" authorId="0" shapeId="0" xr:uid="{00000000-0006-0000-0500-0000A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8" authorId="0" shapeId="0" xr:uid="{00000000-0006-0000-0500-0000B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8" authorId="0" shapeId="0" xr:uid="{00000000-0006-0000-0500-0000B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8" authorId="0" shapeId="0" xr:uid="{00000000-0006-0000-0500-0000B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8" authorId="0" shapeId="0" xr:uid="{00000000-0006-0000-0500-0000B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8" authorId="0" shapeId="0" xr:uid="{00000000-0006-0000-0500-0000B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8" authorId="0" shapeId="0" xr:uid="{00000000-0006-0000-0500-0000B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8" authorId="0" shapeId="0" xr:uid="{00000000-0006-0000-0500-0000B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8" authorId="0" shapeId="0" xr:uid="{00000000-0006-0000-0500-0000B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88" authorId="0" shapeId="0" xr:uid="{00000000-0006-0000-0500-0000B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8" authorId="0" shapeId="0" xr:uid="{00000000-0006-0000-0500-0000B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8" authorId="0" shapeId="0" xr:uid="{00000000-0006-0000-0500-0000B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8" authorId="0" shapeId="0" xr:uid="{00000000-0006-0000-0500-0000B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89" authorId="0" shapeId="0" xr:uid="{00000000-0006-0000-0500-0000B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89" authorId="0" shapeId="0" xr:uid="{00000000-0006-0000-0500-0000B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89" authorId="0" shapeId="0" xr:uid="{00000000-0006-0000-0500-0000B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89" authorId="0" shapeId="0" xr:uid="{00000000-0006-0000-0500-0000B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89" authorId="0" shapeId="0" xr:uid="{00000000-0006-0000-0500-0000C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89" authorId="0" shapeId="0" xr:uid="{00000000-0006-0000-0500-0000C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89" authorId="0" shapeId="0" xr:uid="{00000000-0006-0000-0500-0000C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V189" authorId="0" shapeId="0" xr:uid="{00000000-0006-0000-0500-0000C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89" authorId="0" shapeId="0" xr:uid="{00000000-0006-0000-0500-0000C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89" authorId="0" shapeId="0" xr:uid="{00000000-0006-0000-0500-0000C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89" authorId="0" shapeId="0" xr:uid="{00000000-0006-0000-0500-0000C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89" authorId="0" shapeId="0" xr:uid="{00000000-0006-0000-0500-0000C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89" authorId="0" shapeId="0" xr:uid="{00000000-0006-0000-0500-0000C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89" authorId="0" shapeId="0" xr:uid="{00000000-0006-0000-0500-0000C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89" authorId="0" shapeId="0" xr:uid="{00000000-0006-0000-0500-0000C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0" authorId="0" shapeId="0" xr:uid="{00000000-0006-0000-0500-0000C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90" authorId="0" shapeId="0" xr:uid="{00000000-0006-0000-0500-0000C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90" authorId="0" shapeId="0" xr:uid="{00000000-0006-0000-0500-0000C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90" authorId="0" shapeId="0" xr:uid="{00000000-0006-0000-0500-0000C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90" authorId="0" shapeId="0" xr:uid="{00000000-0006-0000-0500-0000C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90" authorId="0" shapeId="0" xr:uid="{00000000-0006-0000-0500-0000D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0" authorId="0" shapeId="0" xr:uid="{00000000-0006-0000-0500-0000D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90" authorId="0" shapeId="0" xr:uid="{00000000-0006-0000-0500-0000D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0" authorId="0" shapeId="0" xr:uid="{00000000-0006-0000-0500-0000D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90" authorId="0" shapeId="0" xr:uid="{00000000-0006-0000-0500-0000D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90" authorId="0" shapeId="0" xr:uid="{00000000-0006-0000-0500-0000D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90" authorId="0" shapeId="0" xr:uid="{00000000-0006-0000-0500-0000D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0" authorId="0" shapeId="0" xr:uid="{00000000-0006-0000-0500-0000D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0" authorId="0" shapeId="0" xr:uid="{00000000-0006-0000-0500-0000D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1" authorId="0" shapeId="0" xr:uid="{00000000-0006-0000-0500-0000D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91" authorId="0" shapeId="0" xr:uid="{00000000-0006-0000-0500-0000D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1" authorId="0" shapeId="0" xr:uid="{00000000-0006-0000-0500-0000D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91" authorId="0" shapeId="0" xr:uid="{00000000-0006-0000-0500-0000D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91" authorId="0" shapeId="0" xr:uid="{00000000-0006-0000-0500-0000D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91" authorId="0" shapeId="0" xr:uid="{00000000-0006-0000-0500-0000D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91" authorId="0" shapeId="0" xr:uid="{00000000-0006-0000-0500-0000D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1" authorId="0" shapeId="0" xr:uid="{00000000-0006-0000-0500-0000E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91" authorId="0" shapeId="0" xr:uid="{00000000-0006-0000-0500-0000E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1" authorId="0" shapeId="0" xr:uid="{00000000-0006-0000-0500-0000E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91" authorId="0" shapeId="0" xr:uid="{00000000-0006-0000-0500-0000E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91" authorId="0" shapeId="0" xr:uid="{00000000-0006-0000-0500-0000E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91" authorId="0" shapeId="0" xr:uid="{00000000-0006-0000-0500-0000E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1" authorId="0" shapeId="0" xr:uid="{00000000-0006-0000-0500-0000E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1" authorId="0" shapeId="0" xr:uid="{00000000-0006-0000-0500-0000E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2" authorId="0" shapeId="0" xr:uid="{00000000-0006-0000-0500-0000E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92" authorId="0" shapeId="0" xr:uid="{00000000-0006-0000-0500-0000E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2" authorId="0" shapeId="0" xr:uid="{00000000-0006-0000-0500-0000E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92" authorId="0" shapeId="0" xr:uid="{00000000-0006-0000-0500-0000E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92" authorId="0" shapeId="0" xr:uid="{00000000-0006-0000-0500-0000E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92" authorId="0" shapeId="0" xr:uid="{00000000-0006-0000-0500-0000E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92" authorId="0" shapeId="0" xr:uid="{00000000-0006-0000-0500-0000E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2" authorId="0" shapeId="0" xr:uid="{00000000-0006-0000-0500-0000E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92" authorId="0" shapeId="0" xr:uid="{00000000-0006-0000-0500-0000F0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2" authorId="0" shapeId="0" xr:uid="{00000000-0006-0000-0500-0000F1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92" authorId="0" shapeId="0" xr:uid="{00000000-0006-0000-0500-0000F2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92" authorId="0" shapeId="0" xr:uid="{00000000-0006-0000-0500-0000F3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92" authorId="0" shapeId="0" xr:uid="{00000000-0006-0000-0500-0000F4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2" authorId="0" shapeId="0" xr:uid="{00000000-0006-0000-0500-0000F5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2" authorId="0" shapeId="0" xr:uid="{00000000-0006-0000-0500-0000F6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3" authorId="0" shapeId="0" xr:uid="{00000000-0006-0000-0500-0000F7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F193" authorId="0" shapeId="0" xr:uid="{00000000-0006-0000-0500-0000F8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3" authorId="0" shapeId="0" xr:uid="{00000000-0006-0000-0500-0000F9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K193" authorId="0" shapeId="0" xr:uid="{00000000-0006-0000-0500-0000FA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193" authorId="0" shapeId="0" xr:uid="{00000000-0006-0000-0500-0000FB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R193" authorId="0" shapeId="0" xr:uid="{00000000-0006-0000-0500-0000FC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S193" authorId="0" shapeId="0" xr:uid="{00000000-0006-0000-0500-0000FD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3" authorId="0" shapeId="0" xr:uid="{00000000-0006-0000-0500-0000FE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Z193" authorId="0" shapeId="0" xr:uid="{00000000-0006-0000-0500-0000FF09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3" authorId="0" shapeId="0" xr:uid="{00000000-0006-0000-0500-00000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F193" authorId="0" shapeId="0" xr:uid="{00000000-0006-0000-0500-00000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G193" authorId="0" shapeId="0" xr:uid="{00000000-0006-0000-0500-00000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193" authorId="0" shapeId="0" xr:uid="{00000000-0006-0000-0500-00000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3" authorId="0" shapeId="0" xr:uid="{00000000-0006-0000-0500-00000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3" authorId="0" shapeId="0" xr:uid="{00000000-0006-0000-0500-00000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4" authorId="0" shapeId="0" xr:uid="{00000000-0006-0000-0500-00000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4" authorId="0" shapeId="0" xr:uid="{00000000-0006-0000-0500-00000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4" authorId="0" shapeId="0" xr:uid="{00000000-0006-0000-0500-00000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4" authorId="0" shapeId="0" xr:uid="{00000000-0006-0000-0500-00000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4" authorId="0" shapeId="0" xr:uid="{00000000-0006-0000-0500-00000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4" authorId="0" shapeId="0" xr:uid="{00000000-0006-0000-0500-00000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5" authorId="0" shapeId="0" xr:uid="{00000000-0006-0000-0500-00000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195" authorId="0" shapeId="0" xr:uid="{00000000-0006-0000-0500-00000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5" authorId="0" shapeId="0" xr:uid="{00000000-0006-0000-0500-00000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5" authorId="0" shapeId="0" xr:uid="{00000000-0006-0000-0500-00000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5" authorId="0" shapeId="0" xr:uid="{00000000-0006-0000-0500-00001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5" authorId="0" shapeId="0" xr:uid="{00000000-0006-0000-0500-00001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5" authorId="0" shapeId="0" xr:uid="{00000000-0006-0000-0500-00001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6" authorId="0" shapeId="0" xr:uid="{00000000-0006-0000-0500-00001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196" authorId="0" shapeId="0" xr:uid="{00000000-0006-0000-0500-00001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6" authorId="0" shapeId="0" xr:uid="{00000000-0006-0000-0500-00001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6" authorId="0" shapeId="0" xr:uid="{00000000-0006-0000-0500-00001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6" authorId="0" shapeId="0" xr:uid="{00000000-0006-0000-0500-00001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6" authorId="0" shapeId="0" xr:uid="{00000000-0006-0000-0500-00001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6" authorId="0" shapeId="0" xr:uid="{00000000-0006-0000-0500-00001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E197" authorId="0" shapeId="0" xr:uid="{00000000-0006-0000-0500-00001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197" authorId="0" shapeId="0" xr:uid="{00000000-0006-0000-0500-00001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J197" authorId="0" shapeId="0" xr:uid="{00000000-0006-0000-0500-00001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U197" authorId="0" shapeId="0" xr:uid="{00000000-0006-0000-0500-00001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B197" authorId="0" shapeId="0" xr:uid="{00000000-0006-0000-0500-00001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7" authorId="0" shapeId="0" xr:uid="{00000000-0006-0000-0500-00001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7" authorId="0" shapeId="0" xr:uid="{00000000-0006-0000-0500-00002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198" authorId="0" shapeId="0" xr:uid="{00000000-0006-0000-0500-00002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8" authorId="0" shapeId="0" xr:uid="{00000000-0006-0000-0500-00002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8" authorId="0" shapeId="0" xr:uid="{00000000-0006-0000-0500-00002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199" authorId="0" shapeId="0" xr:uid="{00000000-0006-0000-0500-00002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199" authorId="0" shapeId="0" xr:uid="{00000000-0006-0000-0500-00002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199" authorId="0" shapeId="0" xr:uid="{00000000-0006-0000-0500-00002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0" authorId="0" shapeId="0" xr:uid="{00000000-0006-0000-0500-00002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0" authorId="0" shapeId="0" xr:uid="{00000000-0006-0000-0500-00002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0" authorId="0" shapeId="0" xr:uid="{00000000-0006-0000-0500-00002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1" authorId="0" shapeId="0" xr:uid="{00000000-0006-0000-0500-00002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1" authorId="0" shapeId="0" xr:uid="{00000000-0006-0000-0500-00002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1" authorId="0" shapeId="0" xr:uid="{00000000-0006-0000-0500-00002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2" authorId="0" shapeId="0" xr:uid="{00000000-0006-0000-0500-00002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2" authorId="0" shapeId="0" xr:uid="{00000000-0006-0000-0500-00002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2" authorId="0" shapeId="0" xr:uid="{00000000-0006-0000-0500-00002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3" authorId="0" shapeId="0" xr:uid="{00000000-0006-0000-0500-00003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3" authorId="0" shapeId="0" xr:uid="{00000000-0006-0000-0500-00003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3" authorId="0" shapeId="0" xr:uid="{00000000-0006-0000-0500-00003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4" authorId="0" shapeId="0" xr:uid="{00000000-0006-0000-0500-00003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4" authorId="0" shapeId="0" xr:uid="{00000000-0006-0000-0500-00003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4" authorId="0" shapeId="0" xr:uid="{00000000-0006-0000-0500-00003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5" authorId="0" shapeId="0" xr:uid="{00000000-0006-0000-0500-00003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5" authorId="0" shapeId="0" xr:uid="{00000000-0006-0000-0500-00003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5" authorId="0" shapeId="0" xr:uid="{00000000-0006-0000-0500-00003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6" authorId="0" shapeId="0" xr:uid="{00000000-0006-0000-0500-00003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6" authorId="0" shapeId="0" xr:uid="{00000000-0006-0000-0500-00003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6" authorId="0" shapeId="0" xr:uid="{00000000-0006-0000-0500-00003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7" authorId="0" shapeId="0" xr:uid="{00000000-0006-0000-0500-00003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7" authorId="0" shapeId="0" xr:uid="{00000000-0006-0000-0500-00003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7" authorId="0" shapeId="0" xr:uid="{00000000-0006-0000-0500-00003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8" authorId="0" shapeId="0" xr:uid="{00000000-0006-0000-0500-00003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8" authorId="0" shapeId="0" xr:uid="{00000000-0006-0000-0500-00004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8" authorId="0" shapeId="0" xr:uid="{00000000-0006-0000-0500-00004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09" authorId="0" shapeId="0" xr:uid="{00000000-0006-0000-0500-00004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09" authorId="0" shapeId="0" xr:uid="{00000000-0006-0000-0500-00004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09" authorId="0" shapeId="0" xr:uid="{00000000-0006-0000-0500-00004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0" authorId="0" shapeId="0" xr:uid="{00000000-0006-0000-0500-00004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0" authorId="0" shapeId="0" xr:uid="{00000000-0006-0000-0500-00004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0" authorId="0" shapeId="0" xr:uid="{00000000-0006-0000-0500-00004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1" authorId="0" shapeId="0" xr:uid="{00000000-0006-0000-0500-00004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1" authorId="0" shapeId="0" xr:uid="{00000000-0006-0000-0500-00004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1" authorId="0" shapeId="0" xr:uid="{00000000-0006-0000-0500-00004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2" authorId="0" shapeId="0" xr:uid="{00000000-0006-0000-0500-00004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2" authorId="0" shapeId="0" xr:uid="{00000000-0006-0000-0500-00004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2" authorId="0" shapeId="0" xr:uid="{00000000-0006-0000-0500-00004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3" authorId="0" shapeId="0" xr:uid="{00000000-0006-0000-0500-00004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3" authorId="0" shapeId="0" xr:uid="{00000000-0006-0000-0500-00004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3" authorId="0" shapeId="0" xr:uid="{00000000-0006-0000-0500-00005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4" authorId="0" shapeId="0" xr:uid="{00000000-0006-0000-0500-00005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X214" authorId="0" shapeId="0" xr:uid="{00000000-0006-0000-0500-0000520A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A214" authorId="0" shapeId="0" xr:uid="{00000000-0006-0000-0500-00005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4" authorId="0" shapeId="0" xr:uid="{00000000-0006-0000-0500-00005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5" authorId="0" shapeId="0" xr:uid="{00000000-0006-0000-0500-00005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5" authorId="0" shapeId="0" xr:uid="{00000000-0006-0000-0500-00005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5" authorId="0" shapeId="0" xr:uid="{00000000-0006-0000-0500-00005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6" authorId="0" shapeId="0" xr:uid="{00000000-0006-0000-0500-00005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6" authorId="0" shapeId="0" xr:uid="{00000000-0006-0000-0500-00005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6" authorId="0" shapeId="0" xr:uid="{00000000-0006-0000-0500-00005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7" authorId="0" shapeId="0" xr:uid="{00000000-0006-0000-0500-00005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7" authorId="0" shapeId="0" xr:uid="{00000000-0006-0000-0500-00005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7" authorId="0" shapeId="0" xr:uid="{00000000-0006-0000-0500-00005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8" authorId="0" shapeId="0" xr:uid="{00000000-0006-0000-0500-00005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8" authorId="0" shapeId="0" xr:uid="{00000000-0006-0000-0500-00005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8" authorId="0" shapeId="0" xr:uid="{00000000-0006-0000-0500-00006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19" authorId="0" shapeId="0" xr:uid="{00000000-0006-0000-0500-00006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19" authorId="0" shapeId="0" xr:uid="{00000000-0006-0000-0500-00006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19" authorId="0" shapeId="0" xr:uid="{00000000-0006-0000-0500-00006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0" authorId="0" shapeId="0" xr:uid="{00000000-0006-0000-0500-00006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0" authorId="0" shapeId="0" xr:uid="{00000000-0006-0000-0500-00006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0" authorId="0" shapeId="0" xr:uid="{00000000-0006-0000-0500-00006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1" authorId="0" shapeId="0" xr:uid="{00000000-0006-0000-0500-00006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1" authorId="0" shapeId="0" xr:uid="{00000000-0006-0000-0500-00006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1" authorId="0" shapeId="0" xr:uid="{00000000-0006-0000-0500-00006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2" authorId="0" shapeId="0" xr:uid="{00000000-0006-0000-0500-00006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2" authorId="0" shapeId="0" xr:uid="{00000000-0006-0000-0500-00006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2" authorId="0" shapeId="0" xr:uid="{00000000-0006-0000-0500-00006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3" authorId="0" shapeId="0" xr:uid="{00000000-0006-0000-0500-00006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3" authorId="0" shapeId="0" xr:uid="{00000000-0006-0000-0500-00006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3" authorId="0" shapeId="0" xr:uid="{00000000-0006-0000-0500-00006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4" authorId="0" shapeId="0" xr:uid="{00000000-0006-0000-0500-00007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4" authorId="0" shapeId="0" xr:uid="{00000000-0006-0000-0500-00007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4" authorId="0" shapeId="0" xr:uid="{00000000-0006-0000-0500-00007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H225" authorId="0" shapeId="0" xr:uid="{00000000-0006-0000-0500-00007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5" authorId="0" shapeId="0" xr:uid="{00000000-0006-0000-0500-00007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5" authorId="0" shapeId="0" xr:uid="{00000000-0006-0000-0500-00007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6" authorId="0" shapeId="0" xr:uid="{00000000-0006-0000-0500-00007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6" authorId="0" shapeId="0" xr:uid="{00000000-0006-0000-0500-00007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7" authorId="0" shapeId="0" xr:uid="{00000000-0006-0000-0500-00007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27" authorId="0" shapeId="0" xr:uid="{00000000-0006-0000-0500-00007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7" authorId="0" shapeId="0" xr:uid="{00000000-0006-0000-0500-00007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8" authorId="0" shapeId="0" xr:uid="{00000000-0006-0000-0500-00007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28" authorId="0" shapeId="0" xr:uid="{00000000-0006-0000-0500-00007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8" authorId="0" shapeId="0" xr:uid="{00000000-0006-0000-0500-00007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29" authorId="0" shapeId="0" xr:uid="{00000000-0006-0000-0500-00007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29" authorId="0" shapeId="0" xr:uid="{00000000-0006-0000-0500-00007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29" authorId="0" shapeId="0" xr:uid="{00000000-0006-0000-0500-00008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0" authorId="0" shapeId="0" xr:uid="{00000000-0006-0000-0500-00008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0" authorId="0" shapeId="0" xr:uid="{00000000-0006-0000-0500-00008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0" authorId="0" shapeId="0" xr:uid="{00000000-0006-0000-0500-00008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1" authorId="0" shapeId="0" xr:uid="{00000000-0006-0000-0500-00008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1" authorId="0" shapeId="0" xr:uid="{00000000-0006-0000-0500-00008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1" authorId="0" shapeId="0" xr:uid="{00000000-0006-0000-0500-00008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2" authorId="0" shapeId="0" xr:uid="{00000000-0006-0000-0500-00008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2" authorId="0" shapeId="0" xr:uid="{00000000-0006-0000-0500-00008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2" authorId="0" shapeId="0" xr:uid="{00000000-0006-0000-0500-00008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3" authorId="0" shapeId="0" xr:uid="{00000000-0006-0000-0500-00008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3" authorId="0" shapeId="0" xr:uid="{00000000-0006-0000-0500-00008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3" authorId="0" shapeId="0" xr:uid="{00000000-0006-0000-0500-00008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4" authorId="0" shapeId="0" xr:uid="{00000000-0006-0000-0500-00008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4" authorId="0" shapeId="0" xr:uid="{00000000-0006-0000-0500-00008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4" authorId="0" shapeId="0" xr:uid="{00000000-0006-0000-0500-00008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5" authorId="0" shapeId="0" xr:uid="{00000000-0006-0000-0500-00009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5" authorId="0" shapeId="0" xr:uid="{00000000-0006-0000-0500-00009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5" authorId="0" shapeId="0" xr:uid="{00000000-0006-0000-0500-00009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6" authorId="0" shapeId="0" xr:uid="{00000000-0006-0000-0500-00009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6" authorId="0" shapeId="0" xr:uid="{00000000-0006-0000-0500-00009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6" authorId="0" shapeId="0" xr:uid="{00000000-0006-0000-0500-00009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7" authorId="0" shapeId="0" xr:uid="{00000000-0006-0000-0500-00009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7" authorId="0" shapeId="0" xr:uid="{00000000-0006-0000-0500-00009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7" authorId="0" shapeId="0" xr:uid="{00000000-0006-0000-0500-00009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8" authorId="0" shapeId="0" xr:uid="{00000000-0006-0000-0500-00009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8" authorId="0" shapeId="0" xr:uid="{00000000-0006-0000-0500-00009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8" authorId="0" shapeId="0" xr:uid="{00000000-0006-0000-0500-00009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39" authorId="0" shapeId="0" xr:uid="{00000000-0006-0000-0500-00009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39" authorId="0" shapeId="0" xr:uid="{00000000-0006-0000-0500-00009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39" authorId="0" shapeId="0" xr:uid="{00000000-0006-0000-0500-00009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0" authorId="0" shapeId="0" xr:uid="{00000000-0006-0000-0500-00009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0" authorId="0" shapeId="0" xr:uid="{00000000-0006-0000-0500-0000A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0" authorId="0" shapeId="0" xr:uid="{00000000-0006-0000-0500-0000A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1" authorId="0" shapeId="0" xr:uid="{00000000-0006-0000-0500-0000A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1" authorId="0" shapeId="0" xr:uid="{00000000-0006-0000-0500-0000A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1" authorId="0" shapeId="0" xr:uid="{00000000-0006-0000-0500-0000A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2" authorId="0" shapeId="0" xr:uid="{00000000-0006-0000-0500-0000A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2" authorId="0" shapeId="0" xr:uid="{00000000-0006-0000-0500-0000A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2" authorId="0" shapeId="0" xr:uid="{00000000-0006-0000-0500-0000A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3" authorId="0" shapeId="0" xr:uid="{00000000-0006-0000-0500-0000A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3" authorId="0" shapeId="0" xr:uid="{00000000-0006-0000-0500-0000A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3" authorId="0" shapeId="0" xr:uid="{00000000-0006-0000-0500-0000A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4" authorId="0" shapeId="0" xr:uid="{00000000-0006-0000-0500-0000A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4" authorId="0" shapeId="0" xr:uid="{00000000-0006-0000-0500-0000A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4" authorId="0" shapeId="0" xr:uid="{00000000-0006-0000-0500-0000A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A245" authorId="0" shapeId="0" xr:uid="{00000000-0006-0000-0500-0000A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5" authorId="0" shapeId="0" xr:uid="{00000000-0006-0000-0500-0000A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5" authorId="0" shapeId="0" xr:uid="{00000000-0006-0000-0500-0000B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6" authorId="0" shapeId="0" xr:uid="{00000000-0006-0000-0500-0000B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6" authorId="0" shapeId="0" xr:uid="{00000000-0006-0000-0500-0000B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7" authorId="0" shapeId="0" xr:uid="{00000000-0006-0000-0500-0000B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7" authorId="0" shapeId="0" xr:uid="{00000000-0006-0000-0500-0000B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8" authorId="0" shapeId="0" xr:uid="{00000000-0006-0000-0500-0000B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8" authorId="0" shapeId="0" xr:uid="{00000000-0006-0000-0500-0000B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49" authorId="0" shapeId="0" xr:uid="{00000000-0006-0000-0500-0000B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49" authorId="0" shapeId="0" xr:uid="{00000000-0006-0000-0500-0000B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0" authorId="0" shapeId="0" xr:uid="{00000000-0006-0000-0500-0000B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50" authorId="0" shapeId="0" xr:uid="{00000000-0006-0000-0500-0000B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1" authorId="0" shapeId="0" xr:uid="{00000000-0006-0000-0500-0000B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51" authorId="0" shapeId="0" xr:uid="{00000000-0006-0000-0500-0000B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2" authorId="0" shapeId="0" xr:uid="{00000000-0006-0000-0500-0000B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52" authorId="0" shapeId="0" xr:uid="{00000000-0006-0000-0500-0000B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3" authorId="0" shapeId="0" xr:uid="{00000000-0006-0000-0500-0000B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E253" authorId="0" shapeId="0" xr:uid="{00000000-0006-0000-0500-0000C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Y254" authorId="0" shapeId="0" xr:uid="{00000000-0006-0000-0500-0000C10A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C254" authorId="0" shapeId="0" xr:uid="{00000000-0006-0000-0500-0000C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4" authorId="0" shapeId="0" xr:uid="{00000000-0006-0000-0500-0000C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5" authorId="0" shapeId="0" xr:uid="{00000000-0006-0000-0500-0000C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5" authorId="0" shapeId="0" xr:uid="{00000000-0006-0000-0500-0000C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6" authorId="0" shapeId="0" xr:uid="{00000000-0006-0000-0500-0000C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6" authorId="0" shapeId="0" xr:uid="{00000000-0006-0000-0500-0000C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C257" authorId="0" shapeId="0" xr:uid="{00000000-0006-0000-0500-0000C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7" authorId="0" shapeId="0" xr:uid="{00000000-0006-0000-0500-0000C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8" authorId="0" shapeId="0" xr:uid="{00000000-0006-0000-0500-0000C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59" authorId="0" shapeId="0" xr:uid="{00000000-0006-0000-0500-0000C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0" authorId="0" shapeId="0" xr:uid="{00000000-0006-0000-0500-0000C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1" authorId="0" shapeId="0" xr:uid="{00000000-0006-0000-0500-0000C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2" authorId="0" shapeId="0" xr:uid="{00000000-0006-0000-0500-0000C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3" authorId="0" shapeId="0" xr:uid="{00000000-0006-0000-0500-0000C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4" authorId="0" shapeId="0" xr:uid="{00000000-0006-0000-0500-0000D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5" authorId="0" shapeId="0" xr:uid="{00000000-0006-0000-0500-0000D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6" authorId="0" shapeId="0" xr:uid="{00000000-0006-0000-0500-0000D2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7" authorId="0" shapeId="0" xr:uid="{00000000-0006-0000-0500-0000D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8" authorId="0" shapeId="0" xr:uid="{00000000-0006-0000-0500-0000D4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69" authorId="0" shapeId="0" xr:uid="{00000000-0006-0000-0500-0000D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0" authorId="0" shapeId="0" xr:uid="{00000000-0006-0000-0500-0000D6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1" authorId="0" shapeId="0" xr:uid="{00000000-0006-0000-0500-0000D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2" authorId="0" shapeId="0" xr:uid="{00000000-0006-0000-0500-0000D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3" authorId="0" shapeId="0" xr:uid="{00000000-0006-0000-0500-0000D9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4" authorId="0" shapeId="0" xr:uid="{00000000-0006-0000-0500-0000DA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5" authorId="0" shapeId="0" xr:uid="{00000000-0006-0000-0500-0000D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6" authorId="0" shapeId="0" xr:uid="{00000000-0006-0000-0500-0000DC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7" authorId="0" shapeId="0" xr:uid="{00000000-0006-0000-0500-0000D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8" authorId="0" shapeId="0" xr:uid="{00000000-0006-0000-0500-0000DE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79" authorId="0" shapeId="0" xr:uid="{00000000-0006-0000-0500-0000DF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80" authorId="0" shapeId="0" xr:uid="{00000000-0006-0000-0500-0000E0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D281" authorId="0" shapeId="0" xr:uid="{00000000-0006-0000-0500-0000E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82" authorId="0" shapeId="0" xr:uid="{00000000-0006-0000-0500-0000E2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2" authorId="0" shapeId="0" xr:uid="{00000000-0006-0000-0500-0000E3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83" authorId="0" shapeId="0" xr:uid="{00000000-0006-0000-0500-0000E4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3" authorId="0" shapeId="0" xr:uid="{00000000-0006-0000-0500-0000E5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4" authorId="0" shapeId="0" xr:uid="{00000000-0006-0000-0500-0000E6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4" authorId="0" shapeId="0" xr:uid="{00000000-0006-0000-0500-0000E7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4" authorId="0" shapeId="0" xr:uid="{00000000-0006-0000-0500-0000E8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5" authorId="0" shapeId="0" xr:uid="{00000000-0006-0000-0500-0000E9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5" authorId="0" shapeId="0" xr:uid="{00000000-0006-0000-0500-0000EA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5" authorId="0" shapeId="0" xr:uid="{00000000-0006-0000-0500-0000EB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6" authorId="0" shapeId="0" xr:uid="{00000000-0006-0000-0500-0000EC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86" authorId="0" shapeId="0" xr:uid="{00000000-0006-0000-0500-0000ED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86" authorId="0" shapeId="0" xr:uid="{00000000-0006-0000-0500-0000EE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6" authorId="0" shapeId="0" xr:uid="{00000000-0006-0000-0500-0000EF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86" authorId="0" shapeId="0" xr:uid="{00000000-0006-0000-0500-0000F0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6" authorId="0" shapeId="0" xr:uid="{00000000-0006-0000-0500-0000F1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7" authorId="0" shapeId="0" xr:uid="{00000000-0006-0000-0500-0000F2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87" authorId="0" shapeId="0" xr:uid="{00000000-0006-0000-0500-0000F3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87" authorId="0" shapeId="0" xr:uid="{00000000-0006-0000-0500-0000F4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7" authorId="0" shapeId="0" xr:uid="{00000000-0006-0000-0500-0000F5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87" authorId="0" shapeId="0" xr:uid="{00000000-0006-0000-0500-0000F6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7" authorId="0" shapeId="0" xr:uid="{00000000-0006-0000-0500-0000F7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8" authorId="0" shapeId="0" xr:uid="{00000000-0006-0000-0500-0000F8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88" authorId="0" shapeId="0" xr:uid="{00000000-0006-0000-0500-0000F9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88" authorId="0" shapeId="0" xr:uid="{00000000-0006-0000-0500-0000FA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8" authorId="0" shapeId="0" xr:uid="{00000000-0006-0000-0500-0000FB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88" authorId="0" shapeId="0" xr:uid="{00000000-0006-0000-0500-0000FC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8" authorId="0" shapeId="0" xr:uid="{00000000-0006-0000-0500-0000FD0A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89" authorId="0" shapeId="0" xr:uid="{00000000-0006-0000-0500-0000FE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89" authorId="0" shapeId="0" xr:uid="{00000000-0006-0000-0500-0000FF0A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89" authorId="0" shapeId="0" xr:uid="{00000000-0006-0000-0500-000000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89" authorId="0" shapeId="0" xr:uid="{00000000-0006-0000-0500-000001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89" authorId="0" shapeId="0" xr:uid="{00000000-0006-0000-0500-000002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89" authorId="0" shapeId="0" xr:uid="{00000000-0006-0000-0500-000003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90" authorId="0" shapeId="0" xr:uid="{00000000-0006-0000-0500-000004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0" authorId="0" shapeId="0" xr:uid="{00000000-0006-0000-0500-000005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A290" authorId="0" shapeId="0" xr:uid="{00000000-0006-0000-0500-000006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90" authorId="0" shapeId="0" xr:uid="{00000000-0006-0000-0500-000007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90" authorId="0" shapeId="0" xr:uid="{00000000-0006-0000-0500-000008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90" authorId="0" shapeId="0" xr:uid="{00000000-0006-0000-0500-000009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X290" authorId="0" shapeId="0" xr:uid="{00000000-0006-0000-0500-00000A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90" authorId="0" shapeId="0" xr:uid="{00000000-0006-0000-0500-00000B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90" authorId="0" shapeId="0" xr:uid="{00000000-0006-0000-0500-00000C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91" authorId="0" shapeId="0" xr:uid="{00000000-0006-0000-0500-00000D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1" authorId="0" shapeId="0" xr:uid="{00000000-0006-0000-0500-00000E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A291" authorId="0" shapeId="0" xr:uid="{00000000-0006-0000-0500-00000F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91" authorId="0" shapeId="0" xr:uid="{00000000-0006-0000-0500-000010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91" authorId="0" shapeId="0" xr:uid="{00000000-0006-0000-0500-000011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91" authorId="0" shapeId="0" xr:uid="{00000000-0006-0000-0500-000012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X291" authorId="0" shapeId="0" xr:uid="{00000000-0006-0000-0500-000013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91" authorId="0" shapeId="0" xr:uid="{00000000-0006-0000-0500-000014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D291" authorId="0" shapeId="0" xr:uid="{00000000-0006-0000-0500-000015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P292" authorId="0" shapeId="0" xr:uid="{00000000-0006-0000-0500-000016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2" authorId="0" shapeId="0" xr:uid="{00000000-0006-0000-0500-000017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A292" authorId="0" shapeId="0" xr:uid="{00000000-0006-0000-0500-000018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92" authorId="0" shapeId="0" xr:uid="{00000000-0006-0000-0500-000019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92" authorId="0" shapeId="0" xr:uid="{00000000-0006-0000-0500-00001A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92" authorId="0" shapeId="0" xr:uid="{00000000-0006-0000-0500-00001B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X292" authorId="0" shapeId="0" xr:uid="{00000000-0006-0000-0500-00001C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92" authorId="0" shapeId="0" xr:uid="{00000000-0006-0000-0500-00001D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P293" authorId="0" shapeId="0" xr:uid="{00000000-0006-0000-0500-00001E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3" authorId="0" shapeId="0" xr:uid="{00000000-0006-0000-0500-00001F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A293" authorId="0" shapeId="0" xr:uid="{00000000-0006-0000-0500-000020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93" authorId="0" shapeId="0" xr:uid="{00000000-0006-0000-0500-000021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93" authorId="0" shapeId="0" xr:uid="{00000000-0006-0000-0500-000022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93" authorId="0" shapeId="0" xr:uid="{00000000-0006-0000-0500-000023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X293" authorId="0" shapeId="0" xr:uid="{00000000-0006-0000-0500-000024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93" authorId="0" shapeId="0" xr:uid="{00000000-0006-0000-0500-000025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F294" authorId="0" shapeId="0" xr:uid="{00000000-0006-0000-0500-000026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P294" authorId="0" shapeId="0" xr:uid="{00000000-0006-0000-0500-000027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4" authorId="0" shapeId="0" xr:uid="{00000000-0006-0000-0500-000028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A294" authorId="0" shapeId="0" xr:uid="{00000000-0006-0000-0500-000029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B294" authorId="0" shapeId="0" xr:uid="{00000000-0006-0000-0500-00002A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F294" authorId="0" shapeId="0" xr:uid="{00000000-0006-0000-0500-00002B0B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AI294" authorId="0" shapeId="0" xr:uid="{00000000-0006-0000-0500-00002C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X294" authorId="0" shapeId="0" xr:uid="{00000000-0006-0000-0500-00002D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BB294" authorId="0" shapeId="0" xr:uid="{00000000-0006-0000-0500-00002E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G295" authorId="0" shapeId="0" xr:uid="{00000000-0006-0000-0500-00002F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W295" authorId="0" shapeId="0" xr:uid="{00000000-0006-0000-0500-000030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AI295" authorId="0" shapeId="0" xr:uid="{00000000-0006-0000-0500-0000310B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B1" authorId="0" shapeId="0" xr:uid="{A4A10EA1-D72D-420F-B2E9-9652B2CC78F5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millions of dollars</t>
        </r>
      </text>
    </comment>
    <comment ref="G1" authorId="0" shapeId="0" xr:uid="{08C40DE7-11AC-49AF-80DF-9906377793E5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thousands of dollars</t>
        </r>
      </text>
    </comment>
    <comment ref="H1" authorId="0" shapeId="0" xr:uid="{430B2BED-B39A-4073-82CF-7595C9F931B4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thousands of dollars</t>
        </r>
      </text>
    </comment>
  </commentList>
</comments>
</file>

<file path=xl/sharedStrings.xml><?xml version="1.0" encoding="utf-8"?>
<sst xmlns="http://schemas.openxmlformats.org/spreadsheetml/2006/main" count="7752" uniqueCount="693">
  <si>
    <t>Menú Principal</t>
  </si>
  <si>
    <t>VALOR AGREGADO BRUTO PETROLERO (*) Y NO PETROLERO</t>
  </si>
  <si>
    <t>Miles de US dólares, 2007=100</t>
  </si>
  <si>
    <t>Tasas de variación t/t-1</t>
  </si>
  <si>
    <t>Tasas de variación t/t-4</t>
  </si>
  <si>
    <t xml:space="preserve">     Industrias</t>
  </si>
  <si>
    <t>VALOR AGREGADO PETROLERO</t>
  </si>
  <si>
    <t>VALOR AGREGADO NO PETROLERO</t>
  </si>
  <si>
    <t>OTROS ELEMENTOS DEL PIB (**)</t>
  </si>
  <si>
    <t>P.I.B.</t>
  </si>
  <si>
    <t>OTROS ELEMENTOS DEL PIB</t>
  </si>
  <si>
    <t>Trimestres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</si>
  <si>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</si>
  <si>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</si>
  <si>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</si>
  <si>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</si>
  <si>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</si>
  <si>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</si>
  <si>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</si>
  <si>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</si>
  <si>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</si>
  <si>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</si>
  <si>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</si>
  <si>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</si>
  <si>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</si>
  <si>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</si>
  <si>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</si>
  <si>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</si>
  <si>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</si>
  <si>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</si>
  <si>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</si>
  <si>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</si>
  <si>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</si>
  <si>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</si>
  <si>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</si>
  <si>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</si>
  <si>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</si>
  <si>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</si>
  <si>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</si>
  <si>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</si>
  <si>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</si>
  <si>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</si>
  <si>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</si>
  <si>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</si>
  <si>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</si>
  <si>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</si>
  <si>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</si>
  <si>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</si>
  <si>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</si>
  <si>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</si>
  <si>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</si>
  <si>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</si>
  <si>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</si>
  <si>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</si>
  <si>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</si>
  <si>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</si>
  <si>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</si>
  <si>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</si>
  <si>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</si>
  <si>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</si>
  <si>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</si>
  <si>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</si>
  <si>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</si>
  <si>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</si>
  <si>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</si>
  <si>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</si>
  <si>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</si>
  <si>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</si>
  <si>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</si>
  <si>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</si>
  <si>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</si>
  <si>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</si>
  <si>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</si>
  <si>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</si>
  <si>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</si>
  <si>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</si>
  <si>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</si>
  <si>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</si>
  <si>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</si>
  <si>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</si>
  <si>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</si>
  <si>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</si>
  <si>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</si>
  <si>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</si>
  <si>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</si>
  <si>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</si>
  <si>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</si>
  <si>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</si>
  <si>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</si>
  <si>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</si>
  <si>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</si>
  <si>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</si>
  <si>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</si>
  <si>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(*) Suma del Valor Agregado de Extracción de petróleo, gas natural y del Valor Agregado de la Fabricación de productos de la refinación petróleo</t>
  </si>
  <si>
    <t>(**) Otros elementos del PIB incluye: otros impuestos sobre productos, subsidios sobre productos, derechos arancelarios, Impuesto al Valor Agregado (IVA)</t>
  </si>
  <si>
    <t>Elaboración: BANCO CENTRAL DEL ECUADOR</t>
  </si>
  <si>
    <t>OFERTA Y UTILIZACIÓN FINAL DE BIENES Y SERVICIOS</t>
  </si>
  <si>
    <t>Variables</t>
  </si>
  <si>
    <t>Importaciones de bienes y servicios (fob)</t>
  </si>
  <si>
    <t>Oferta final</t>
  </si>
  <si>
    <t>Demanda interna</t>
  </si>
  <si>
    <t>Gasto de Consumo final  Hogares (*)</t>
  </si>
  <si>
    <t>Gasto de Consumo final Gobierno General</t>
  </si>
  <si>
    <t>FBKF</t>
  </si>
  <si>
    <t>Variación de existencias</t>
  </si>
  <si>
    <t>Exportaciones de bienes y servicios (fob)</t>
  </si>
  <si>
    <t>Utilización final</t>
  </si>
  <si>
    <t>(*) incluye el gasto de consumo de las Instituciones sin fines de lucro al servicio de los hogares, ISFLSH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</si>
  <si>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</si>
  <si>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</si>
  <si>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</si>
  <si>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</si>
  <si>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</si>
  <si>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</si>
  <si>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DGS3MO</t>
  </si>
  <si>
    <t>3-Month Treasury Constant Maturity Rate, Percent, Monthly, Not Seasonally Adjusted</t>
  </si>
  <si>
    <t>Frequency: Monthly</t>
  </si>
  <si>
    <t>observation_date</t>
  </si>
  <si>
    <t>Subject</t>
  </si>
  <si>
    <t>Measure</t>
  </si>
  <si>
    <t>Period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</si>
  <si>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</si>
  <si>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</si>
  <si>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</si>
  <si>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</si>
  <si>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</si>
  <si>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</si>
  <si>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</si>
  <si>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</si>
  <si>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</si>
  <si>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</si>
  <si>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</si>
  <si>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</si>
  <si>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</si>
  <si>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</si>
  <si>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</si>
  <si>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</si>
  <si>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</si>
  <si>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</si>
  <si>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</si>
  <si>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</si>
  <si>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</si>
  <si>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</si>
  <si>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</si>
  <si>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</si>
  <si>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</si>
  <si>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</si>
  <si>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</si>
  <si>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</si>
  <si>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</si>
  <si>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</si>
  <si>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</si>
  <si>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</si>
  <si>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</si>
  <si>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</si>
  <si>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</si>
  <si>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</si>
  <si>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</si>
  <si>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Euro area (19 countries)</t>
  </si>
  <si>
    <t>European Union – 27 countries (from 01/02/2020)</t>
  </si>
  <si>
    <t>G7</t>
  </si>
  <si>
    <t>NAFTA</t>
  </si>
  <si>
    <t>OECD - Europe</t>
  </si>
  <si>
    <t>G20</t>
  </si>
  <si>
    <t>OECD - Total</t>
  </si>
  <si>
    <t>Argentina</t>
  </si>
  <si>
    <t>Brazil</t>
  </si>
  <si>
    <t>Bulgaria</t>
  </si>
  <si>
    <t>China (People's Republic of)</t>
  </si>
  <si>
    <t>India</t>
  </si>
  <si>
    <t>Indonesia</t>
  </si>
  <si>
    <t>Romania</t>
  </si>
  <si>
    <t>Russia</t>
  </si>
  <si>
    <t>Saudi Arabia</t>
  </si>
  <si>
    <t>South Africa</t>
  </si>
  <si>
    <t>Percentage</t>
  </si>
  <si>
    <t>B1_GE: Gross domestic product - expenditure approach</t>
  </si>
  <si>
    <t>GPSA: Growth rate compared to previous quarter, seasonally adjusted</t>
  </si>
  <si>
    <t>Q2-1947</t>
  </si>
  <si>
    <t>..</t>
  </si>
  <si>
    <t>Q3-1947</t>
  </si>
  <si>
    <t>Q4-1947</t>
  </si>
  <si>
    <t>Q1-1948</t>
  </si>
  <si>
    <t>Q2-1948</t>
  </si>
  <si>
    <t>Q3-1948</t>
  </si>
  <si>
    <t>Q4-1948</t>
  </si>
  <si>
    <t>Q1-1949</t>
  </si>
  <si>
    <t>Q2-1949</t>
  </si>
  <si>
    <t>Q3-1949</t>
  </si>
  <si>
    <t>Q4-1949</t>
  </si>
  <si>
    <t>Q1-1950</t>
  </si>
  <si>
    <t>Q2-1950</t>
  </si>
  <si>
    <t>Q3-1950</t>
  </si>
  <si>
    <t>Q4-1950</t>
  </si>
  <si>
    <t>Q1-1951</t>
  </si>
  <si>
    <t>Q2-1951</t>
  </si>
  <si>
    <t>Q3-1951</t>
  </si>
  <si>
    <t>Q4-1951</t>
  </si>
  <si>
    <t>Q1-1952</t>
  </si>
  <si>
    <t>Q2-1952</t>
  </si>
  <si>
    <t>Q3-1952</t>
  </si>
  <si>
    <t>Q4-1952</t>
  </si>
  <si>
    <t>Q1-1953</t>
  </si>
  <si>
    <t>Q2-1953</t>
  </si>
  <si>
    <t>Q3-1953</t>
  </si>
  <si>
    <t>Q4-1953</t>
  </si>
  <si>
    <t>Q1-1954</t>
  </si>
  <si>
    <t>Q2-1954</t>
  </si>
  <si>
    <t>Q3-1954</t>
  </si>
  <si>
    <t>Q4-1954</t>
  </si>
  <si>
    <t>Q1-1955</t>
  </si>
  <si>
    <t>Q2-1955</t>
  </si>
  <si>
    <t>Q3-1955</t>
  </si>
  <si>
    <t>Q4-1955</t>
  </si>
  <si>
    <t>Q1-1956</t>
  </si>
  <si>
    <t>Q2-1956</t>
  </si>
  <si>
    <t>Q3-1956</t>
  </si>
  <si>
    <t>Q4-1956</t>
  </si>
  <si>
    <t>Q1-1957</t>
  </si>
  <si>
    <t>Q2-1957</t>
  </si>
  <si>
    <t>Q3-1957</t>
  </si>
  <si>
    <t>Q4-1957</t>
  </si>
  <si>
    <t>Q1-1958</t>
  </si>
  <si>
    <t>Q2-1958</t>
  </si>
  <si>
    <t>Q3-1958</t>
  </si>
  <si>
    <t>Q4-1958</t>
  </si>
  <si>
    <t>Q1-1959</t>
  </si>
  <si>
    <t>Q2-1959</t>
  </si>
  <si>
    <t>Q3-1959</t>
  </si>
  <si>
    <t>Q4-1959</t>
  </si>
  <si>
    <t>Q1-1960</t>
  </si>
  <si>
    <t>Q2-1960</t>
  </si>
  <si>
    <t>Q3-1960</t>
  </si>
  <si>
    <t>Q4-1960</t>
  </si>
  <si>
    <t>Q1-1961</t>
  </si>
  <si>
    <t>Q2-1961</t>
  </si>
  <si>
    <t>Q3-1961</t>
  </si>
  <si>
    <t>Q4-1961</t>
  </si>
  <si>
    <t>Q1-1962</t>
  </si>
  <si>
    <t>Q2-1962</t>
  </si>
  <si>
    <t>Q3-1962</t>
  </si>
  <si>
    <t>Q4-1962</t>
  </si>
  <si>
    <t>Q1-1963</t>
  </si>
  <si>
    <t>Q2-1963</t>
  </si>
  <si>
    <t>Q3-1963</t>
  </si>
  <si>
    <t>Q4-1963</t>
  </si>
  <si>
    <t>Q1-1964</t>
  </si>
  <si>
    <t>Q2-1964</t>
  </si>
  <si>
    <t>Q3-1964</t>
  </si>
  <si>
    <t>Q4-1964</t>
  </si>
  <si>
    <t>Q1-1965</t>
  </si>
  <si>
    <t>Q2-1965</t>
  </si>
  <si>
    <t>Q3-1965</t>
  </si>
  <si>
    <t>Q4-1965</t>
  </si>
  <si>
    <t>Q1-1966</t>
  </si>
  <si>
    <t>Q2-1966</t>
  </si>
  <si>
    <t>Q3-1966</t>
  </si>
  <si>
    <t>Q4-1966</t>
  </si>
  <si>
    <t>Q1-1967</t>
  </si>
  <si>
    <t>Q2-1967</t>
  </si>
  <si>
    <t>Q3-1967</t>
  </si>
  <si>
    <t>Q4-1967</t>
  </si>
  <si>
    <t>Q1-1968</t>
  </si>
  <si>
    <t>Q2-1968</t>
  </si>
  <si>
    <t>Q3-1968</t>
  </si>
  <si>
    <t>Q4-1968</t>
  </si>
  <si>
    <t>Q1-1969</t>
  </si>
  <si>
    <t>Q2-1969</t>
  </si>
  <si>
    <t>Q3-1969</t>
  </si>
  <si>
    <t>Q4-1969</t>
  </si>
  <si>
    <t>Q1-1970</t>
  </si>
  <si>
    <t>Q2-1970</t>
  </si>
  <si>
    <t>Q3-1970</t>
  </si>
  <si>
    <t>Q4-1970</t>
  </si>
  <si>
    <t>Q1-1971</t>
  </si>
  <si>
    <t>Q2-1971</t>
  </si>
  <si>
    <t>Q3-1971</t>
  </si>
  <si>
    <t>Q4-1971</t>
  </si>
  <si>
    <t>Q1-1972</t>
  </si>
  <si>
    <t>Q2-1972</t>
  </si>
  <si>
    <t>Q3-1972</t>
  </si>
  <si>
    <t>Q4-1972</t>
  </si>
  <si>
    <t>Q1-1973</t>
  </si>
  <si>
    <t>Q2-1973</t>
  </si>
  <si>
    <t>Q3-1973</t>
  </si>
  <si>
    <t>Q4-1973</t>
  </si>
  <si>
    <t>Q1-1974</t>
  </si>
  <si>
    <t>Q2-1974</t>
  </si>
  <si>
    <t>Q3-1974</t>
  </si>
  <si>
    <t>Q4-1974</t>
  </si>
  <si>
    <t>Q1-1975</t>
  </si>
  <si>
    <t>Q2-1975</t>
  </si>
  <si>
    <t>Q3-1975</t>
  </si>
  <si>
    <t>Q4-1975</t>
  </si>
  <si>
    <t>Q1-1976</t>
  </si>
  <si>
    <t>Q2-1976</t>
  </si>
  <si>
    <t>Q3-1976</t>
  </si>
  <si>
    <t>Q4-1976</t>
  </si>
  <si>
    <t>Q1-1977</t>
  </si>
  <si>
    <t>Q2-1977</t>
  </si>
  <si>
    <t>Q3-1977</t>
  </si>
  <si>
    <t>Q4-1977</t>
  </si>
  <si>
    <t>Q1-1978</t>
  </si>
  <si>
    <t>Q2-1978</t>
  </si>
  <si>
    <t>Q3-1978</t>
  </si>
  <si>
    <t>Q4-1978</t>
  </si>
  <si>
    <t>Q1-1979</t>
  </si>
  <si>
    <t>Q2-1979</t>
  </si>
  <si>
    <t>Q3-1979</t>
  </si>
  <si>
    <t>Q4-1979</t>
  </si>
  <si>
    <t>Q1-1980</t>
  </si>
  <si>
    <t>Q2-1980</t>
  </si>
  <si>
    <t>Q3-1980</t>
  </si>
  <si>
    <t>Q4-1980</t>
  </si>
  <si>
    <t>Q1-1981</t>
  </si>
  <si>
    <t>Q2-1981</t>
  </si>
  <si>
    <t>Q3-1981</t>
  </si>
  <si>
    <t>Q4-1981</t>
  </si>
  <si>
    <t>Q1-1982</t>
  </si>
  <si>
    <t>Q2-1982</t>
  </si>
  <si>
    <t>Q3-1982</t>
  </si>
  <si>
    <t>Q4-1982</t>
  </si>
  <si>
    <t>Q1-1983</t>
  </si>
  <si>
    <t>Q2-1983</t>
  </si>
  <si>
    <t>Q3-1983</t>
  </si>
  <si>
    <t>Q4-1983</t>
  </si>
  <si>
    <t>Q1-1984</t>
  </si>
  <si>
    <t>Q2-1984</t>
  </si>
  <si>
    <t>Q3-1984</t>
  </si>
  <si>
    <t>Q4-1984</t>
  </si>
  <si>
    <t>Q1-1985</t>
  </si>
  <si>
    <t>Q2-1985</t>
  </si>
  <si>
    <t>Q3-1985</t>
  </si>
  <si>
    <t>Q4-1985</t>
  </si>
  <si>
    <t>Q1-1986</t>
  </si>
  <si>
    <t>Q2-1986</t>
  </si>
  <si>
    <t>Q3-1986</t>
  </si>
  <si>
    <t>Q4-1986</t>
  </si>
  <si>
    <t>Q1-1987</t>
  </si>
  <si>
    <t>Q2-1987</t>
  </si>
  <si>
    <t>Q3-1987</t>
  </si>
  <si>
    <t>Q4-1987</t>
  </si>
  <si>
    <t>Q1-1988</t>
  </si>
  <si>
    <t>Q2-1988</t>
  </si>
  <si>
    <t>Q3-1988</t>
  </si>
  <si>
    <t>Q4-1988</t>
  </si>
  <si>
    <t>Q1-1989</t>
  </si>
  <si>
    <t>Q2-1989</t>
  </si>
  <si>
    <t>Q3-1989</t>
  </si>
  <si>
    <t>Q4-1989</t>
  </si>
  <si>
    <t>Q1-1990</t>
  </si>
  <si>
    <t>Q2-1990</t>
  </si>
  <si>
    <t>Q3-1990</t>
  </si>
  <si>
    <t>Q4-1990</t>
  </si>
  <si>
    <t>Q1-1991</t>
  </si>
  <si>
    <t>Q2-1991</t>
  </si>
  <si>
    <t>Q3-1991</t>
  </si>
  <si>
    <t>Q4-1991</t>
  </si>
  <si>
    <t>Q1-1992</t>
  </si>
  <si>
    <t>Q2-1992</t>
  </si>
  <si>
    <t>Q3-1992</t>
  </si>
  <si>
    <t>Q4-1992</t>
  </si>
  <si>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</si>
  <si>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</si>
  <si>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</si>
  <si>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</si>
  <si>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</si>
  <si>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</si>
  <si>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</si>
  <si>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</si>
  <si>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</si>
  <si>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</si>
  <si>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</si>
  <si>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</si>
  <si>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</si>
  <si>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</si>
  <si>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</si>
  <si>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</si>
  <si>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</si>
  <si>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</si>
  <si>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</si>
  <si>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</si>
  <si>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</si>
  <si>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</si>
  <si>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</si>
  <si>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</si>
  <si>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</si>
  <si>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</si>
  <si>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</si>
  <si>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</si>
  <si>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</si>
  <si>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</si>
  <si>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</si>
  <si>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</si>
  <si>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</si>
  <si>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</si>
  <si>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</si>
  <si>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</si>
  <si>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</si>
  <si>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</si>
  <si>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</si>
  <si>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</si>
  <si>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</si>
  <si>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</si>
  <si>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</si>
  <si>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</si>
  <si>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</si>
  <si>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</si>
  <si>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</si>
  <si>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</si>
  <si>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</si>
  <si>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</si>
  <si>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</si>
  <si>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</si>
  <si>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</si>
  <si>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</si>
  <si>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</si>
  <si>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</si>
  <si>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</si>
  <si>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</si>
  <si>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</si>
  <si>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</si>
  <si>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</si>
  <si>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</si>
  <si>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</si>
  <si>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</si>
  <si>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</si>
  <si>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</si>
  <si>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</si>
  <si>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</si>
  <si>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</si>
  <si>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</si>
  <si>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</si>
  <si>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</si>
  <si>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</si>
  <si>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</si>
  <si>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</si>
  <si>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</si>
  <si>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</si>
  <si>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</si>
  <si>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</si>
  <si>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</si>
  <si>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</si>
  <si>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</si>
  <si>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</si>
  <si>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</si>
  <si>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</si>
  <si>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</si>
  <si>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</si>
  <si>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</si>
  <si>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</si>
  <si>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</si>
  <si>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</si>
  <si>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</si>
  <si>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</si>
  <si>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</si>
  <si>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</si>
  <si>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</si>
  <si>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</si>
  <si>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</si>
  <si>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</si>
  <si>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</si>
  <si>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</si>
  <si>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</si>
  <si>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</si>
  <si>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</si>
  <si>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</si>
  <si>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</si>
  <si>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</si>
  <si>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</si>
  <si>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</si>
  <si>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</si>
  <si>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PrecioPetro</t>
  </si>
  <si>
    <t>Millones de dólares</t>
  </si>
  <si>
    <t>Regresar</t>
  </si>
  <si>
    <t>Transacciones \  Período</t>
  </si>
  <si>
    <t>2008(p)</t>
  </si>
  <si>
    <t>2009(p)</t>
  </si>
  <si>
    <t>2011(p)</t>
  </si>
  <si>
    <t>2012(p)</t>
  </si>
  <si>
    <t>2013(p)</t>
  </si>
  <si>
    <t>2014(p)</t>
  </si>
  <si>
    <t>2015(p)</t>
  </si>
  <si>
    <t>2016(p)</t>
  </si>
  <si>
    <t>2017 (p)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</si>
  <si>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</si>
  <si>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</si>
  <si>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</si>
  <si>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</si>
  <si>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</si>
  <si>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</si>
  <si>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</si>
  <si>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</si>
  <si>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</si>
  <si>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</si>
  <si>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</si>
  <si>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</si>
  <si>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      Tributarios</t>
  </si>
  <si>
    <t xml:space="preserve">            Externos</t>
  </si>
  <si>
    <t xml:space="preserve">            Internos</t>
  </si>
  <si>
    <r>
      <t>(5)</t>
    </r>
    <r>
      <rPr>
        <sz val="11"/>
        <rFont val="Calibri"/>
        <family val="2"/>
        <scheme val="minor"/>
      </rPr>
      <t xml:space="preserve"> Corresponde al tipo de cambio promedio simple de venta del mercado de intervención.</t>
    </r>
  </si>
  <si>
    <r>
      <t xml:space="preserve">(p) </t>
    </r>
    <r>
      <rPr>
        <sz val="10"/>
        <rFont val="Arial"/>
        <family val="2"/>
      </rPr>
      <t>Cifras provisionales.</t>
    </r>
  </si>
  <si>
    <r>
      <t>FUENTE:</t>
    </r>
    <r>
      <rPr>
        <sz val="10"/>
        <rFont val="Arial"/>
        <family val="2"/>
      </rPr>
      <t xml:space="preserve"> Ministerio de Economía y Finanzas, Entidades del Sector Público no Financiero y Banco Central del Ecuador.</t>
    </r>
  </si>
  <si>
    <t>Consumption</t>
  </si>
  <si>
    <t>Wages</t>
  </si>
  <si>
    <t>Transfers</t>
  </si>
  <si>
    <t xml:space="preserve"> Miles de US dólares</t>
  </si>
  <si>
    <t>M/Dem Int</t>
  </si>
  <si>
    <t>X-M / Y</t>
  </si>
  <si>
    <t>G/Y</t>
  </si>
  <si>
    <t>EMBI</t>
  </si>
  <si>
    <t>Producción total</t>
  </si>
  <si>
    <t>Producción prom / dia</t>
  </si>
  <si>
    <t>Por empresas</t>
  </si>
  <si>
    <t>Privadas</t>
  </si>
  <si>
    <t>Petroproducción (3)</t>
  </si>
  <si>
    <t>prom / dia</t>
  </si>
  <si>
    <t>Petroproducción</t>
  </si>
  <si>
    <t>Petrolero / Y</t>
  </si>
  <si>
    <t>Share Petroecuador</t>
  </si>
  <si>
    <t>GDPDEF</t>
  </si>
  <si>
    <t>Gross Domestic Product: Implicit Price Deflator, Index 2012=100, Quarterly, Seasonally Adjusted</t>
  </si>
  <si>
    <t>Frequency: Quarterly</t>
  </si>
  <si>
    <t>Miles de US dólares</t>
  </si>
  <si>
    <t>Deflactores implícitos, 2007 = 100</t>
  </si>
  <si>
    <t>Nivel</t>
  </si>
  <si>
    <t>Promedio</t>
  </si>
  <si>
    <t>Non_oil_GDP</t>
  </si>
  <si>
    <t>Private_consumption</t>
  </si>
  <si>
    <t>Oil_GDP</t>
  </si>
  <si>
    <t>World_GDP_growth_qoq</t>
  </si>
  <si>
    <t>US_Y_Deflator</t>
  </si>
  <si>
    <t>Foreign_interest_rate</t>
  </si>
  <si>
    <t>Oil_price</t>
  </si>
  <si>
    <t>Government_consumption</t>
  </si>
  <si>
    <t>Government_wages</t>
  </si>
  <si>
    <t>Government_FBKF</t>
  </si>
  <si>
    <t>Government_transfers</t>
  </si>
  <si>
    <t>Total_FBKF</t>
  </si>
  <si>
    <t>Gov_consumption</t>
  </si>
  <si>
    <t>Oil_GDP_real</t>
  </si>
  <si>
    <t>Balanza comercial bienes</t>
  </si>
  <si>
    <t>Balanza comercial / PIB</t>
  </si>
  <si>
    <t>Promedio 2000-2007</t>
  </si>
  <si>
    <t>Promedio 2008-2017</t>
  </si>
  <si>
    <t>trade balance</t>
  </si>
  <si>
    <t>Trade_balance</t>
  </si>
  <si>
    <t>GDP</t>
  </si>
  <si>
    <t>Private_externaldebt</t>
  </si>
  <si>
    <t>Public_externaldebt</t>
  </si>
  <si>
    <t>Public_internaldebt</t>
  </si>
  <si>
    <t>IVA</t>
  </si>
  <si>
    <t>ICE</t>
  </si>
  <si>
    <t>Al comercio y transacciones internacionales:</t>
  </si>
  <si>
    <t>Arancelarios</t>
  </si>
  <si>
    <t>A la salida del país (2)</t>
  </si>
  <si>
    <t>A la compra de divisas</t>
  </si>
  <si>
    <t>A los vehículos</t>
  </si>
  <si>
    <t>Otros</t>
  </si>
  <si>
    <t>bienes_servicios</t>
  </si>
  <si>
    <t>renta_empresas</t>
  </si>
  <si>
    <t>renta_personas</t>
  </si>
  <si>
    <t>renta_bce</t>
  </si>
  <si>
    <t>Consumption_taxreceipts</t>
  </si>
  <si>
    <t>Laborincome_taxreceipts</t>
  </si>
  <si>
    <t>Capitalincome_taxreceipts</t>
  </si>
  <si>
    <t>Income_taxreceipts</t>
  </si>
  <si>
    <t>rer</t>
  </si>
  <si>
    <t xml:space="preserve">2016 sd </t>
  </si>
  <si>
    <t>2017 p</t>
  </si>
  <si>
    <t>2018 p</t>
  </si>
  <si>
    <t>2019 p</t>
  </si>
  <si>
    <t>I_g</t>
  </si>
  <si>
    <t>I_p</t>
  </si>
  <si>
    <t>I_total</t>
  </si>
  <si>
    <t>OPERACIONES DEL SECTOR PUBLICO NO FINANCIERO (base devengado)</t>
  </si>
  <si>
    <t>2010(p)</t>
  </si>
  <si>
    <t>Total Ingresos</t>
  </si>
  <si>
    <t>Ingresos Petroleros</t>
  </si>
  <si>
    <t xml:space="preserve">    Exportación (1)</t>
  </si>
  <si>
    <t xml:space="preserve">    Venta Derivados</t>
  </si>
  <si>
    <t>Ingresos no petroleros</t>
  </si>
  <si>
    <t xml:space="preserve">      Ingresos tributarios</t>
  </si>
  <si>
    <t xml:space="preserve">               Impuesto a la renta</t>
  </si>
  <si>
    <t xml:space="preserve">               IVA</t>
  </si>
  <si>
    <t xml:space="preserve">               ICE</t>
  </si>
  <si>
    <t xml:space="preserve">               Arancelarios</t>
  </si>
  <si>
    <t xml:space="preserve">              Otros Impuestos</t>
  </si>
  <si>
    <t xml:space="preserve">      Contribuciones Seguridad Social</t>
  </si>
  <si>
    <t xml:space="preserve">      Otros </t>
  </si>
  <si>
    <t>Superávit operacional de empresas públicas no financieras</t>
  </si>
  <si>
    <t>GASTOS TOTALES  (2)</t>
  </si>
  <si>
    <t>Gastos corrientes</t>
  </si>
  <si>
    <t xml:space="preserve">      Intereses</t>
  </si>
  <si>
    <t xml:space="preserve">      Sueldos</t>
  </si>
  <si>
    <t xml:space="preserve">      Compra de bienes y servicios</t>
  </si>
  <si>
    <t xml:space="preserve">      Prestaciones de Seguridad Social</t>
  </si>
  <si>
    <t xml:space="preserve">      Otros (3)</t>
  </si>
  <si>
    <t>Gastos de capital</t>
  </si>
  <si>
    <t xml:space="preserve">      Formación bruta de capital fijo</t>
  </si>
  <si>
    <t xml:space="preserve">           Presupuesto General del Estado (6)</t>
  </si>
  <si>
    <t xml:space="preserve">           Resto del Gobierno General </t>
  </si>
  <si>
    <t xml:space="preserve">           Empresas públicas no financieras</t>
  </si>
  <si>
    <t xml:space="preserve">      Otros de capital</t>
  </si>
  <si>
    <t>AJUSTE DEL TESORO NACIONAL (4)</t>
  </si>
  <si>
    <t xml:space="preserve">RESULTADO GLOBAL </t>
  </si>
  <si>
    <t xml:space="preserve">    Reducción de personal</t>
  </si>
  <si>
    <t>RESULTADO GLOBAL + REDUCCION + FORTALECIMIENTO</t>
  </si>
  <si>
    <t>RESULTADO PRIMARIO</t>
  </si>
  <si>
    <t>Tipo de cambio 1US$ = S/     (5)</t>
  </si>
  <si>
    <r>
      <t>(1)</t>
    </r>
    <r>
      <rPr>
        <sz val="10"/>
        <rFont val="Arial"/>
        <family val="2"/>
      </rPr>
      <t xml:space="preserve"> Incluye recursos de los Fondos CEREPS, FEISEH hasta abril 2008 y se incluye desde enero 2008 fondos del CFDD.</t>
    </r>
  </si>
  <si>
    <r>
      <t xml:space="preserve">(2) </t>
    </r>
    <r>
      <rPr>
        <sz val="10"/>
        <rFont val="Arial"/>
        <family val="2"/>
      </rPr>
      <t>Los registros de gastos corresponden a valores devengados.</t>
    </r>
  </si>
  <si>
    <r>
      <t xml:space="preserve">(3) </t>
    </r>
    <r>
      <rPr>
        <sz val="10"/>
        <rFont val="Arial"/>
        <family val="2"/>
      </rPr>
      <t>A partir del 2008, incluye financiamiento CFDD con ingresos petroleros</t>
    </r>
  </si>
  <si>
    <r>
      <t>(4)</t>
    </r>
    <r>
      <rPr>
        <sz val="10"/>
        <rFont val="Arial"/>
        <family val="2"/>
      </rPr>
      <t xml:space="preserve"> Corresponden a gastos no ejecutados y reversados al Gobierno Central.</t>
    </r>
  </si>
  <si>
    <r>
      <rPr>
        <b/>
        <sz val="9"/>
        <rFont val="Calibri"/>
        <family val="2"/>
        <scheme val="minor"/>
      </rPr>
      <t>(6)</t>
    </r>
    <r>
      <rPr>
        <sz val="9"/>
        <rFont val="Calibri"/>
        <family val="2"/>
        <scheme val="minor"/>
      </rPr>
      <t xml:space="preserve"> Estructura del Sector Público,  de acuerdo a la constitución de la República del Ecuador del año 2008</t>
    </r>
  </si>
  <si>
    <t xml:space="preserve">2.2 OPERACIONES DEL SECTOR PÚBLICO NO FINANCIERO -BASE DEVENGADO- </t>
  </si>
  <si>
    <t>Millones de USD</t>
  </si>
  <si>
    <t>Mes</t>
  </si>
  <si>
    <t>2014 (p)</t>
  </si>
  <si>
    <t>2015 (p)</t>
  </si>
  <si>
    <t>2016 (p)</t>
  </si>
  <si>
    <t>2018 (p)</t>
  </si>
  <si>
    <t>2017 I (p)</t>
  </si>
  <si>
    <t>2017 II (p)</t>
  </si>
  <si>
    <t>2017 III (p)</t>
  </si>
  <si>
    <t>2017 IV (p)</t>
  </si>
  <si>
    <t>2018 I (p)</t>
  </si>
  <si>
    <t>2018 II (p)</t>
  </si>
  <si>
    <t>2018 III (p)</t>
  </si>
  <si>
    <t>2018 IV (p)</t>
  </si>
  <si>
    <t>2019 I (p)</t>
  </si>
  <si>
    <t>2019 II (p)</t>
  </si>
  <si>
    <t>2019 III (p)</t>
  </si>
  <si>
    <t>Octubre (p)</t>
  </si>
  <si>
    <t xml:space="preserve"> Ingresos tributarios</t>
  </si>
  <si>
    <t xml:space="preserve">    Impuesto a la renta</t>
  </si>
  <si>
    <t xml:space="preserve">    IVA</t>
  </si>
  <si>
    <t xml:space="preserve">    ICE</t>
  </si>
  <si>
    <t xml:space="preserve">    Arancelarios</t>
  </si>
  <si>
    <t xml:space="preserve">    Otros Impuestos</t>
  </si>
  <si>
    <t xml:space="preserve"> Contribuciones a la Seguridad Social</t>
  </si>
  <si>
    <t xml:space="preserve"> Otros </t>
  </si>
  <si>
    <t>Resultado Operacional de las Empresas Públicas</t>
  </si>
  <si>
    <t>Total Gastos (2)</t>
  </si>
  <si>
    <t>Gasto Corriente</t>
  </si>
  <si>
    <t xml:space="preserve">  Intereses</t>
  </si>
  <si>
    <t xml:space="preserve">     Externos</t>
  </si>
  <si>
    <t xml:space="preserve">     Internos</t>
  </si>
  <si>
    <t xml:space="preserve">  Sueldos y salarios</t>
  </si>
  <si>
    <t xml:space="preserve">  Compra de bienes y servicios</t>
  </si>
  <si>
    <t xml:space="preserve">  Prestaciones de la Seguridad Social </t>
  </si>
  <si>
    <t xml:space="preserve"> Otros (3)</t>
  </si>
  <si>
    <t>Gasto de Capital y préstamo neto</t>
  </si>
  <si>
    <t xml:space="preserve">  Formación bruta de capital</t>
  </si>
  <si>
    <t xml:space="preserve">      Presupuesto General del Estado (4)</t>
  </si>
  <si>
    <t xml:space="preserve">      Resto del Gobierno General </t>
  </si>
  <si>
    <t xml:space="preserve">      Empresas Públicas</t>
  </si>
  <si>
    <t xml:space="preserve">  Otro Gasto de Capital</t>
  </si>
  <si>
    <t>Resultado Global  (Sobre la línea)</t>
  </si>
  <si>
    <t xml:space="preserve">Resultado Primario </t>
  </si>
  <si>
    <r>
      <t>(1)</t>
    </r>
    <r>
      <rPr>
        <sz val="9"/>
        <rFont val="Calibri"/>
        <family val="2"/>
        <scheme val="minor"/>
      </rPr>
      <t>Se incluye desde enero 2008 fondos del CFDD.</t>
    </r>
  </si>
  <si>
    <r>
      <t xml:space="preserve">(2) </t>
    </r>
    <r>
      <rPr>
        <sz val="9"/>
        <rFont val="Calibri"/>
        <family val="2"/>
        <scheme val="minor"/>
      </rPr>
      <t>Los registros de gastos corresponden a valores devengados.</t>
    </r>
  </si>
  <si>
    <r>
      <t xml:space="preserve">(3) </t>
    </r>
    <r>
      <rPr>
        <sz val="9"/>
        <rFont val="Calibri"/>
        <family val="2"/>
        <scheme val="minor"/>
      </rPr>
      <t>A partir del 2008, incluye financiamiento CFDD con ingresos petroleros.</t>
    </r>
  </si>
  <si>
    <t>(4) Estructura del Sector Público,  de acuerdo a la constitución de la República del Ecuador del año 2008</t>
  </si>
  <si>
    <r>
      <t xml:space="preserve">(p) </t>
    </r>
    <r>
      <rPr>
        <sz val="9"/>
        <rFont val="Calibri"/>
        <family val="2"/>
        <scheme val="minor"/>
      </rPr>
      <t>Cifras provisionales.</t>
    </r>
  </si>
  <si>
    <r>
      <t>Fuente:</t>
    </r>
    <r>
      <rPr>
        <sz val="9"/>
        <rFont val="Calibri"/>
        <family val="2"/>
        <scheme val="minor"/>
      </rPr>
      <t xml:space="preserve"> Ministerio de Economía y Finanzas, y entidades del Sector Público no Financiero y Banco Central del Ecuador.</t>
    </r>
  </si>
  <si>
    <t>2018 I</t>
  </si>
  <si>
    <t>2018 II</t>
  </si>
  <si>
    <t>2018 III</t>
  </si>
  <si>
    <t>2018 IV</t>
  </si>
  <si>
    <t>2019 I</t>
  </si>
  <si>
    <t>2019 II</t>
  </si>
  <si>
    <t>2019 III</t>
  </si>
  <si>
    <t>SocialSecurity</t>
  </si>
  <si>
    <t>Others</t>
  </si>
  <si>
    <t>Gov_investment</t>
  </si>
  <si>
    <t>Gov_transfers_with_ss</t>
  </si>
  <si>
    <t>Gov_transfers_no_ss</t>
  </si>
  <si>
    <t>Hours</t>
  </si>
  <si>
    <t>EC_Y_Deflator</t>
  </si>
  <si>
    <t>Unemployment</t>
  </si>
  <si>
    <t>oil_production</t>
  </si>
  <si>
    <t>Government_debt</t>
  </si>
  <si>
    <t>Gov_Debt</t>
  </si>
  <si>
    <t>D_Gov_Debt</t>
  </si>
  <si>
    <t>Average daily barrels (thousands)</t>
  </si>
  <si>
    <t>Annualized production (million barrels)</t>
  </si>
  <si>
    <t>Annual average</t>
  </si>
  <si>
    <t>Revenue (million $)</t>
  </si>
  <si>
    <t>GDP Deflator USA</t>
  </si>
  <si>
    <t>Real annual average</t>
  </si>
  <si>
    <t>SD annual</t>
  </si>
  <si>
    <t>SD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</si>
</sst>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0_)"/>
    <numFmt numFmtId="165" formatCode="0.0_)"/>
    <numFmt numFmtId="166" formatCode="#,##0.0"/>
    <numFmt numFmtId="167" formatCode="General_)"/>
    <numFmt numFmtId="168" formatCode="yyyy\-mm\-dd"/>
    <numFmt numFmtId="169" formatCode="#,##0.0_ ;\-#,##0.0\ "/>
    <numFmt numFmtId="170" formatCode="_ * #,##0_ ;_ * \-#,##0_ ;_ * &quot;-&quot;_ ;_ @_ "/>
    <numFmt numFmtId="171" formatCode="_ * #,##0.00_ ;_ * \-#,##0.00_ ;_ * &quot;-&quot;??_ ;_ @_ "/>
    <numFmt numFmtId="172" formatCode="_ &quot;S/&quot;* #,##0_ ;_ &quot;S/&quot;* \-#,##0_ ;_ &quot;S/&quot;* &quot;-&quot;_ ;_ @_ "/>
    <numFmt numFmtId="173" formatCode="0.000"/>
    <numFmt numFmtId="174" formatCode="_-* #,##0.00_-;\-* #,##0.00_-;_-* &quot;-&quot;??_-;_-@_-"/>
    <numFmt numFmtId="175" formatCode="0.0%"/>
    <numFmt numFmtId="176" formatCode="_-* #,##0.0\ _€_-;\-* #,##0.0\ _€_-;_-* &quot;-&quot;??\ _€_-;_-@_-"/>
    <numFmt numFmtId="177" formatCode="#,##0.0_);\(#,##0.0\)"/>
    <numFmt numFmtId="178" formatCode="#,##0.00000"/>
    <numFmt numFmtId="179" formatCode="_ * #,##0.0_ ;_ * \-#,##0.0_ ;_ * &quot;-&quot;??_ ;_ @_ "/>
    <numFmt numFmtId="180" formatCode="#,##0.0&quot;&quot;;\-#,##0.0&quot;&quot;"/>
  </numFmts>
  <fonts count="51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sz val="12"/>
      <name val="Arial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9"/>
      <name val="Verdana"/>
      <family val="2"/>
    </font>
    <font>
      <b/>
      <u/>
      <sz val="8"/>
      <color indexed="9"/>
      <name val="Verdana"/>
      <family val="2"/>
    </font>
    <font>
      <u/>
      <sz val="8"/>
      <name val="Verdana"/>
      <family val="2"/>
    </font>
    <font>
      <sz val="8"/>
      <name val="Verdana"/>
      <family val="2"/>
    </font>
    <font>
      <sz val="8"/>
      <color indexed="9"/>
      <name val="Verdana"/>
      <family val="2"/>
    </font>
    <font>
      <sz val="8"/>
      <name val="Arial"/>
      <family val="2"/>
    </font>
    <font>
      <sz val="9"/>
      <color indexed="81"/>
      <name val="Tahoma"/>
      <family val="2"/>
    </font>
    <font>
      <sz val="12"/>
      <name val="Helv"/>
    </font>
    <font>
      <sz val="10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2"/>
      <color indexed="12"/>
      <name val="Helv"/>
    </font>
    <font>
      <u/>
      <sz val="12"/>
      <color indexed="36"/>
      <name val="Helv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ourier"/>
    </font>
    <font>
      <sz val="12"/>
      <color indexed="8"/>
      <name val="Arial"/>
      <family val="2"/>
    </font>
    <font>
      <i/>
      <sz val="10"/>
      <name val="Arial"/>
      <family val="2"/>
    </font>
    <font>
      <sz val="10"/>
      <color theme="3" tint="-0.499984740745262"/>
      <name val="Arial"/>
      <family val="2"/>
    </font>
    <font>
      <b/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2" fillId="0" borderId="0"/>
    <xf numFmtId="0" fontId="23" fillId="0" borderId="0" applyNumberFormat="0" applyFill="0" applyBorder="0" applyAlignment="0" applyProtection="0"/>
    <xf numFmtId="0" fontId="22" fillId="0" borderId="0"/>
    <xf numFmtId="0" fontId="30" fillId="0" borderId="0"/>
    <xf numFmtId="3" fontId="23" fillId="0" borderId="0" applyFill="0" applyBorder="0" applyAlignment="0" applyProtection="0"/>
    <xf numFmtId="0" fontId="23" fillId="0" borderId="0"/>
    <xf numFmtId="3" fontId="30" fillId="0" borderId="0" applyFill="0" applyBorder="0" applyAlignment="0" applyProtection="0"/>
    <xf numFmtId="171" fontId="3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170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9" fontId="13" fillId="0" borderId="0" applyFont="0" applyFill="0" applyBorder="0" applyAlignment="0" applyProtection="0"/>
    <xf numFmtId="37" fontId="37" fillId="0" borderId="0"/>
    <xf numFmtId="43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43" fontId="13" fillId="0" borderId="0" applyFont="0" applyFill="0" applyBorder="0" applyAlignment="0" applyProtection="0"/>
    <xf numFmtId="177" fontId="23" fillId="0" borderId="0"/>
    <xf numFmtId="43" fontId="23" fillId="0" borderId="0" applyFont="0" applyFill="0" applyBorder="0" applyAlignment="0" applyProtection="0"/>
    <xf numFmtId="0" fontId="23" fillId="0" borderId="0"/>
    <xf numFmtId="0" fontId="49" fillId="0" borderId="0"/>
    <xf numFmtId="3" fontId="49" fillId="0" borderId="0" applyFill="0" applyBorder="0" applyAlignment="0" applyProtection="0"/>
    <xf numFmtId="171" fontId="49" fillId="0" borderId="0" applyFont="0" applyFill="0" applyBorder="0" applyAlignment="0" applyProtection="0"/>
  </cellStyleXfs>
  <cellXfs count="265">
    <xf numFmtId="0" fontId="0" fillId="0" borderId="0" xfId="0"/>
    <xf numFmtId="164" fontId="1" fillId="0" borderId="0" xfId="1" applyNumberFormat="1" applyAlignment="1" applyProtection="1">
      <alignment horizontal="center" vertical="center"/>
    </xf>
    <xf numFmtId="165" fontId="2" fillId="0" borderId="0" xfId="0" applyNumberFormat="1" applyFont="1"/>
    <xf numFmtId="165" fontId="4" fillId="0" borderId="0" xfId="2" applyNumberFormat="1" applyFont="1" applyAlignment="1">
      <alignment horizontal="centerContinuous"/>
    </xf>
    <xf numFmtId="165" fontId="5" fillId="0" borderId="0" xfId="2" applyNumberFormat="1" applyFont="1" applyAlignment="1">
      <alignment horizontal="centerContinuous"/>
    </xf>
    <xf numFmtId="165" fontId="5" fillId="0" borderId="0" xfId="0" applyNumberFormat="1" applyFont="1"/>
    <xf numFmtId="165" fontId="6" fillId="0" borderId="0" xfId="2" applyNumberFormat="1" applyFont="1" applyAlignment="1">
      <alignment horizontal="centerContinuous"/>
    </xf>
    <xf numFmtId="165" fontId="6" fillId="0" borderId="0" xfId="2" quotePrefix="1" applyNumberFormat="1" applyFont="1" applyAlignment="1">
      <alignment horizontal="centerContinuous"/>
    </xf>
    <xf numFmtId="165" fontId="6" fillId="0" borderId="0" xfId="0" applyNumberFormat="1" applyFont="1"/>
    <xf numFmtId="165" fontId="7" fillId="2" borderId="1" xfId="2" applyNumberFormat="1" applyFont="1" applyFill="1" applyBorder="1" applyAlignment="1">
      <alignment vertical="center"/>
    </xf>
    <xf numFmtId="165" fontId="7" fillId="2" borderId="4" xfId="2" applyNumberFormat="1" applyFont="1" applyFill="1" applyBorder="1" applyAlignment="1">
      <alignment horizontal="right" vertical="top"/>
    </xf>
    <xf numFmtId="165" fontId="7" fillId="2" borderId="5" xfId="2" applyNumberFormat="1" applyFont="1" applyFill="1" applyBorder="1" applyAlignment="1">
      <alignment horizontal="center" vertical="center" wrapText="1"/>
    </xf>
    <xf numFmtId="165" fontId="7" fillId="2" borderId="6" xfId="2" applyNumberFormat="1" applyFont="1" applyFill="1" applyBorder="1" applyAlignment="1">
      <alignment horizontal="center" vertical="center" wrapText="1"/>
    </xf>
    <xf numFmtId="165" fontId="7" fillId="2" borderId="7" xfId="2" applyNumberFormat="1" applyFont="1" applyFill="1" applyBorder="1" applyAlignment="1">
      <alignment horizontal="left"/>
    </xf>
    <xf numFmtId="165" fontId="7" fillId="2" borderId="8" xfId="2" applyNumberFormat="1" applyFont="1" applyFill="1" applyBorder="1"/>
    <xf numFmtId="165" fontId="7" fillId="2" borderId="9" xfId="2" applyNumberFormat="1" applyFont="1" applyFill="1" applyBorder="1"/>
    <xf numFmtId="165" fontId="7" fillId="2" borderId="10" xfId="2" quotePrefix="1" applyNumberFormat="1" applyFont="1" applyFill="1" applyBorder="1" applyAlignment="1">
      <alignment horizontal="left"/>
    </xf>
    <xf numFmtId="166" fontId="8" fillId="2" borderId="11" xfId="2" applyNumberFormat="1" applyFont="1" applyFill="1" applyBorder="1"/>
    <xf numFmtId="166" fontId="8" fillId="2" borderId="12" xfId="2" applyNumberFormat="1" applyFont="1" applyFill="1" applyBorder="1"/>
    <xf numFmtId="165" fontId="7" fillId="2" borderId="13" xfId="2" applyNumberFormat="1" applyFont="1" applyFill="1" applyBorder="1" applyAlignment="1">
      <alignment horizontal="left"/>
    </xf>
    <xf numFmtId="3" fontId="8" fillId="0" borderId="11" xfId="2" applyNumberFormat="1" applyFont="1" applyBorder="1"/>
    <xf numFmtId="166" fontId="8" fillId="0" borderId="11" xfId="2" applyNumberFormat="1" applyFont="1" applyBorder="1"/>
    <xf numFmtId="166" fontId="8" fillId="0" borderId="12" xfId="2" applyNumberFormat="1" applyFont="1" applyBorder="1"/>
    <xf numFmtId="164" fontId="9" fillId="3" borderId="10" xfId="2" applyNumberFormat="1" applyFont="1" applyFill="1" applyBorder="1"/>
    <xf numFmtId="3" fontId="8" fillId="0" borderId="13" xfId="2" applyNumberFormat="1" applyFont="1" applyBorder="1"/>
    <xf numFmtId="166" fontId="8" fillId="0" borderId="13" xfId="2" applyNumberFormat="1" applyFont="1" applyBorder="1"/>
    <xf numFmtId="3" fontId="8" fillId="0" borderId="14" xfId="2" applyNumberFormat="1" applyFont="1" applyBorder="1"/>
    <xf numFmtId="166" fontId="8" fillId="0" borderId="14" xfId="2" applyNumberFormat="1" applyFont="1" applyBorder="1"/>
    <xf numFmtId="165" fontId="7" fillId="2" borderId="15" xfId="2" applyNumberFormat="1" applyFont="1" applyFill="1" applyBorder="1" applyAlignment="1">
      <alignment horizontal="left"/>
    </xf>
    <xf numFmtId="3" fontId="8" fillId="0" borderId="16" xfId="2" applyNumberFormat="1" applyFont="1" applyBorder="1"/>
    <xf numFmtId="3" fontId="8" fillId="0" borderId="15" xfId="2" applyNumberFormat="1" applyFont="1" applyBorder="1"/>
    <xf numFmtId="166" fontId="8" fillId="0" borderId="16" xfId="2" applyNumberFormat="1" applyFont="1" applyBorder="1"/>
    <xf numFmtId="165" fontId="9" fillId="0" borderId="0" xfId="0" applyNumberFormat="1" applyFont="1"/>
    <xf numFmtId="0" fontId="2" fillId="0" borderId="0" xfId="0" applyFont="1"/>
    <xf numFmtId="167" fontId="10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7" fontId="2" fillId="0" borderId="0" xfId="0" applyNumberFormat="1" applyFont="1" applyAlignment="1">
      <alignment horizontal="centerContinuous"/>
    </xf>
    <xf numFmtId="164" fontId="11" fillId="0" borderId="0" xfId="2" applyNumberFormat="1" applyFont="1" applyAlignment="1">
      <alignment horizontal="centerContinuous"/>
    </xf>
    <xf numFmtId="0" fontId="8" fillId="0" borderId="0" xfId="0" applyFont="1"/>
    <xf numFmtId="167" fontId="7" fillId="2" borderId="7" xfId="0" quotePrefix="1" applyNumberFormat="1" applyFont="1" applyFill="1" applyBorder="1" applyAlignment="1">
      <alignment horizontal="left"/>
    </xf>
    <xf numFmtId="167" fontId="7" fillId="2" borderId="8" xfId="0" applyNumberFormat="1" applyFont="1" applyFill="1" applyBorder="1" applyAlignment="1">
      <alignment horizontal="center"/>
    </xf>
    <xf numFmtId="167" fontId="7" fillId="2" borderId="8" xfId="0" quotePrefix="1" applyNumberFormat="1" applyFont="1" applyFill="1" applyBorder="1" applyAlignment="1">
      <alignment horizontal="center"/>
    </xf>
    <xf numFmtId="167" fontId="7" fillId="2" borderId="17" xfId="0" applyNumberFormat="1" applyFont="1" applyFill="1" applyBorder="1" applyAlignment="1">
      <alignment horizontal="center"/>
    </xf>
    <xf numFmtId="167" fontId="12" fillId="2" borderId="18" xfId="0" applyNumberFormat="1" applyFont="1" applyFill="1" applyBorder="1"/>
    <xf numFmtId="167" fontId="8" fillId="0" borderId="19" xfId="0" applyNumberFormat="1" applyFont="1" applyBorder="1"/>
    <xf numFmtId="167" fontId="8" fillId="0" borderId="20" xfId="0" applyNumberFormat="1" applyFont="1" applyBorder="1"/>
    <xf numFmtId="1" fontId="7" fillId="2" borderId="10" xfId="0" applyNumberFormat="1" applyFont="1" applyFill="1" applyBorder="1" applyAlignment="1">
      <alignment horizontal="left"/>
    </xf>
    <xf numFmtId="3" fontId="8" fillId="0" borderId="13" xfId="0" applyNumberFormat="1" applyFont="1" applyBorder="1" applyAlignment="1">
      <alignment horizontal="right"/>
    </xf>
    <xf numFmtId="1" fontId="7" fillId="2" borderId="13" xfId="0" applyNumberFormat="1" applyFont="1" applyFill="1" applyBorder="1" applyAlignment="1">
      <alignment horizontal="left"/>
    </xf>
    <xf numFmtId="3" fontId="8" fillId="0" borderId="14" xfId="0" applyNumberFormat="1" applyFont="1" applyBorder="1" applyAlignment="1">
      <alignment horizontal="right"/>
    </xf>
    <xf numFmtId="1" fontId="7" fillId="2" borderId="15" xfId="0" applyNumberFormat="1" applyFont="1" applyFill="1" applyBorder="1" applyAlignment="1">
      <alignment horizontal="left"/>
    </xf>
    <xf numFmtId="0" fontId="9" fillId="0" borderId="0" xfId="0" applyFont="1"/>
    <xf numFmtId="3" fontId="2" fillId="0" borderId="0" xfId="0" applyNumberFormat="1" applyFont="1"/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7" fillId="7" borderId="21" xfId="0" applyFont="1" applyFill="1" applyBorder="1" applyAlignment="1">
      <alignment vertical="top" wrapText="1"/>
    </xf>
    <xf numFmtId="0" fontId="18" fillId="7" borderId="21" xfId="0" applyFont="1" applyFill="1" applyBorder="1" applyAlignment="1">
      <alignment vertical="top" wrapText="1"/>
    </xf>
    <xf numFmtId="0" fontId="19" fillId="6" borderId="21" xfId="0" applyFont="1" applyFill="1" applyBorder="1" applyAlignment="1">
      <alignment horizontal="center" vertical="top" wrapText="1"/>
    </xf>
    <xf numFmtId="169" fontId="20" fillId="0" borderId="21" xfId="0" applyNumberFormat="1" applyFont="1" applyBorder="1" applyAlignment="1">
      <alignment horizontal="right"/>
    </xf>
    <xf numFmtId="169" fontId="20" fillId="8" borderId="21" xfId="0" applyNumberFormat="1" applyFont="1" applyFill="1" applyBorder="1" applyAlignment="1">
      <alignment horizontal="right"/>
    </xf>
    <xf numFmtId="17" fontId="0" fillId="0" borderId="0" xfId="0" applyNumberFormat="1"/>
    <xf numFmtId="0" fontId="0" fillId="0" borderId="25" xfId="0" applyBorder="1" applyAlignment="1">
      <alignment horizontal="right" vertical="center" wrapText="1"/>
    </xf>
    <xf numFmtId="2" fontId="23" fillId="0" borderId="0" xfId="3" applyNumberFormat="1" applyFont="1"/>
    <xf numFmtId="4" fontId="24" fillId="3" borderId="0" xfId="0" applyNumberFormat="1" applyFont="1" applyFill="1" applyAlignment="1">
      <alignment horizontal="center"/>
    </xf>
    <xf numFmtId="4" fontId="8" fillId="0" borderId="0" xfId="3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13" fillId="0" borderId="0" xfId="0" applyFont="1"/>
    <xf numFmtId="166" fontId="26" fillId="0" borderId="26" xfId="1" applyNumberFormat="1" applyFont="1" applyBorder="1" applyAlignment="1" applyProtection="1">
      <alignment horizontal="left" vertical="center"/>
    </xf>
    <xf numFmtId="0" fontId="14" fillId="0" borderId="0" xfId="0" applyFont="1"/>
    <xf numFmtId="0" fontId="25" fillId="0" borderId="0" xfId="4" applyFont="1" applyFill="1" applyBorder="1"/>
    <xf numFmtId="166" fontId="6" fillId="0" borderId="0" xfId="4" applyNumberFormat="1" applyFont="1" applyFill="1" applyBorder="1"/>
    <xf numFmtId="166" fontId="8" fillId="0" borderId="13" xfId="0" applyNumberFormat="1" applyFont="1" applyBorder="1" applyAlignment="1">
      <alignment horizontal="right"/>
    </xf>
    <xf numFmtId="166" fontId="0" fillId="0" borderId="0" xfId="0" applyNumberFormat="1"/>
    <xf numFmtId="166" fontId="14" fillId="0" borderId="0" xfId="0" applyNumberFormat="1" applyFont="1"/>
    <xf numFmtId="0" fontId="25" fillId="0" borderId="0" xfId="4" applyFont="1" applyFill="1"/>
    <xf numFmtId="166" fontId="13" fillId="0" borderId="0" xfId="0" applyNumberFormat="1" applyFont="1"/>
    <xf numFmtId="0" fontId="13" fillId="0" borderId="0" xfId="4" applyFont="1" applyFill="1"/>
    <xf numFmtId="0" fontId="27" fillId="3" borderId="0" xfId="4" applyFont="1" applyFill="1"/>
    <xf numFmtId="0" fontId="0" fillId="0" borderId="0" xfId="4" applyFont="1" applyFill="1"/>
    <xf numFmtId="0" fontId="28" fillId="0" borderId="0" xfId="4" applyFont="1" applyFill="1"/>
    <xf numFmtId="0" fontId="0" fillId="0" borderId="0" xfId="0" applyAlignment="1">
      <alignment horizontal="right" vertical="center" wrapText="1"/>
    </xf>
    <xf numFmtId="3" fontId="9" fillId="4" borderId="11" xfId="2" applyNumberFormat="1" applyFont="1" applyFill="1" applyBorder="1" applyAlignment="1">
      <alignment horizontal="right"/>
    </xf>
    <xf numFmtId="41" fontId="8" fillId="0" borderId="0" xfId="5" applyNumberFormat="1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3" fontId="9" fillId="0" borderId="0" xfId="6" applyNumberFormat="1" applyFont="1" applyAlignment="1">
      <alignment horizontal="right"/>
    </xf>
    <xf numFmtId="0" fontId="9" fillId="0" borderId="0" xfId="6" applyFont="1" applyAlignment="1">
      <alignment horizontal="left"/>
    </xf>
    <xf numFmtId="3" fontId="23" fillId="0" borderId="0" xfId="6" applyNumberFormat="1" applyFont="1" applyAlignment="1">
      <alignment horizontal="right"/>
    </xf>
    <xf numFmtId="3" fontId="31" fillId="0" borderId="0" xfId="6" applyNumberFormat="1" applyFont="1" applyAlignment="1">
      <alignment horizontal="right"/>
    </xf>
    <xf numFmtId="0" fontId="27" fillId="0" borderId="0" xfId="6" applyFont="1" applyAlignment="1">
      <alignment horizontal="left"/>
    </xf>
    <xf numFmtId="0" fontId="23" fillId="0" borderId="0" xfId="6" applyFont="1" applyAlignment="1">
      <alignment horizontal="left"/>
    </xf>
    <xf numFmtId="173" fontId="0" fillId="0" borderId="0" xfId="0" applyNumberFormat="1"/>
    <xf numFmtId="167" fontId="4" fillId="0" borderId="0" xfId="0" applyNumberFormat="1" applyFont="1" applyAlignment="1">
      <alignment horizontal="centerContinuous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167" fontId="7" fillId="2" borderId="18" xfId="0" quotePrefix="1" applyNumberFormat="1" applyFont="1" applyFill="1" applyBorder="1" applyAlignment="1">
      <alignment horizontal="right" vertical="top" wrapText="1"/>
    </xf>
    <xf numFmtId="167" fontId="7" fillId="2" borderId="19" xfId="0" applyNumberFormat="1" applyFont="1" applyFill="1" applyBorder="1" applyAlignment="1">
      <alignment horizontal="center" vertical="center" wrapText="1"/>
    </xf>
    <xf numFmtId="167" fontId="7" fillId="2" borderId="36" xfId="0" applyNumberFormat="1" applyFont="1" applyFill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right"/>
    </xf>
    <xf numFmtId="165" fontId="2" fillId="0" borderId="0" xfId="2" applyNumberFormat="1" applyFont="1" applyAlignment="1">
      <alignment horizontal="centerContinuous"/>
    </xf>
    <xf numFmtId="165" fontId="2" fillId="0" borderId="0" xfId="2" quotePrefix="1" applyNumberFormat="1" applyFont="1" applyAlignment="1">
      <alignment horizontal="centerContinuous"/>
    </xf>
    <xf numFmtId="165" fontId="12" fillId="2" borderId="27" xfId="2" applyNumberFormat="1" applyFont="1" applyFill="1" applyBorder="1" applyAlignment="1">
      <alignment horizontal="center"/>
    </xf>
    <xf numFmtId="165" fontId="8" fillId="0" borderId="0" xfId="0" applyNumberFormat="1" applyFont="1"/>
    <xf numFmtId="165" fontId="7" fillId="2" borderId="15" xfId="2" applyNumberFormat="1" applyFont="1" applyFill="1" applyBorder="1" applyAlignment="1">
      <alignment vertical="center"/>
    </xf>
    <xf numFmtId="164" fontId="7" fillId="2" borderId="10" xfId="2" applyNumberFormat="1" applyFont="1" applyFill="1" applyBorder="1" applyAlignment="1">
      <alignment horizontal="left"/>
    </xf>
    <xf numFmtId="3" fontId="8" fillId="0" borderId="11" xfId="2" applyNumberFormat="1" applyFont="1" applyBorder="1" applyAlignment="1">
      <alignment horizontal="right"/>
    </xf>
    <xf numFmtId="166" fontId="8" fillId="0" borderId="11" xfId="2" applyNumberFormat="1" applyFont="1" applyBorder="1" applyAlignment="1">
      <alignment horizontal="right"/>
    </xf>
    <xf numFmtId="166" fontId="8" fillId="0" borderId="12" xfId="2" applyNumberFormat="1" applyFont="1" applyBorder="1" applyAlignment="1">
      <alignment horizontal="right"/>
    </xf>
    <xf numFmtId="3" fontId="8" fillId="0" borderId="13" xfId="2" applyNumberFormat="1" applyFont="1" applyBorder="1" applyAlignment="1">
      <alignment horizontal="right"/>
    </xf>
    <xf numFmtId="166" fontId="8" fillId="0" borderId="13" xfId="2" applyNumberFormat="1" applyFont="1" applyBorder="1" applyAlignment="1">
      <alignment horizontal="right"/>
    </xf>
    <xf numFmtId="3" fontId="8" fillId="0" borderId="15" xfId="2" applyNumberFormat="1" applyFont="1" applyBorder="1" applyAlignment="1">
      <alignment horizontal="right"/>
    </xf>
    <xf numFmtId="166" fontId="8" fillId="0" borderId="15" xfId="2" applyNumberFormat="1" applyFont="1" applyBorder="1" applyAlignment="1">
      <alignment horizontal="right"/>
    </xf>
    <xf numFmtId="0" fontId="35" fillId="0" borderId="0" xfId="0" applyFont="1"/>
    <xf numFmtId="165" fontId="36" fillId="2" borderId="5" xfId="2" applyNumberFormat="1" applyFont="1" applyFill="1" applyBorder="1" applyAlignment="1">
      <alignment horizontal="center" vertical="center" wrapText="1"/>
    </xf>
    <xf numFmtId="165" fontId="36" fillId="2" borderId="6" xfId="2" applyNumberFormat="1" applyFont="1" applyFill="1" applyBorder="1" applyAlignment="1">
      <alignment horizontal="center" vertical="center" wrapText="1"/>
    </xf>
    <xf numFmtId="165" fontId="36" fillId="2" borderId="0" xfId="2" applyNumberFormat="1" applyFont="1" applyFill="1" applyAlignment="1">
      <alignment horizontal="center" vertical="center" wrapText="1"/>
    </xf>
    <xf numFmtId="169" fontId="20" fillId="0" borderId="0" xfId="0" applyNumberFormat="1" applyFont="1" applyAlignment="1">
      <alignment horizontal="right"/>
    </xf>
    <xf numFmtId="166" fontId="8" fillId="0" borderId="0" xfId="16" applyNumberFormat="1" applyFont="1"/>
    <xf numFmtId="4" fontId="38" fillId="0" borderId="0" xfId="0" applyNumberFormat="1" applyFont="1"/>
    <xf numFmtId="4" fontId="38" fillId="0" borderId="0" xfId="16" applyNumberFormat="1" applyFont="1"/>
    <xf numFmtId="175" fontId="0" fillId="0" borderId="0" xfId="15" applyNumberFormat="1" applyFont="1"/>
    <xf numFmtId="175" fontId="0" fillId="0" borderId="0" xfId="0" applyNumberFormat="1"/>
    <xf numFmtId="10" fontId="0" fillId="0" borderId="0" xfId="0" applyNumberFormat="1"/>
    <xf numFmtId="3" fontId="8" fillId="0" borderId="0" xfId="0" applyNumberFormat="1" applyFont="1"/>
    <xf numFmtId="176" fontId="23" fillId="0" borderId="0" xfId="19" applyNumberFormat="1" applyFont="1" applyFill="1" applyBorder="1" applyAlignment="1">
      <alignment horizontal="right" wrapText="1"/>
    </xf>
    <xf numFmtId="166" fontId="23" fillId="0" borderId="0" xfId="20" applyNumberFormat="1" applyAlignment="1">
      <alignment horizontal="center"/>
    </xf>
    <xf numFmtId="166" fontId="3" fillId="0" borderId="0" xfId="19" applyNumberFormat="1" applyFont="1" applyFill="1" applyBorder="1" applyAlignment="1">
      <alignment horizontal="right" wrapText="1"/>
    </xf>
    <xf numFmtId="176" fontId="3" fillId="0" borderId="0" xfId="19" applyNumberFormat="1" applyFont="1" applyFill="1" applyBorder="1" applyAlignment="1">
      <alignment horizontal="right" wrapText="1"/>
    </xf>
    <xf numFmtId="176" fontId="8" fillId="0" borderId="0" xfId="19" applyNumberFormat="1" applyFont="1" applyFill="1" applyBorder="1" applyAlignment="1">
      <alignment horizontal="right" wrapText="1"/>
    </xf>
    <xf numFmtId="166" fontId="23" fillId="0" borderId="0" xfId="20" applyNumberFormat="1"/>
    <xf numFmtId="4" fontId="23" fillId="0" borderId="0" xfId="4" applyNumberFormat="1" applyBorder="1"/>
    <xf numFmtId="176" fontId="31" fillId="0" borderId="0" xfId="19" applyNumberFormat="1" applyFont="1" applyFill="1" applyBorder="1" applyAlignment="1">
      <alignment horizontal="right" wrapText="1"/>
    </xf>
    <xf numFmtId="0" fontId="0" fillId="0" borderId="37" xfId="0" applyBorder="1" applyAlignment="1">
      <alignment horizontal="right" vertical="center" wrapText="1"/>
    </xf>
    <xf numFmtId="0" fontId="0" fillId="0" borderId="38" xfId="0" applyBorder="1" applyAlignment="1">
      <alignment vertical="center" wrapText="1"/>
    </xf>
    <xf numFmtId="0" fontId="0" fillId="0" borderId="37" xfId="0" applyBorder="1" applyAlignment="1">
      <alignment horizontal="left" vertical="center" wrapText="1"/>
    </xf>
    <xf numFmtId="4" fontId="23" fillId="0" borderId="0" xfId="0" applyNumberFormat="1" applyFont="1" applyAlignment="1">
      <alignment horizontal="right"/>
    </xf>
    <xf numFmtId="4" fontId="23" fillId="0" borderId="0" xfId="4" applyNumberFormat="1" applyBorder="1" applyAlignment="1">
      <alignment horizontal="right"/>
    </xf>
    <xf numFmtId="166" fontId="8" fillId="0" borderId="0" xfId="4" applyNumberFormat="1" applyFont="1" applyFill="1" applyBorder="1"/>
    <xf numFmtId="3" fontId="23" fillId="0" borderId="14" xfId="0" applyNumberFormat="1" applyFont="1" applyBorder="1"/>
    <xf numFmtId="3" fontId="39" fillId="0" borderId="14" xfId="17" applyNumberFormat="1" applyFont="1" applyBorder="1" applyAlignment="1">
      <alignment vertical="center"/>
    </xf>
    <xf numFmtId="3" fontId="39" fillId="0" borderId="13" xfId="17" applyNumberFormat="1" applyFont="1" applyBorder="1" applyAlignment="1">
      <alignment vertical="center"/>
    </xf>
    <xf numFmtId="3" fontId="39" fillId="0" borderId="14" xfId="19" applyNumberFormat="1" applyFont="1" applyBorder="1" applyAlignment="1">
      <alignment vertical="center"/>
    </xf>
    <xf numFmtId="3" fontId="39" fillId="0" borderId="13" xfId="19" applyNumberFormat="1" applyFont="1" applyBorder="1" applyAlignment="1">
      <alignment vertical="center"/>
    </xf>
    <xf numFmtId="3" fontId="39" fillId="0" borderId="14" xfId="21" applyNumberFormat="1" applyFont="1" applyBorder="1" applyAlignment="1">
      <alignment vertical="center"/>
    </xf>
    <xf numFmtId="3" fontId="39" fillId="0" borderId="13" xfId="21" applyNumberFormat="1" applyFont="1" applyBorder="1" applyAlignment="1">
      <alignment vertical="center"/>
    </xf>
    <xf numFmtId="37" fontId="23" fillId="0" borderId="14" xfId="21" applyNumberFormat="1" applyFont="1" applyBorder="1" applyAlignment="1">
      <alignment vertical="center"/>
    </xf>
    <xf numFmtId="3" fontId="40" fillId="0" borderId="39" xfId="21" applyNumberFormat="1" applyFont="1" applyFill="1" applyBorder="1"/>
    <xf numFmtId="3" fontId="0" fillId="0" borderId="0" xfId="0" applyNumberFormat="1"/>
    <xf numFmtId="0" fontId="25" fillId="0" borderId="13" xfId="0" applyFont="1" applyBorder="1" applyAlignment="1">
      <alignment horizontal="left"/>
    </xf>
    <xf numFmtId="3" fontId="6" fillId="0" borderId="13" xfId="0" applyNumberFormat="1" applyFont="1" applyBorder="1"/>
    <xf numFmtId="3" fontId="6" fillId="0" borderId="14" xfId="0" applyNumberFormat="1" applyFont="1" applyBorder="1"/>
    <xf numFmtId="3" fontId="25" fillId="0" borderId="13" xfId="0" applyNumberFormat="1" applyFont="1" applyBorder="1"/>
    <xf numFmtId="0" fontId="25" fillId="0" borderId="15" xfId="0" applyFont="1" applyBorder="1" applyAlignment="1">
      <alignment horizontal="left"/>
    </xf>
    <xf numFmtId="3" fontId="6" fillId="0" borderId="15" xfId="0" applyNumberFormat="1" applyFont="1" applyBorder="1"/>
    <xf numFmtId="3" fontId="6" fillId="0" borderId="16" xfId="0" applyNumberFormat="1" applyFont="1" applyBorder="1"/>
    <xf numFmtId="3" fontId="25" fillId="0" borderId="15" xfId="0" applyNumberFormat="1" applyFont="1" applyBorder="1"/>
    <xf numFmtId="0" fontId="41" fillId="9" borderId="27" xfId="0" applyFont="1" applyFill="1" applyBorder="1" applyAlignment="1">
      <alignment horizontal="center"/>
    </xf>
    <xf numFmtId="0" fontId="41" fillId="9" borderId="35" xfId="0" applyFont="1" applyFill="1" applyBorder="1" applyAlignment="1">
      <alignment horizontal="center"/>
    </xf>
    <xf numFmtId="166" fontId="25" fillId="0" borderId="0" xfId="4" applyNumberFormat="1" applyFont="1" applyAlignment="1">
      <alignment horizontal="left"/>
    </xf>
    <xf numFmtId="166" fontId="25" fillId="0" borderId="0" xfId="4" applyNumberFormat="1" applyFont="1" applyBorder="1" applyAlignment="1">
      <alignment horizontal="left"/>
    </xf>
    <xf numFmtId="0" fontId="25" fillId="0" borderId="0" xfId="4" applyFont="1" applyBorder="1" applyAlignment="1">
      <alignment horizontal="left"/>
    </xf>
    <xf numFmtId="166" fontId="6" fillId="0" borderId="1" xfId="4" applyNumberFormat="1" applyFont="1" applyFill="1" applyBorder="1" applyAlignment="1">
      <alignment horizontal="right"/>
    </xf>
    <xf numFmtId="166" fontId="6" fillId="0" borderId="2" xfId="4" applyNumberFormat="1" applyFont="1" applyFill="1" applyBorder="1" applyAlignment="1">
      <alignment horizontal="right"/>
    </xf>
    <xf numFmtId="166" fontId="6" fillId="0" borderId="2" xfId="4" applyNumberFormat="1" applyFont="1" applyFill="1" applyBorder="1" applyAlignment="1">
      <alignment horizontal="right" vertical="center"/>
    </xf>
    <xf numFmtId="166" fontId="6" fillId="0" borderId="26" xfId="4" applyNumberFormat="1" applyFont="1" applyFill="1" applyBorder="1" applyAlignment="1">
      <alignment horizontal="right" vertical="center"/>
    </xf>
    <xf numFmtId="0" fontId="6" fillId="0" borderId="0" xfId="4" applyFont="1"/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4" applyFont="1" applyFill="1" applyBorder="1"/>
    <xf numFmtId="0" fontId="25" fillId="0" borderId="0" xfId="4" applyFont="1"/>
    <xf numFmtId="0" fontId="8" fillId="0" borderId="0" xfId="4" applyFont="1" applyFill="1" applyBorder="1"/>
    <xf numFmtId="0" fontId="25" fillId="0" borderId="0" xfId="4" applyFont="1" applyAlignment="1">
      <alignment vertical="center" wrapText="1"/>
    </xf>
    <xf numFmtId="166" fontId="8" fillId="0" borderId="0" xfId="4" applyNumberFormat="1" applyFont="1" applyFill="1" applyAlignment="1">
      <alignment horizontal="left"/>
    </xf>
    <xf numFmtId="178" fontId="14" fillId="0" borderId="0" xfId="0" applyNumberFormat="1" applyFont="1"/>
    <xf numFmtId="0" fontId="13" fillId="0" borderId="30" xfId="0" applyFont="1" applyBorder="1"/>
    <xf numFmtId="166" fontId="13" fillId="0" borderId="30" xfId="0" applyNumberFormat="1" applyFont="1" applyBorder="1"/>
    <xf numFmtId="0" fontId="8" fillId="0" borderId="0" xfId="0" applyFont="1" applyAlignment="1">
      <alignment horizontal="left"/>
    </xf>
    <xf numFmtId="0" fontId="43" fillId="0" borderId="0" xfId="0" applyFont="1" applyAlignment="1">
      <alignment horizontal="left" vertical="top"/>
    </xf>
    <xf numFmtId="0" fontId="9" fillId="0" borderId="0" xfId="4" applyFont="1" applyFill="1" applyAlignment="1">
      <alignment horizontal="left"/>
    </xf>
    <xf numFmtId="0" fontId="25" fillId="0" borderId="0" xfId="4" applyFont="1" applyFill="1" applyBorder="1" applyAlignment="1">
      <alignment horizontal="left"/>
    </xf>
    <xf numFmtId="0" fontId="25" fillId="0" borderId="0" xfId="4" applyFont="1" applyFill="1" applyBorder="1" applyAlignment="1"/>
    <xf numFmtId="0" fontId="6" fillId="0" borderId="0" xfId="0" applyFont="1"/>
    <xf numFmtId="0" fontId="9" fillId="0" borderId="0" xfId="4" applyFont="1" applyFill="1" applyBorder="1" applyAlignment="1"/>
    <xf numFmtId="0" fontId="9" fillId="0" borderId="28" xfId="0" applyFont="1" applyBorder="1" applyAlignment="1">
      <alignment horizontal="center" vertical="center"/>
    </xf>
    <xf numFmtId="0" fontId="9" fillId="0" borderId="28" xfId="4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" xfId="4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/>
    </xf>
    <xf numFmtId="0" fontId="9" fillId="0" borderId="0" xfId="4" applyFont="1" applyFill="1" applyBorder="1" applyAlignment="1">
      <alignment horizontal="left"/>
    </xf>
    <xf numFmtId="0" fontId="9" fillId="0" borderId="0" xfId="4" applyFont="1" applyFill="1" applyBorder="1" applyAlignment="1">
      <alignment horizontal="center" vertical="center" wrapText="1"/>
    </xf>
    <xf numFmtId="166" fontId="9" fillId="0" borderId="0" xfId="4" applyNumberFormat="1" applyFont="1" applyFill="1" applyAlignment="1">
      <alignment horizontal="left"/>
    </xf>
    <xf numFmtId="166" fontId="9" fillId="0" borderId="0" xfId="19" applyNumberFormat="1" applyFont="1" applyFill="1" applyAlignment="1">
      <alignment horizontal="right"/>
    </xf>
    <xf numFmtId="166" fontId="8" fillId="0" borderId="0" xfId="19" applyNumberFormat="1" applyFont="1" applyFill="1" applyAlignment="1">
      <alignment horizontal="right"/>
    </xf>
    <xf numFmtId="166" fontId="9" fillId="0" borderId="0" xfId="4" applyNumberFormat="1" applyFont="1" applyFill="1" applyAlignment="1">
      <alignment horizontal="left" wrapText="1"/>
    </xf>
    <xf numFmtId="166" fontId="9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0" fontId="8" fillId="0" borderId="26" xfId="4" applyFont="1" applyFill="1" applyBorder="1" applyAlignment="1">
      <alignment horizontal="left"/>
    </xf>
    <xf numFmtId="179" fontId="9" fillId="0" borderId="26" xfId="19" applyNumberFormat="1" applyFont="1" applyFill="1" applyBorder="1"/>
    <xf numFmtId="166" fontId="9" fillId="0" borderId="26" xfId="19" applyNumberFormat="1" applyFont="1" applyFill="1" applyBorder="1"/>
    <xf numFmtId="0" fontId="44" fillId="0" borderId="0" xfId="4" applyFont="1" applyFill="1" applyAlignment="1">
      <alignment horizontal="left"/>
    </xf>
    <xf numFmtId="171" fontId="28" fillId="0" borderId="0" xfId="4" applyNumberFormat="1" applyFont="1" applyFill="1"/>
    <xf numFmtId="0" fontId="28" fillId="0" borderId="0" xfId="0" applyFont="1"/>
    <xf numFmtId="166" fontId="9" fillId="0" borderId="0" xfId="4" applyNumberFormat="1" applyFont="1" applyFill="1"/>
    <xf numFmtId="0" fontId="45" fillId="0" borderId="0" xfId="4" applyFont="1" applyFill="1" applyAlignment="1">
      <alignment horizontal="left"/>
    </xf>
    <xf numFmtId="4" fontId="28" fillId="0" borderId="0" xfId="0" applyNumberFormat="1" applyFont="1"/>
    <xf numFmtId="0" fontId="46" fillId="0" borderId="0" xfId="0" applyFont="1" applyAlignment="1">
      <alignment horizontal="right" vertical="center"/>
    </xf>
    <xf numFmtId="180" fontId="47" fillId="3" borderId="28" xfId="22" applyNumberFormat="1" applyFont="1" applyFill="1" applyBorder="1" applyAlignment="1">
      <alignment horizontal="center" vertical="center"/>
    </xf>
    <xf numFmtId="180" fontId="48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right"/>
    </xf>
    <xf numFmtId="3" fontId="31" fillId="0" borderId="0" xfId="23" applyNumberFormat="1" applyFont="1" applyAlignment="1">
      <alignment horizontal="right"/>
    </xf>
    <xf numFmtId="3" fontId="50" fillId="0" borderId="0" xfId="0" applyNumberFormat="1" applyFont="1"/>
    <xf numFmtId="3" fontId="24" fillId="0" borderId="0" xfId="0" applyNumberFormat="1" applyFont="1" applyAlignment="1">
      <alignment horizontal="right"/>
    </xf>
    <xf numFmtId="3" fontId="28" fillId="0" borderId="0" xfId="0" applyNumberFormat="1" applyFont="1"/>
    <xf numFmtId="3" fontId="28" fillId="0" borderId="0" xfId="0" applyNumberFormat="1" applyFont="1" applyAlignment="1">
      <alignment horizontal="right"/>
    </xf>
    <xf numFmtId="3" fontId="24" fillId="0" borderId="0" xfId="0" applyNumberFormat="1" applyFont="1"/>
    <xf numFmtId="3" fontId="23" fillId="0" borderId="0" xfId="0" applyNumberFormat="1" applyFont="1"/>
    <xf numFmtId="0" fontId="41" fillId="9" borderId="14" xfId="0" applyFont="1" applyFill="1" applyBorder="1" applyAlignment="1">
      <alignment horizontal="center"/>
    </xf>
    <xf numFmtId="165" fontId="7" fillId="2" borderId="1" xfId="2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center" vertical="center"/>
    </xf>
    <xf numFmtId="165" fontId="7" fillId="2" borderId="3" xfId="2" applyNumberFormat="1" applyFont="1" applyFill="1" applyBorder="1" applyAlignment="1">
      <alignment horizontal="center" vertical="center"/>
    </xf>
    <xf numFmtId="165" fontId="7" fillId="2" borderId="1" xfId="2" quotePrefix="1" applyNumberFormat="1" applyFont="1" applyFill="1" applyBorder="1" applyAlignment="1">
      <alignment horizontal="center" vertical="center"/>
    </xf>
    <xf numFmtId="165" fontId="7" fillId="2" borderId="2" xfId="2" quotePrefix="1" applyNumberFormat="1" applyFont="1" applyFill="1" applyBorder="1" applyAlignment="1">
      <alignment horizontal="center" vertical="center"/>
    </xf>
    <xf numFmtId="165" fontId="7" fillId="2" borderId="3" xfId="2" quotePrefix="1" applyNumberFormat="1" applyFont="1" applyFill="1" applyBorder="1" applyAlignment="1">
      <alignment horizontal="center" vertical="center"/>
    </xf>
    <xf numFmtId="165" fontId="7" fillId="2" borderId="33" xfId="2" applyNumberFormat="1" applyFont="1" applyFill="1" applyBorder="1" applyAlignment="1">
      <alignment horizontal="center" vertical="center"/>
    </xf>
    <xf numFmtId="165" fontId="7" fillId="2" borderId="34" xfId="2" applyNumberFormat="1" applyFont="1" applyFill="1" applyBorder="1" applyAlignment="1">
      <alignment horizontal="center" vertical="center"/>
    </xf>
    <xf numFmtId="165" fontId="7" fillId="2" borderId="35" xfId="2" applyNumberFormat="1" applyFont="1" applyFill="1" applyBorder="1" applyAlignment="1">
      <alignment horizontal="center" vertical="center"/>
    </xf>
    <xf numFmtId="165" fontId="7" fillId="2" borderId="29" xfId="2" applyNumberFormat="1" applyFont="1" applyFill="1" applyBorder="1" applyAlignment="1">
      <alignment horizontal="center" vertical="center"/>
    </xf>
    <xf numFmtId="165" fontId="7" fillId="2" borderId="26" xfId="2" applyNumberFormat="1" applyFont="1" applyFill="1" applyBorder="1" applyAlignment="1">
      <alignment horizontal="center" vertical="center"/>
    </xf>
    <xf numFmtId="165" fontId="7" fillId="2" borderId="16" xfId="2" applyNumberFormat="1" applyFont="1" applyFill="1" applyBorder="1" applyAlignment="1">
      <alignment horizontal="center" vertical="center"/>
    </xf>
    <xf numFmtId="165" fontId="34" fillId="2" borderId="1" xfId="2" applyNumberFormat="1" applyFont="1" applyFill="1" applyBorder="1" applyAlignment="1">
      <alignment horizontal="center" vertical="center"/>
    </xf>
    <xf numFmtId="165" fontId="34" fillId="2" borderId="2" xfId="2" applyNumberFormat="1" applyFont="1" applyFill="1" applyBorder="1" applyAlignment="1">
      <alignment horizontal="center" vertical="center"/>
    </xf>
    <xf numFmtId="165" fontId="34" fillId="2" borderId="3" xfId="2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right" vertical="top" wrapText="1"/>
    </xf>
    <xf numFmtId="0" fontId="15" fillId="5" borderId="23" xfId="0" applyFont="1" applyFill="1" applyBorder="1" applyAlignment="1">
      <alignment horizontal="right" vertical="top" wrapText="1"/>
    </xf>
    <xf numFmtId="0" fontId="16" fillId="5" borderId="22" xfId="0" applyFont="1" applyFill="1" applyBorder="1" applyAlignment="1">
      <alignment horizontal="right" vertical="top" wrapText="1"/>
    </xf>
    <xf numFmtId="0" fontId="16" fillId="5" borderId="23" xfId="0" applyFont="1" applyFill="1" applyBorder="1" applyAlignment="1">
      <alignment horizontal="right" vertical="top" wrapText="1"/>
    </xf>
    <xf numFmtId="0" fontId="15" fillId="6" borderId="22" xfId="0" applyFont="1" applyFill="1" applyBorder="1" applyAlignment="1">
      <alignment horizontal="right" vertical="center" wrapText="1"/>
    </xf>
    <xf numFmtId="0" fontId="15" fillId="6" borderId="23" xfId="0" applyFont="1" applyFill="1" applyBorder="1" applyAlignment="1">
      <alignment horizontal="right" vertical="center" wrapText="1"/>
    </xf>
    <xf numFmtId="0" fontId="19" fillId="5" borderId="22" xfId="0" applyFont="1" applyFill="1" applyBorder="1" applyAlignment="1">
      <alignment vertical="top" wrapText="1"/>
    </xf>
    <xf numFmtId="0" fontId="19" fillId="5" borderId="23" xfId="0" applyFont="1" applyFill="1" applyBorder="1" applyAlignment="1">
      <alignment vertical="top" wrapText="1"/>
    </xf>
    <xf numFmtId="0" fontId="19" fillId="5" borderId="24" xfId="0" applyFont="1" applyFill="1" applyBorder="1" applyAlignment="1">
      <alignment vertical="top" wrapText="1"/>
    </xf>
    <xf numFmtId="0" fontId="9" fillId="0" borderId="28" xfId="4" applyFont="1" applyFill="1" applyBorder="1" applyAlignment="1">
      <alignment horizontal="left" vertical="center" wrapText="1"/>
    </xf>
    <xf numFmtId="0" fontId="9" fillId="0" borderId="2" xfId="4" applyFont="1" applyFill="1" applyBorder="1" applyAlignment="1">
      <alignment horizontal="center" vertical="center" wrapText="1"/>
    </xf>
    <xf numFmtId="0" fontId="9" fillId="0" borderId="3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6" fontId="25" fillId="0" borderId="1" xfId="4" applyNumberFormat="1" applyFont="1" applyBorder="1" applyAlignment="1">
      <alignment horizontal="center" vertical="center"/>
    </xf>
    <xf numFmtId="166" fontId="25" fillId="0" borderId="2" xfId="4" applyNumberFormat="1" applyFont="1" applyBorder="1" applyAlignment="1">
      <alignment horizontal="center" vertical="center"/>
    </xf>
    <xf numFmtId="166" fontId="25" fillId="0" borderId="3" xfId="4" applyNumberFormat="1" applyFont="1" applyBorder="1" applyAlignment="1">
      <alignment horizontal="center" vertical="center"/>
    </xf>
    <xf numFmtId="166" fontId="25" fillId="0" borderId="28" xfId="4" applyNumberFormat="1" applyFont="1" applyBorder="1" applyAlignment="1">
      <alignment horizontal="center" vertical="center"/>
    </xf>
    <xf numFmtId="0" fontId="25" fillId="0" borderId="1" xfId="4" applyNumberFormat="1" applyFont="1" applyBorder="1" applyAlignment="1">
      <alignment horizontal="center" vertical="center"/>
    </xf>
    <xf numFmtId="0" fontId="25" fillId="0" borderId="2" xfId="4" applyNumberFormat="1" applyFont="1" applyBorder="1" applyAlignment="1">
      <alignment horizontal="center" vertical="center"/>
    </xf>
    <xf numFmtId="0" fontId="25" fillId="0" borderId="3" xfId="4" applyNumberFormat="1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27" fillId="0" borderId="31" xfId="6" applyFont="1" applyBorder="1" applyAlignment="1">
      <alignment horizontal="center" vertical="center" wrapText="1"/>
    </xf>
    <xf numFmtId="0" fontId="27" fillId="0" borderId="28" xfId="6" applyFont="1" applyBorder="1" applyAlignment="1">
      <alignment horizontal="center" vertical="center" wrapText="1"/>
    </xf>
    <xf numFmtId="0" fontId="27" fillId="0" borderId="32" xfId="6" applyFont="1" applyBorder="1" applyAlignment="1">
      <alignment horizontal="center" vertical="center" wrapText="1"/>
    </xf>
    <xf numFmtId="0" fontId="27" fillId="0" borderId="28" xfId="6" applyFont="1" applyBorder="1" applyAlignment="1">
      <alignment horizontal="center"/>
    </xf>
    <xf numFmtId="0" fontId="27" fillId="0" borderId="32" xfId="6" applyFont="1" applyBorder="1" applyAlignment="1">
      <alignment horizontal="center"/>
    </xf>
    <xf numFmtId="179" fontId="8" fillId="10" borderId="0" xfId="19" applyNumberFormat="1" applyFont="1" applyFill="1" applyBorder="1"/>
    <xf numFmtId="43" fontId="0" fillId="0" borderId="0" xfId="0" applyNumberFormat="1"/>
  </cellXfs>
  <cellStyles count="26">
    <cellStyle name="ANCLAS,REZONES Y SUS PARTES,DE FUNDICION,DE HIERRO O DE ACERO" xfId="4" xr:uid="{00000000-0005-0000-0000-000000000000}"/>
    <cellStyle name="Comma" xfId="19" builtinId="3"/>
    <cellStyle name="Comma 2" xfId="10" xr:uid="{00000000-0005-0000-0000-000001000000}"/>
    <cellStyle name="Comma 3" xfId="17" xr:uid="{00000000-0005-0000-0000-000002000000}"/>
    <cellStyle name="Comma 4" xfId="18" xr:uid="{00000000-0005-0000-0000-000003000000}"/>
    <cellStyle name="Comma 5" xfId="25" xr:uid="{7FA52DBE-2629-46F5-9AB4-0D1525B3D9DA}"/>
    <cellStyle name="Comma0" xfId="7" xr:uid="{00000000-0005-0000-0000-000004000000}"/>
    <cellStyle name="Comma0 2" xfId="9" xr:uid="{00000000-0005-0000-0000-000005000000}"/>
    <cellStyle name="Comma0 3" xfId="24" xr:uid="{5B04197C-B1A0-4320-8E6B-2E837DEE398A}"/>
    <cellStyle name="Hipervínculo" xfId="11" xr:uid="{00000000-0005-0000-0000-000006000000}"/>
    <cellStyle name="Hipervínculo visitado" xfId="12" xr:uid="{00000000-0005-0000-0000-000007000000}"/>
    <cellStyle name="Hyperlink" xfId="1" builtinId="8"/>
    <cellStyle name="Millares [0]" xfId="13" xr:uid="{00000000-0005-0000-0000-000009000000}"/>
    <cellStyle name="Millares 2 3" xfId="21" xr:uid="{593141AC-7828-4776-98E7-DC33D2C0F17E}"/>
    <cellStyle name="Moneda [0]" xfId="14" xr:uid="{00000000-0005-0000-0000-00000A000000}"/>
    <cellStyle name="Normal" xfId="0" builtinId="0"/>
    <cellStyle name="Normal 2" xfId="5" xr:uid="{00000000-0005-0000-0000-00000C000000}"/>
    <cellStyle name="Normal 2 2" xfId="8" xr:uid="{00000000-0005-0000-0000-00000D000000}"/>
    <cellStyle name="Normal 3" xfId="3" xr:uid="{00000000-0005-0000-0000-00000E000000}"/>
    <cellStyle name="Normal 4" xfId="6" xr:uid="{00000000-0005-0000-0000-00000F000000}"/>
    <cellStyle name="Normal 5" xfId="16" xr:uid="{00000000-0005-0000-0000-000010000000}"/>
    <cellStyle name="Normal 6" xfId="23" xr:uid="{0D552A80-264D-4570-87A2-CF79FBCBCAE2}"/>
    <cellStyle name="Normal_CTNB971b" xfId="2" xr:uid="{00000000-0005-0000-0000-000011000000}"/>
    <cellStyle name="Normal_Hoja1" xfId="22" xr:uid="{E87CA34E-59DB-4552-A50C-49FD12D1A367}"/>
    <cellStyle name="Normal_Iem-331" xfId="20" xr:uid="{6919D65A-282D-45AA-88F3-E78BAF2BBB6E}"/>
    <cellStyle name="Percent" xfId="1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Shares!$AH$8</c:f>
              <c:strCache>
                <c:ptCount val="1"/>
                <c:pt idx="0">
                  <c:v>Balanza comercial / PIB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Shares!$AG$9:$AG$28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Shares!$AH$9:$AH$28</c:f>
              <c:numCache>
                <c:formatCode>0.0%</c:formatCode>
                <c:ptCount val="20"/>
                <c:pt idx="0">
                  <c:v>7.9591230793224874E-2</c:v>
                </c:pt>
                <c:pt idx="1">
                  <c:v>-1.2347392489980107E-2</c:v>
                </c:pt>
                <c:pt idx="2">
                  <c:v>-3.4181298118021522E-2</c:v>
                </c:pt>
                <c:pt idx="3">
                  <c:v>-9.727113780722016E-4</c:v>
                </c:pt>
                <c:pt idx="4">
                  <c:v>4.8569732131044973E-3</c:v>
                </c:pt>
                <c:pt idx="5">
                  <c:v>1.2809043486672174E-2</c:v>
                </c:pt>
                <c:pt idx="6">
                  <c:v>3.0955603308693094E-2</c:v>
                </c:pt>
                <c:pt idx="7">
                  <c:v>2.7725277657169735E-2</c:v>
                </c:pt>
                <c:pt idx="8">
                  <c:v>1.4738622955448666E-2</c:v>
                </c:pt>
                <c:pt idx="9">
                  <c:v>-4.8127161487982869E-3</c:v>
                </c:pt>
                <c:pt idx="10">
                  <c:v>-2.8448229256126233E-2</c:v>
                </c:pt>
                <c:pt idx="11">
                  <c:v>-1.0463410556226261E-2</c:v>
                </c:pt>
                <c:pt idx="12">
                  <c:v>-5.0111772425570017E-3</c:v>
                </c:pt>
                <c:pt idx="13">
                  <c:v>-1.0942862442700464E-2</c:v>
                </c:pt>
                <c:pt idx="14">
                  <c:v>-7.0039463080900843E-3</c:v>
                </c:pt>
                <c:pt idx="15">
                  <c:v>-2.119063295220917E-2</c:v>
                </c:pt>
                <c:pt idx="16">
                  <c:v>1.2320356555678426E-2</c:v>
                </c:pt>
                <c:pt idx="17">
                  <c:v>5.6767891204540075E-4</c:v>
                </c:pt>
                <c:pt idx="18">
                  <c:v>-4.4405489087281256E-3</c:v>
                </c:pt>
                <c:pt idx="19">
                  <c:v>7.6336462550867261E-3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0-45DD-82F0-D343D3CA51FF}"/>
            </c:ext>
          </c:extLst>
        </c:ser>
        <c:ser>
          <c:idx val="1"/>
          <c:order val="1"/>
          <c:tx>
            <c:strRef>
              <c:f>Shares!$AI$8</c:f>
              <c:strCache>
                <c:ptCount val="1"/>
                <c:pt idx="0">
                  <c:v>Promedio 2000-2007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A0-45DD-82F0-D343D3CA51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A0-45DD-82F0-D343D3CA51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A0-45DD-82F0-D343D3CA51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A0-45DD-82F0-D343D3CA51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A0-45DD-82F0-D343D3CA51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A0-45DD-82F0-D343D3CA51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A0-45DD-82F0-D343D3CA51FF}"/>
                </c:ext>
              </c:extLst>
            </c:dLbl>
            <c:dLbl>
              <c:idx val="7"/>
              <c:layout>
                <c:manualLayout>
                  <c:x val="-5.1419380720363929E-2"/>
                  <c:y val="-3.7934668071654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A0-45DD-82F0-D343D3CA51F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Shares!$AG$9:$AG$28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Shares!$AI$9:$AI$28</c:f>
              <c:numCache>
                <c:formatCode>0.0%</c:formatCode>
                <c:ptCount val="20"/>
                <c:pt idx="0">
                  <c:v>1.3554590809098817E-2</c:v>
                </c:pt>
                <c:pt idx="1">
                  <c:v>1.3554590809098817E-2</c:v>
                </c:pt>
                <c:pt idx="2">
                  <c:v>1.3554590809098817E-2</c:v>
                </c:pt>
                <c:pt idx="3">
                  <c:v>1.3554590809098817E-2</c:v>
                </c:pt>
                <c:pt idx="4">
                  <c:v>1.3554590809098817E-2</c:v>
                </c:pt>
                <c:pt idx="5">
                  <c:v>1.3554590809098817E-2</c:v>
                </c:pt>
                <c:pt idx="6">
                  <c:v>1.3554590809098817E-2</c:v>
                </c:pt>
                <c:pt idx="7">
                  <c:v>1.3554590809098817E-2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0-45DD-82F0-D343D3CA51FF}"/>
            </c:ext>
          </c:extLst>
        </c:ser>
        <c:ser>
          <c:idx val="2"/>
          <c:order val="2"/>
          <c:tx>
            <c:strRef>
              <c:f>Shares!$AJ$8</c:f>
              <c:strCache>
                <c:ptCount val="1"/>
                <c:pt idx="0">
                  <c:v>Promedio 2008-2017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5.570432911372767E-2"/>
                  <c:y val="-2.9504741833509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A0-45DD-82F0-D343D3CA5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Shares!$AG$9:$AG$28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Shares!$AJ$9:$AJ$28</c:f>
              <c:numCache>
                <c:formatCode>General</c:formatCode>
                <c:ptCount val="20"/>
                <c:pt idx="8" formatCode="0.0%">
                  <c:v>-6.024631648353501E-3</c:v>
                </c:pt>
                <c:pt idx="9" formatCode="0.0%">
                  <c:v>-6.024631648353501E-3</c:v>
                </c:pt>
                <c:pt idx="10" formatCode="0.0%">
                  <c:v>-6.024631648353501E-3</c:v>
                </c:pt>
                <c:pt idx="11" formatCode="0.0%">
                  <c:v>-6.024631648353501E-3</c:v>
                </c:pt>
                <c:pt idx="12" formatCode="0.0%">
                  <c:v>-6.024631648353501E-3</c:v>
                </c:pt>
                <c:pt idx="13" formatCode="0.0%">
                  <c:v>-6.024631648353501E-3</c:v>
                </c:pt>
                <c:pt idx="14" formatCode="0.0%">
                  <c:v>-6.024631648353501E-3</c:v>
                </c:pt>
                <c:pt idx="15" formatCode="0.0%">
                  <c:v>-6.024631648353501E-3</c:v>
                </c:pt>
                <c:pt idx="16" formatCode="0.0%">
                  <c:v>-6.024631648353501E-3</c:v>
                </c:pt>
                <c:pt idx="17" formatCode="0.0%">
                  <c:v>-6.024631648353501E-3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0-45DD-82F0-D343D3CA5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339039"/>
        <c:axId val="1498339455"/>
      </c:lineChart>
      <c:catAx>
        <c:axId val="14983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39455"/>
        <c:crosses val="autoZero"/>
        <c:auto val="1"/>
        <c:lblAlgn val="ctr"/>
        <c:lblOffset val="100"/>
        <c:noMultiLvlLbl val="0"/>
      </c:catAx>
      <c:valAx>
        <c:axId val="149833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Porcentaje</a:t>
                </a:r>
                <a:r>
                  <a:rPr lang="en-US" sz="1200" baseline="0"/>
                  <a:t> del PIB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39039"/>
        <c:crosses val="autoZero"/>
        <c:crossBetween val="midCat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38100" y="990600"/>
          <a:ext cx="1203325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1086664</xdr:colOff>
      <xdr:row>0</xdr:row>
      <xdr:rowOff>40245</xdr:rowOff>
    </xdr:from>
    <xdr:to>
      <xdr:col>11</xdr:col>
      <xdr:colOff>16158</xdr:colOff>
      <xdr:row>4</xdr:row>
      <xdr:rowOff>27215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70864" y="40245"/>
          <a:ext cx="1729844" cy="8823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38100" y="990600"/>
          <a:ext cx="1203325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1086664</xdr:colOff>
      <xdr:row>0</xdr:row>
      <xdr:rowOff>40245</xdr:rowOff>
    </xdr:from>
    <xdr:to>
      <xdr:col>10</xdr:col>
      <xdr:colOff>1241708</xdr:colOff>
      <xdr:row>4</xdr:row>
      <xdr:rowOff>46265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70864" y="40245"/>
          <a:ext cx="1729844" cy="8823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1362075</xdr:colOff>
      <xdr:row>7</xdr:row>
      <xdr:rowOff>161925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38100" y="1073150"/>
          <a:ext cx="1216025" cy="981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1374322</xdr:colOff>
      <xdr:row>0</xdr:row>
      <xdr:rowOff>108857</xdr:rowOff>
    </xdr:from>
    <xdr:to>
      <xdr:col>11</xdr:col>
      <xdr:colOff>0</xdr:colOff>
      <xdr:row>5</xdr:row>
      <xdr:rowOff>34384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94922" y="108857"/>
          <a:ext cx="1807028" cy="87802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0</xdr:rowOff>
    </xdr:from>
    <xdr:to>
      <xdr:col>1</xdr:col>
      <xdr:colOff>0</xdr:colOff>
      <xdr:row>7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9525" y="1130300"/>
          <a:ext cx="1076325" cy="787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11</xdr:col>
      <xdr:colOff>884455</xdr:colOff>
      <xdr:row>0</xdr:row>
      <xdr:rowOff>0</xdr:rowOff>
    </xdr:from>
    <xdr:to>
      <xdr:col>14</xdr:col>
      <xdr:colOff>674905</xdr:colOff>
      <xdr:row>4</xdr:row>
      <xdr:rowOff>75206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05205" y="0"/>
          <a:ext cx="1739900" cy="87530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0</xdr:rowOff>
    </xdr:from>
    <xdr:to>
      <xdr:col>1</xdr:col>
      <xdr:colOff>0</xdr:colOff>
      <xdr:row>7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9525" y="1130300"/>
          <a:ext cx="1076325" cy="787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11</xdr:col>
      <xdr:colOff>884455</xdr:colOff>
      <xdr:row>0</xdr:row>
      <xdr:rowOff>0</xdr:rowOff>
    </xdr:from>
    <xdr:to>
      <xdr:col>14</xdr:col>
      <xdr:colOff>1049555</xdr:colOff>
      <xdr:row>4</xdr:row>
      <xdr:rowOff>81556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05205" y="0"/>
          <a:ext cx="3943350" cy="856256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</xdr:colOff>
      <xdr:row>6</xdr:row>
      <xdr:rowOff>0</xdr:rowOff>
    </xdr:from>
    <xdr:to>
      <xdr:col>1</xdr:col>
      <xdr:colOff>0</xdr:colOff>
      <xdr:row>8</xdr:row>
      <xdr:rowOff>12700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9525" y="1397000"/>
          <a:ext cx="1108075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435424</xdr:colOff>
      <xdr:row>0</xdr:row>
      <xdr:rowOff>0</xdr:rowOff>
    </xdr:from>
    <xdr:to>
      <xdr:col>16</xdr:col>
      <xdr:colOff>527952</xdr:colOff>
      <xdr:row>4</xdr:row>
      <xdr:rowOff>109677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20024" y="0"/>
          <a:ext cx="1775278" cy="871677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2184175</xdr:colOff>
      <xdr:row>4</xdr:row>
      <xdr:rowOff>18953</xdr:rowOff>
    </xdr:to>
    <xdr:pic>
      <xdr:nvPicPr>
        <xdr:cNvPr id="2" name="1 Imagen" descr="LOGOEXCEL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03175" cy="7555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1803175</xdr:colOff>
      <xdr:row>3</xdr:row>
      <xdr:rowOff>203103</xdr:rowOff>
    </xdr:to>
    <xdr:pic>
      <xdr:nvPicPr>
        <xdr:cNvPr id="3" name="1 Imagen" descr="LOGOEXCEL.png">
          <a:extLst>
            <a:ext uri="{FF2B5EF4-FFF2-40B4-BE49-F238E27FC236}">
              <a16:creationId xmlns:a16="http://schemas.microsoft.com/office/drawing/2014/main" id="{7284CE19-19EC-45FB-886F-C93BD403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03175" cy="774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149679</xdr:rowOff>
    </xdr:from>
    <xdr:to>
      <xdr:col>0</xdr:col>
      <xdr:colOff>2911929</xdr:colOff>
      <xdr:row>71</xdr:row>
      <xdr:rowOff>100352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F996F396-27A0-4DA1-B9FB-9E08D9428B72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49679"/>
          <a:ext cx="2911929" cy="712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130174</xdr:colOff>
      <xdr:row>11</xdr:row>
      <xdr:rowOff>142874</xdr:rowOff>
    </xdr:from>
    <xdr:to>
      <xdr:col>45</xdr:col>
      <xdr:colOff>571500</xdr:colOff>
      <xdr:row>27</xdr:row>
      <xdr:rowOff>6349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lx1\mq-projects_m1ail00\MGA\Ecuador_DSGE\SOEM_EC\data\hour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ed frequency"/>
      <sheetName val="quarterly"/>
    </sheetNames>
    <sheetDataSet>
      <sheetData sheetId="0"/>
      <sheetData sheetId="1">
        <row r="2">
          <cell r="B2">
            <v>39.765816910344647</v>
          </cell>
        </row>
        <row r="3">
          <cell r="B3" t="str">
            <v>.</v>
          </cell>
        </row>
        <row r="4">
          <cell r="B4">
            <v>39.793649488549569</v>
          </cell>
        </row>
        <row r="5">
          <cell r="B5" t="str">
            <v>.</v>
          </cell>
        </row>
        <row r="6">
          <cell r="B6">
            <v>39.844144385203222</v>
          </cell>
        </row>
        <row r="7">
          <cell r="B7" t="str">
            <v>.</v>
          </cell>
        </row>
        <row r="8">
          <cell r="B8" t="str">
            <v>.</v>
          </cell>
        </row>
        <row r="9">
          <cell r="B9" t="str">
            <v>.</v>
          </cell>
        </row>
        <row r="10">
          <cell r="B10">
            <v>38.949398793185111</v>
          </cell>
        </row>
        <row r="11">
          <cell r="B11" t="str">
            <v>.</v>
          </cell>
        </row>
        <row r="12">
          <cell r="B12">
            <v>38.224069675621749</v>
          </cell>
        </row>
        <row r="13">
          <cell r="B13" t="str">
            <v>.</v>
          </cell>
        </row>
        <row r="14">
          <cell r="B14">
            <v>39.534685224609717</v>
          </cell>
        </row>
        <row r="15">
          <cell r="B15" t="str">
            <v>.</v>
          </cell>
        </row>
        <row r="16">
          <cell r="B16">
            <v>39.17882593221691</v>
          </cell>
        </row>
        <row r="17">
          <cell r="B17" t="str">
            <v>.</v>
          </cell>
        </row>
        <row r="18">
          <cell r="B18">
            <v>39.388394846478484</v>
          </cell>
        </row>
        <row r="19">
          <cell r="B19" t="str">
            <v>.</v>
          </cell>
        </row>
        <row r="20">
          <cell r="B20">
            <v>38.315673393752988</v>
          </cell>
        </row>
        <row r="21">
          <cell r="B21" t="str">
            <v>.</v>
          </cell>
        </row>
        <row r="22">
          <cell r="B22">
            <v>38.943186414879897</v>
          </cell>
        </row>
        <row r="23">
          <cell r="B23" t="str">
            <v>.</v>
          </cell>
        </row>
        <row r="24">
          <cell r="B24">
            <v>37.91016300765984</v>
          </cell>
        </row>
        <row r="25">
          <cell r="B25" t="str">
            <v>.</v>
          </cell>
        </row>
        <row r="26">
          <cell r="B26">
            <v>38.922977170369151</v>
          </cell>
        </row>
        <row r="27">
          <cell r="B27">
            <v>37.097129489877503</v>
          </cell>
        </row>
        <row r="28">
          <cell r="B28">
            <v>38.28617111831511</v>
          </cell>
        </row>
        <row r="29">
          <cell r="B29">
            <v>37.680587812631686</v>
          </cell>
        </row>
        <row r="30">
          <cell r="B30">
            <v>37.970763242863619</v>
          </cell>
        </row>
        <row r="31">
          <cell r="B31">
            <v>37.347193151902935</v>
          </cell>
        </row>
        <row r="32">
          <cell r="B32">
            <v>37.36630218484288</v>
          </cell>
        </row>
        <row r="33">
          <cell r="B33">
            <v>36.770737503508826</v>
          </cell>
        </row>
        <row r="34">
          <cell r="B34">
            <v>37.091327816773905</v>
          </cell>
        </row>
        <row r="35">
          <cell r="B35">
            <v>35.415561645412843</v>
          </cell>
        </row>
        <row r="36">
          <cell r="B36">
            <v>35.754432174491612</v>
          </cell>
        </row>
        <row r="37">
          <cell r="B37">
            <v>34.800694175484679</v>
          </cell>
        </row>
        <row r="38">
          <cell r="B38">
            <v>35.92859542369758</v>
          </cell>
        </row>
        <row r="39">
          <cell r="B39">
            <v>34.873099446932763</v>
          </cell>
        </row>
        <row r="40">
          <cell r="B40">
            <v>35.478245566437828</v>
          </cell>
        </row>
        <row r="41">
          <cell r="B41">
            <v>35.579560767156778</v>
          </cell>
        </row>
        <row r="42">
          <cell r="B42">
            <v>36.246103347680204</v>
          </cell>
        </row>
        <row r="43">
          <cell r="B43">
            <v>35.9115305870478</v>
          </cell>
        </row>
        <row r="44">
          <cell r="B44">
            <v>35.744142054819726</v>
          </cell>
        </row>
        <row r="45">
          <cell r="B45">
            <v>35.75177082191567</v>
          </cell>
        </row>
        <row r="46">
          <cell r="B46">
            <v>36.187507512148024</v>
          </cell>
        </row>
        <row r="47">
          <cell r="B47">
            <v>34.170604468610428</v>
          </cell>
        </row>
        <row r="48">
          <cell r="B48">
            <v>34.703233225180178</v>
          </cell>
        </row>
        <row r="49">
          <cell r="B49">
            <v>34.891009544904406</v>
          </cell>
        </row>
        <row r="50">
          <cell r="B50">
            <v>36.164914369098568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stats.oecd.org/OECDStat_Metadata/ShowMetadata.ashx?Dataset=QNA&amp;Coords=%5bLOCATION%5d.%5bDEU%5d&amp;ShowOnWeb=true&amp;Lang=en" TargetMode="External"/><Relationship Id="rId18" Type="http://schemas.openxmlformats.org/officeDocument/2006/relationships/hyperlink" Target="http://stats.oecd.org/OECDStat_Metadata/ShowMetadata.ashx?Dataset=QNA&amp;Coords=%5bLOCATION%5d.%5bISR%5d&amp;ShowOnWeb=true&amp;Lang=en" TargetMode="External"/><Relationship Id="rId26" Type="http://schemas.openxmlformats.org/officeDocument/2006/relationships/hyperlink" Target="http://stats.oecd.org/OECDStat_Metadata/ShowMetadata.ashx?Dataset=QNA&amp;Coords=%5bLOCATION%5d.%5bNLD%5d&amp;ShowOnWeb=true&amp;Lang=en" TargetMode="External"/><Relationship Id="rId39" Type="http://schemas.openxmlformats.org/officeDocument/2006/relationships/hyperlink" Target="http://stats.oecd.org/OECDStat_Metadata/ShowMetadata.ashx?Dataset=QNA&amp;Coords=%5bLOCATION%5d.%5bEA19%5d&amp;ShowOnWeb=true&amp;Lang=en" TargetMode="External"/><Relationship Id="rId21" Type="http://schemas.openxmlformats.org/officeDocument/2006/relationships/hyperlink" Target="http://stats.oecd.org/OECDStat_Metadata/ShowMetadata.ashx?Dataset=QNA&amp;Coords=%5bLOCATION%5d.%5bKOR%5d&amp;ShowOnWeb=true&amp;Lang=en" TargetMode="External"/><Relationship Id="rId34" Type="http://schemas.openxmlformats.org/officeDocument/2006/relationships/hyperlink" Target="http://stats.oecd.org/OECDStat_Metadata/ShowMetadata.ashx?Dataset=QNA&amp;Coords=%5bLOCATION%5d.%5bSWE%5d&amp;ShowOnWeb=true&amp;Lang=en" TargetMode="External"/><Relationship Id="rId42" Type="http://schemas.openxmlformats.org/officeDocument/2006/relationships/hyperlink" Target="http://stats.oecd.org/OECDStat_Metadata/ShowMetadata.ashx?Dataset=QNA&amp;Coords=%5bLOCATION%5d.%5bNAFTA%5d&amp;ShowOnWeb=true&amp;Lang=en" TargetMode="External"/><Relationship Id="rId47" Type="http://schemas.openxmlformats.org/officeDocument/2006/relationships/hyperlink" Target="http://stats.oecd.org/OECDStat_Metadata/ShowMetadata.ashx?Dataset=QNA&amp;Coords=%5bLOCATION%5d.%5bBRA%5d&amp;ShowOnWeb=true&amp;Lang=en" TargetMode="External"/><Relationship Id="rId50" Type="http://schemas.openxmlformats.org/officeDocument/2006/relationships/hyperlink" Target="http://stats.oecd.org/OECDStat_Metadata/ShowMetadata.ashx?Dataset=QNA&amp;Coords=%5bLOCATION%5d.%5bIND%5d&amp;ShowOnWeb=true&amp;Lang=en" TargetMode="External"/><Relationship Id="rId55" Type="http://schemas.openxmlformats.org/officeDocument/2006/relationships/hyperlink" Target="http://stats.oecd.org/OECDStat_Metadata/ShowMetadata.ashx?Dataset=QNA&amp;Coords=%5bLOCATION%5d.%5bZAF%5d&amp;ShowOnWeb=true&amp;Lang=en" TargetMode="External"/><Relationship Id="rId7" Type="http://schemas.openxmlformats.org/officeDocument/2006/relationships/hyperlink" Target="http://stats.oecd.org/OECDStat_Metadata/ShowMetadata.ashx?Dataset=QNA&amp;Coords=%5bLOCATION%5d.%5bCOL%5d&amp;ShowOnWeb=true&amp;Lang=en" TargetMode="External"/><Relationship Id="rId2" Type="http://schemas.openxmlformats.org/officeDocument/2006/relationships/hyperlink" Target="http://stats.oecd.org/OECDStat_Metadata/ShowMetadata.ashx?Dataset=QNA&amp;Coords=%5bLOCATION%5d.%5bAUS%5d&amp;ShowOnWeb=true&amp;Lang=en" TargetMode="External"/><Relationship Id="rId16" Type="http://schemas.openxmlformats.org/officeDocument/2006/relationships/hyperlink" Target="http://stats.oecd.org/OECDStat_Metadata/ShowMetadata.ashx?Dataset=QNA&amp;Coords=%5bLOCATION%5d.%5bISL%5d&amp;ShowOnWeb=true&amp;Lang=en" TargetMode="External"/><Relationship Id="rId29" Type="http://schemas.openxmlformats.org/officeDocument/2006/relationships/hyperlink" Target="http://stats.oecd.org/OECDStat_Metadata/ShowMetadata.ashx?Dataset=QNA&amp;Coords=%5bLOCATION%5d.%5bPOL%5d&amp;ShowOnWeb=true&amp;Lang=en" TargetMode="External"/><Relationship Id="rId11" Type="http://schemas.openxmlformats.org/officeDocument/2006/relationships/hyperlink" Target="http://stats.oecd.org/OECDStat_Metadata/ShowMetadata.ashx?Dataset=QNA&amp;Coords=%5bLOCATION%5d.%5bFIN%5d&amp;ShowOnWeb=true&amp;Lang=en" TargetMode="External"/><Relationship Id="rId24" Type="http://schemas.openxmlformats.org/officeDocument/2006/relationships/hyperlink" Target="http://stats.oecd.org/OECDStat_Metadata/ShowMetadata.ashx?Dataset=QNA&amp;Coords=%5bLOCATION%5d.%5bLUX%5d&amp;ShowOnWeb=true&amp;Lang=en" TargetMode="External"/><Relationship Id="rId32" Type="http://schemas.openxmlformats.org/officeDocument/2006/relationships/hyperlink" Target="http://stats.oecd.org/OECDStat_Metadata/ShowMetadata.ashx?Dataset=QNA&amp;Coords=%5bLOCATION%5d.%5bSVN%5d&amp;ShowOnWeb=true&amp;Lang=en" TargetMode="External"/><Relationship Id="rId37" Type="http://schemas.openxmlformats.org/officeDocument/2006/relationships/hyperlink" Target="http://stats.oecd.org/OECDStat_Metadata/ShowMetadata.ashx?Dataset=QNA&amp;Coords=%5bLOCATION%5d.%5bGBR%5d&amp;ShowOnWeb=true&amp;Lang=en" TargetMode="External"/><Relationship Id="rId40" Type="http://schemas.openxmlformats.org/officeDocument/2006/relationships/hyperlink" Target="http://stats.oecd.org/OECDStat_Metadata/ShowMetadata.ashx?Dataset=QNA&amp;Coords=%5bLOCATION%5d.%5bEU27_2020%5d&amp;ShowOnWeb=true&amp;Lang=en" TargetMode="External"/><Relationship Id="rId45" Type="http://schemas.openxmlformats.org/officeDocument/2006/relationships/hyperlink" Target="http://stats.oecd.org/OECDStat_Metadata/ShowMetadata.ashx?Dataset=QNA&amp;Coords=%5bLOCATION%5d.%5bOECD%5d&amp;ShowOnWeb=true&amp;Lang=en" TargetMode="External"/><Relationship Id="rId53" Type="http://schemas.openxmlformats.org/officeDocument/2006/relationships/hyperlink" Target="http://stats.oecd.org/OECDStat_Metadata/ShowMetadata.ashx?Dataset=QNA&amp;Coords=%5bLOCATION%5d.%5bRUS%5d&amp;ShowOnWeb=true&amp;Lang=en" TargetMode="External"/><Relationship Id="rId58" Type="http://schemas.openxmlformats.org/officeDocument/2006/relationships/comments" Target="../comments3.xml"/><Relationship Id="rId5" Type="http://schemas.openxmlformats.org/officeDocument/2006/relationships/hyperlink" Target="http://stats.oecd.org/OECDStat_Metadata/ShowMetadata.ashx?Dataset=QNA&amp;Coords=%5bLOCATION%5d.%5bCAN%5d&amp;ShowOnWeb=true&amp;Lang=en" TargetMode="External"/><Relationship Id="rId19" Type="http://schemas.openxmlformats.org/officeDocument/2006/relationships/hyperlink" Target="http://stats.oecd.org/OECDStat_Metadata/ShowMetadata.ashx?Dataset=QNA&amp;Coords=%5bLOCATION%5d.%5bITA%5d&amp;ShowOnWeb=true&amp;Lang=en" TargetMode="External"/><Relationship Id="rId4" Type="http://schemas.openxmlformats.org/officeDocument/2006/relationships/hyperlink" Target="http://stats.oecd.org/OECDStat_Metadata/ShowMetadata.ashx?Dataset=QNA&amp;Coords=%5bLOCATION%5d.%5bBEL%5d&amp;ShowOnWeb=true&amp;Lang=en" TargetMode="External"/><Relationship Id="rId9" Type="http://schemas.openxmlformats.org/officeDocument/2006/relationships/hyperlink" Target="http://stats.oecd.org/OECDStat_Metadata/ShowMetadata.ashx?Dataset=QNA&amp;Coords=%5bLOCATION%5d.%5bDNK%5d&amp;ShowOnWeb=true&amp;Lang=en" TargetMode="External"/><Relationship Id="rId14" Type="http://schemas.openxmlformats.org/officeDocument/2006/relationships/hyperlink" Target="http://stats.oecd.org/OECDStat_Metadata/ShowMetadata.ashx?Dataset=QNA&amp;Coords=%5bLOCATION%5d.%5bGRC%5d&amp;ShowOnWeb=true&amp;Lang=en" TargetMode="External"/><Relationship Id="rId22" Type="http://schemas.openxmlformats.org/officeDocument/2006/relationships/hyperlink" Target="http://stats.oecd.org/OECDStat_Metadata/ShowMetadata.ashx?Dataset=QNA&amp;Coords=%5bLOCATION%5d.%5bLVA%5d&amp;ShowOnWeb=true&amp;Lang=en" TargetMode="External"/><Relationship Id="rId27" Type="http://schemas.openxmlformats.org/officeDocument/2006/relationships/hyperlink" Target="http://stats.oecd.org/OECDStat_Metadata/ShowMetadata.ashx?Dataset=QNA&amp;Coords=%5bLOCATION%5d.%5bNZL%5d&amp;ShowOnWeb=true&amp;Lang=en" TargetMode="External"/><Relationship Id="rId30" Type="http://schemas.openxmlformats.org/officeDocument/2006/relationships/hyperlink" Target="http://stats.oecd.org/OECDStat_Metadata/ShowMetadata.ashx?Dataset=QNA&amp;Coords=%5bLOCATION%5d.%5bPRT%5d&amp;ShowOnWeb=true&amp;Lang=en" TargetMode="External"/><Relationship Id="rId35" Type="http://schemas.openxmlformats.org/officeDocument/2006/relationships/hyperlink" Target="http://stats.oecd.org/OECDStat_Metadata/ShowMetadata.ashx?Dataset=QNA&amp;Coords=%5bLOCATION%5d.%5bCHE%5d&amp;ShowOnWeb=true&amp;Lang=en" TargetMode="External"/><Relationship Id="rId43" Type="http://schemas.openxmlformats.org/officeDocument/2006/relationships/hyperlink" Target="http://stats.oecd.org/OECDStat_Metadata/ShowMetadata.ashx?Dataset=QNA&amp;Coords=%5bLOCATION%5d.%5bOECDE%5d&amp;ShowOnWeb=true&amp;Lang=en" TargetMode="External"/><Relationship Id="rId48" Type="http://schemas.openxmlformats.org/officeDocument/2006/relationships/hyperlink" Target="http://stats.oecd.org/OECDStat_Metadata/ShowMetadata.ashx?Dataset=QNA&amp;Coords=%5bLOCATION%5d.%5bBGR%5d&amp;ShowOnWeb=true&amp;Lang=en" TargetMode="External"/><Relationship Id="rId56" Type="http://schemas.openxmlformats.org/officeDocument/2006/relationships/printerSettings" Target="../printerSettings/printerSettings9.bin"/><Relationship Id="rId8" Type="http://schemas.openxmlformats.org/officeDocument/2006/relationships/hyperlink" Target="http://stats.oecd.org/OECDStat_Metadata/ShowMetadata.ashx?Dataset=QNA&amp;Coords=%5bLOCATION%5d.%5bCZE%5d&amp;ShowOnWeb=true&amp;Lang=en" TargetMode="External"/><Relationship Id="rId51" Type="http://schemas.openxmlformats.org/officeDocument/2006/relationships/hyperlink" Target="http://stats.oecd.org/OECDStat_Metadata/ShowMetadata.ashx?Dataset=QNA&amp;Coords=%5bLOCATION%5d.%5bIDN%5d&amp;ShowOnWeb=true&amp;Lang=en" TargetMode="External"/><Relationship Id="rId3" Type="http://schemas.openxmlformats.org/officeDocument/2006/relationships/hyperlink" Target="http://stats.oecd.org/OECDStat_Metadata/ShowMetadata.ashx?Dataset=QNA&amp;Coords=%5bLOCATION%5d.%5bAUT%5d&amp;ShowOnWeb=true&amp;Lang=en" TargetMode="External"/><Relationship Id="rId12" Type="http://schemas.openxmlformats.org/officeDocument/2006/relationships/hyperlink" Target="http://stats.oecd.org/OECDStat_Metadata/ShowMetadata.ashx?Dataset=QNA&amp;Coords=%5bLOCATION%5d.%5bFRA%5d&amp;ShowOnWeb=true&amp;Lang=en" TargetMode="External"/><Relationship Id="rId17" Type="http://schemas.openxmlformats.org/officeDocument/2006/relationships/hyperlink" Target="http://stats.oecd.org/OECDStat_Metadata/ShowMetadata.ashx?Dataset=QNA&amp;Coords=%5bLOCATION%5d.%5bIRL%5d&amp;ShowOnWeb=true&amp;Lang=en" TargetMode="External"/><Relationship Id="rId25" Type="http://schemas.openxmlformats.org/officeDocument/2006/relationships/hyperlink" Target="http://stats.oecd.org/OECDStat_Metadata/ShowMetadata.ashx?Dataset=QNA&amp;Coords=%5bLOCATION%5d.%5bMEX%5d&amp;ShowOnWeb=true&amp;Lang=en" TargetMode="External"/><Relationship Id="rId33" Type="http://schemas.openxmlformats.org/officeDocument/2006/relationships/hyperlink" Target="http://stats.oecd.org/OECDStat_Metadata/ShowMetadata.ashx?Dataset=QNA&amp;Coords=%5bLOCATION%5d.%5bESP%5d&amp;ShowOnWeb=true&amp;Lang=en" TargetMode="External"/><Relationship Id="rId38" Type="http://schemas.openxmlformats.org/officeDocument/2006/relationships/hyperlink" Target="http://stats.oecd.org/OECDStat_Metadata/ShowMetadata.ashx?Dataset=QNA&amp;Coords=%5bLOCATION%5d.%5bUSA%5d&amp;ShowOnWeb=true&amp;Lang=en" TargetMode="External"/><Relationship Id="rId46" Type="http://schemas.openxmlformats.org/officeDocument/2006/relationships/hyperlink" Target="http://stats.oecd.org/OECDStat_Metadata/ShowMetadata.ashx?Dataset=QNA&amp;Coords=%5bLOCATION%5d.%5bARG%5d&amp;ShowOnWeb=true&amp;Lang=en" TargetMode="External"/><Relationship Id="rId20" Type="http://schemas.openxmlformats.org/officeDocument/2006/relationships/hyperlink" Target="http://stats.oecd.org/OECDStat_Metadata/ShowMetadata.ashx?Dataset=QNA&amp;Coords=%5bLOCATION%5d.%5bJPN%5d&amp;ShowOnWeb=true&amp;Lang=en" TargetMode="External"/><Relationship Id="rId41" Type="http://schemas.openxmlformats.org/officeDocument/2006/relationships/hyperlink" Target="http://stats.oecd.org/OECDStat_Metadata/ShowMetadata.ashx?Dataset=QNA&amp;Coords=%5bLOCATION%5d.%5bG-7%5d&amp;ShowOnWeb=true&amp;Lang=en" TargetMode="External"/><Relationship Id="rId54" Type="http://schemas.openxmlformats.org/officeDocument/2006/relationships/hyperlink" Target="http://stats.oecd.org/OECDStat_Metadata/ShowMetadata.ashx?Dataset=QNA&amp;Coords=%5bLOCATION%5d.%5bSAU%5d&amp;ShowOnWeb=true&amp;Lang=en" TargetMode="External"/><Relationship Id="rId1" Type="http://schemas.openxmlformats.org/officeDocument/2006/relationships/hyperlink" Target="http://stats.oecd.org/OECDStat_Metadata/ShowMetadata.ashx?Dataset=QNA&amp;Coords=%5bMEASURE%5d&amp;ShowOnWeb=true&amp;Lang=en" TargetMode="External"/><Relationship Id="rId6" Type="http://schemas.openxmlformats.org/officeDocument/2006/relationships/hyperlink" Target="http://stats.oecd.org/OECDStat_Metadata/ShowMetadata.ashx?Dataset=QNA&amp;Coords=%5bLOCATION%5d.%5bCHL%5d&amp;ShowOnWeb=true&amp;Lang=en" TargetMode="External"/><Relationship Id="rId15" Type="http://schemas.openxmlformats.org/officeDocument/2006/relationships/hyperlink" Target="http://stats.oecd.org/OECDStat_Metadata/ShowMetadata.ashx?Dataset=QNA&amp;Coords=%5bLOCATION%5d.%5bHUN%5d&amp;ShowOnWeb=true&amp;Lang=en" TargetMode="External"/><Relationship Id="rId23" Type="http://schemas.openxmlformats.org/officeDocument/2006/relationships/hyperlink" Target="http://stats.oecd.org/OECDStat_Metadata/ShowMetadata.ashx?Dataset=QNA&amp;Coords=%5bLOCATION%5d.%5bLTU%5d&amp;ShowOnWeb=true&amp;Lang=en" TargetMode="External"/><Relationship Id="rId28" Type="http://schemas.openxmlformats.org/officeDocument/2006/relationships/hyperlink" Target="http://stats.oecd.org/OECDStat_Metadata/ShowMetadata.ashx?Dataset=QNA&amp;Coords=%5bLOCATION%5d.%5bNOR%5d&amp;ShowOnWeb=true&amp;Lang=en" TargetMode="External"/><Relationship Id="rId36" Type="http://schemas.openxmlformats.org/officeDocument/2006/relationships/hyperlink" Target="http://stats.oecd.org/OECDStat_Metadata/ShowMetadata.ashx?Dataset=QNA&amp;Coords=%5bLOCATION%5d.%5bTUR%5d&amp;ShowOnWeb=true&amp;Lang=en" TargetMode="External"/><Relationship Id="rId49" Type="http://schemas.openxmlformats.org/officeDocument/2006/relationships/hyperlink" Target="http://stats.oecd.org/OECDStat_Metadata/ShowMetadata.ashx?Dataset=QNA&amp;Coords=%5bLOCATION%5d.%5bCHN%5d&amp;ShowOnWeb=true&amp;Lang=en" TargetMode="External"/><Relationship Id="rId57" Type="http://schemas.openxmlformats.org/officeDocument/2006/relationships/vmlDrawing" Target="../drawings/vmlDrawing3.vml"/><Relationship Id="rId10" Type="http://schemas.openxmlformats.org/officeDocument/2006/relationships/hyperlink" Target="http://stats.oecd.org/OECDStat_Metadata/ShowMetadata.ashx?Dataset=QNA&amp;Coords=%5bLOCATION%5d.%5bEST%5d&amp;ShowOnWeb=true&amp;Lang=en" TargetMode="External"/><Relationship Id="rId31" Type="http://schemas.openxmlformats.org/officeDocument/2006/relationships/hyperlink" Target="http://stats.oecd.org/OECDStat_Metadata/ShowMetadata.ashx?Dataset=QNA&amp;Coords=%5bLOCATION%5d.%5bSVK%5d&amp;ShowOnWeb=true&amp;Lang=en" TargetMode="External"/><Relationship Id="rId44" Type="http://schemas.openxmlformats.org/officeDocument/2006/relationships/hyperlink" Target="http://stats.oecd.org/OECDStat_Metadata/ShowMetadata.ashx?Dataset=QNA&amp;Coords=%5bLOCATION%5d.%5bG-20%5d&amp;ShowOnWeb=true&amp;Lang=en" TargetMode="External"/><Relationship Id="rId52" Type="http://schemas.openxmlformats.org/officeDocument/2006/relationships/hyperlink" Target="http://stats.oecd.org/OECDStat_Metadata/ShowMetadata.ashx?Dataset=QNA&amp;Coords=%5bLOCATION%5d.%5bROU%5d&amp;ShowOnWeb=true&amp;Lang=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H14" sqref="H14"/>
    </sheetView>
  </sheetViews>
  <sheetFormatPr defaultRowHeight="14.5" x14ac:dyDescent="0.35"/>
  <cols>
    <col min="2" max="2" width="10.6328125" bestFit="1" customWidth="1"/>
    <col min="3" max="3" width="18.08984375" bestFit="1" customWidth="1"/>
    <col min="4" max="4" width="10.90625" bestFit="1" customWidth="1"/>
    <col min="5" max="5" width="9.54296875" bestFit="1" customWidth="1"/>
    <col min="6" max="6" width="16.453125" bestFit="1" customWidth="1"/>
    <col min="8" max="8" width="12.6328125" bestFit="1" customWidth="1"/>
    <col min="9" max="9" width="9.08984375"/>
    <col min="10" max="10" width="11.36328125" bestFit="1" customWidth="1"/>
    <col min="13" max="13" width="17" customWidth="1"/>
    <col min="14" max="14" width="28.08984375" customWidth="1"/>
  </cols>
  <sheetData>
    <row r="1" spans="1:19" x14ac:dyDescent="0.35">
      <c r="B1" t="s">
        <v>527</v>
      </c>
      <c r="C1" t="s">
        <v>528</v>
      </c>
      <c r="D1" t="s">
        <v>538</v>
      </c>
      <c r="E1" t="s">
        <v>529</v>
      </c>
      <c r="F1" t="s">
        <v>539</v>
      </c>
      <c r="G1" t="s">
        <v>530</v>
      </c>
      <c r="H1" t="s">
        <v>540</v>
      </c>
      <c r="I1" t="s">
        <v>546</v>
      </c>
      <c r="J1" t="s">
        <v>547</v>
      </c>
      <c r="K1" t="s">
        <v>531</v>
      </c>
      <c r="L1" t="s">
        <v>675</v>
      </c>
      <c r="M1" t="s">
        <v>676</v>
      </c>
      <c r="N1" t="s">
        <v>677</v>
      </c>
      <c r="O1" t="s">
        <v>678</v>
      </c>
      <c r="P1" t="s">
        <v>679</v>
      </c>
      <c r="Q1" t="s">
        <v>680</v>
      </c>
      <c r="R1" t="s">
        <v>683</v>
      </c>
      <c r="S1" t="s">
        <v>684</v>
      </c>
    </row>
    <row r="2" spans="1:19" ht="15.5" x14ac:dyDescent="0.35">
      <c r="A2" s="19" t="s">
        <v>12</v>
      </c>
      <c r="B2" s="20">
        <f>oilGDPnominal!C10</f>
        <v>3290847</v>
      </c>
      <c r="C2" s="47">
        <f>consumption_investment_governme!F10</f>
        <v>2445053</v>
      </c>
      <c r="D2" s="47">
        <f>consumption_investment_governme!H10</f>
        <v>723232</v>
      </c>
      <c r="E2" s="20">
        <f>oilGDPnominal!B10</f>
        <v>332388</v>
      </c>
      <c r="F2" s="47">
        <v>175154</v>
      </c>
      <c r="G2" s="59">
        <f>worldGDP!AU214</f>
        <v>0.98529</v>
      </c>
      <c r="H2" s="117">
        <f>oilGDPreal!B9</f>
        <v>1218387</v>
      </c>
      <c r="I2" s="117">
        <v>386080</v>
      </c>
      <c r="J2" s="47">
        <v>3819126</v>
      </c>
      <c r="K2" s="72">
        <f>US_GDP_deflator!B224</f>
        <v>77.396000000000001</v>
      </c>
      <c r="L2">
        <v>148.45285825038599</v>
      </c>
      <c r="P2" s="206">
        <v>41.809510000000003</v>
      </c>
    </row>
    <row r="3" spans="1:19" ht="15.5" x14ac:dyDescent="0.35">
      <c r="A3" s="19" t="s">
        <v>13</v>
      </c>
      <c r="B3" s="20">
        <f>oilGDPnominal!C11</f>
        <v>3806141</v>
      </c>
      <c r="C3" s="47">
        <f>consumption_investment_governme!F11</f>
        <v>2841942</v>
      </c>
      <c r="D3" s="47">
        <f>consumption_investment_governme!H11</f>
        <v>821301</v>
      </c>
      <c r="E3" s="20">
        <f>oilGDPnominal!B11</f>
        <v>369840</v>
      </c>
      <c r="F3" s="47">
        <v>389776</v>
      </c>
      <c r="G3" s="59">
        <f>worldGDP!AU215</f>
        <v>1.245711</v>
      </c>
      <c r="H3" s="117">
        <f>oilGDPreal!B10</f>
        <v>1191946</v>
      </c>
      <c r="I3" s="117">
        <v>308601</v>
      </c>
      <c r="J3" s="47">
        <v>4402479</v>
      </c>
      <c r="K3" s="72">
        <f>US_GDP_deflator!B225</f>
        <v>77.864999999999995</v>
      </c>
      <c r="L3">
        <v>187.247432674507</v>
      </c>
      <c r="P3" s="206">
        <v>47.2348</v>
      </c>
    </row>
    <row r="4" spans="1:19" ht="15.5" x14ac:dyDescent="0.35">
      <c r="A4" s="19" t="s">
        <v>14</v>
      </c>
      <c r="B4" s="20">
        <f>oilGDPnominal!C12</f>
        <v>4150331</v>
      </c>
      <c r="C4" s="47">
        <f>consumption_investment_governme!F12</f>
        <v>3164392</v>
      </c>
      <c r="D4" s="47">
        <f>consumption_investment_governme!H12</f>
        <v>947040</v>
      </c>
      <c r="E4" s="20">
        <f>oilGDPnominal!B12</f>
        <v>460321</v>
      </c>
      <c r="F4" s="47">
        <v>516011</v>
      </c>
      <c r="G4" s="59">
        <f>worldGDP!AU216</f>
        <v>0.50140099999999999</v>
      </c>
      <c r="H4" s="117">
        <f>oilGDPreal!B11</f>
        <v>1241308</v>
      </c>
      <c r="I4" s="117">
        <v>148436</v>
      </c>
      <c r="J4" s="47">
        <v>4906653</v>
      </c>
      <c r="K4" s="72">
        <f>US_GDP_deflator!B226</f>
        <v>78.308999999999997</v>
      </c>
      <c r="L4">
        <v>226.00241504732799</v>
      </c>
      <c r="P4" s="206">
        <v>51.386690000000002</v>
      </c>
    </row>
    <row r="5" spans="1:19" ht="15.5" x14ac:dyDescent="0.35">
      <c r="A5" s="19" t="s">
        <v>15</v>
      </c>
      <c r="B5" s="20">
        <f>oilGDPnominal!C13</f>
        <v>4400253</v>
      </c>
      <c r="C5" s="47">
        <f>consumption_investment_governme!F13</f>
        <v>3378859</v>
      </c>
      <c r="D5" s="47">
        <f>consumption_investment_governme!H13</f>
        <v>991669</v>
      </c>
      <c r="E5" s="20">
        <f>oilGDPnominal!B13</f>
        <v>462506</v>
      </c>
      <c r="F5" s="47">
        <v>631921</v>
      </c>
      <c r="G5" s="59">
        <f>worldGDP!AU217</f>
        <v>0.55670900000000001</v>
      </c>
      <c r="H5" s="117">
        <f>oilGDPreal!B12</f>
        <v>1241168</v>
      </c>
      <c r="I5" s="117">
        <v>34412</v>
      </c>
      <c r="J5" s="47">
        <v>5190343</v>
      </c>
      <c r="K5" s="72">
        <f>US_GDP_deflator!B227</f>
        <v>78.722999999999999</v>
      </c>
      <c r="L5">
        <v>217.712498099822</v>
      </c>
      <c r="P5" s="206">
        <v>53.382559999999998</v>
      </c>
    </row>
    <row r="6" spans="1:19" ht="15.5" x14ac:dyDescent="0.35">
      <c r="A6" s="19" t="s">
        <v>16</v>
      </c>
      <c r="B6" s="20">
        <f>oilGDPnominal!C14</f>
        <v>5130098</v>
      </c>
      <c r="C6" s="47">
        <f>consumption_investment_governme!F14</f>
        <v>4198533</v>
      </c>
      <c r="D6" s="47">
        <f>consumption_investment_governme!H14</f>
        <v>1053487</v>
      </c>
      <c r="E6" s="20">
        <f>oilGDPnominal!B14</f>
        <v>336056</v>
      </c>
      <c r="F6" s="47">
        <v>577101</v>
      </c>
      <c r="G6" s="59">
        <f>worldGDP!AU218</f>
        <v>0.283557</v>
      </c>
      <c r="H6" s="117">
        <f>oilGDPreal!B13</f>
        <v>1255388</v>
      </c>
      <c r="I6" s="117">
        <v>-61201</v>
      </c>
      <c r="J6" s="47">
        <v>5904082</v>
      </c>
      <c r="K6" s="72">
        <f>US_GDP_deflator!B228</f>
        <v>79.203999999999994</v>
      </c>
      <c r="L6">
        <v>279.94644488248298</v>
      </c>
      <c r="P6" s="206">
        <v>60.870820000000002</v>
      </c>
    </row>
    <row r="7" spans="1:19" ht="15.5" x14ac:dyDescent="0.35">
      <c r="A7" s="19" t="s">
        <v>17</v>
      </c>
      <c r="B7" s="20">
        <f>oilGDPnominal!C15</f>
        <v>5256978</v>
      </c>
      <c r="C7" s="47">
        <f>consumption_investment_governme!F15</f>
        <v>4375885</v>
      </c>
      <c r="D7" s="47">
        <f>consumption_investment_governme!H15</f>
        <v>1147563</v>
      </c>
      <c r="E7" s="20">
        <f>oilGDPnominal!B15</f>
        <v>327311</v>
      </c>
      <c r="F7" s="47">
        <v>582004</v>
      </c>
      <c r="G7" s="59">
        <f>worldGDP!AU219</f>
        <v>0.17339099999999999</v>
      </c>
      <c r="H7" s="117">
        <f>oilGDPreal!B14</f>
        <v>1232212</v>
      </c>
      <c r="I7" s="117">
        <v>-267622</v>
      </c>
      <c r="J7" s="47">
        <v>6069620</v>
      </c>
      <c r="K7" s="72">
        <f>US_GDP_deflator!B229</f>
        <v>79.683000000000007</v>
      </c>
      <c r="L7">
        <v>261.42701393588601</v>
      </c>
      <c r="P7" s="206">
        <v>61.919649999999997</v>
      </c>
    </row>
    <row r="8" spans="1:19" ht="15.5" x14ac:dyDescent="0.35">
      <c r="A8" s="19" t="s">
        <v>18</v>
      </c>
      <c r="B8" s="20">
        <f>oilGDPnominal!C16</f>
        <v>5336981</v>
      </c>
      <c r="C8" s="47">
        <f>consumption_investment_governme!F16</f>
        <v>4454342</v>
      </c>
      <c r="D8" s="47">
        <f>consumption_investment_governme!H16</f>
        <v>1212577</v>
      </c>
      <c r="E8" s="20">
        <f>oilGDPnominal!B16</f>
        <v>322417</v>
      </c>
      <c r="F8" s="47">
        <v>551198</v>
      </c>
      <c r="G8" s="59">
        <f>worldGDP!AU220</f>
        <v>-4.2375999999999997E-2</v>
      </c>
      <c r="H8" s="117">
        <f>oilGDPreal!B15</f>
        <v>1207624</v>
      </c>
      <c r="I8" s="117">
        <v>-285424</v>
      </c>
      <c r="J8" s="47">
        <v>6159609</v>
      </c>
      <c r="K8" s="72">
        <f>US_GDP_deflator!B230</f>
        <v>80.004000000000005</v>
      </c>
      <c r="L8">
        <v>290.41245808344098</v>
      </c>
      <c r="P8" s="206">
        <v>62.792389999999997</v>
      </c>
    </row>
    <row r="9" spans="1:19" ht="15.5" x14ac:dyDescent="0.35">
      <c r="A9" s="19" t="s">
        <v>19</v>
      </c>
      <c r="B9" s="20">
        <f>oilGDPnominal!C17</f>
        <v>5535621</v>
      </c>
      <c r="C9" s="47">
        <f>consumption_investment_governme!F17</f>
        <v>4711126</v>
      </c>
      <c r="D9" s="47">
        <f>consumption_investment_governme!H17</f>
        <v>1247952</v>
      </c>
      <c r="E9" s="20">
        <f>oilGDPnominal!B17</f>
        <v>286737</v>
      </c>
      <c r="F9" s="47">
        <v>601693</v>
      </c>
      <c r="G9" s="59">
        <f>worldGDP!AU221</f>
        <v>0.16796700000000001</v>
      </c>
      <c r="H9" s="117">
        <f>oilGDPreal!B16</f>
        <v>1197778</v>
      </c>
      <c r="I9" s="117">
        <v>-437784</v>
      </c>
      <c r="J9" s="47">
        <v>6335013</v>
      </c>
      <c r="K9" s="72">
        <f>US_GDP_deflator!B231</f>
        <v>80.268000000000001</v>
      </c>
      <c r="L9">
        <v>323.53176724315102</v>
      </c>
      <c r="P9" s="206">
        <v>63.796039999999998</v>
      </c>
    </row>
    <row r="10" spans="1:19" ht="15.5" x14ac:dyDescent="0.35">
      <c r="A10" s="19" t="s">
        <v>20</v>
      </c>
      <c r="B10" s="20">
        <f>oilGDPnominal!C18</f>
        <v>5858861</v>
      </c>
      <c r="C10" s="47">
        <f>consumption_investment_governme!F18</f>
        <v>4935609</v>
      </c>
      <c r="D10" s="47">
        <f>consumption_investment_governme!H18</f>
        <v>1388559</v>
      </c>
      <c r="E10" s="20">
        <f>oilGDPnominal!B18</f>
        <v>340321</v>
      </c>
      <c r="F10" s="47">
        <v>622826</v>
      </c>
      <c r="G10" s="59">
        <f>worldGDP!AU222</f>
        <v>0.58808499999999997</v>
      </c>
      <c r="H10" s="117">
        <f>oilGDPreal!B17</f>
        <v>1196035</v>
      </c>
      <c r="I10" s="117">
        <v>-420858</v>
      </c>
      <c r="J10" s="47">
        <v>6737551</v>
      </c>
      <c r="K10" s="72">
        <f>US_GDP_deflator!B232</f>
        <v>80.533000000000001</v>
      </c>
      <c r="L10">
        <v>337.29180246878298</v>
      </c>
      <c r="P10" s="206">
        <v>66.949939999999998</v>
      </c>
    </row>
    <row r="11" spans="1:19" ht="15.5" x14ac:dyDescent="0.35">
      <c r="A11" s="19" t="s">
        <v>21</v>
      </c>
      <c r="B11" s="20">
        <f>oilGDPnominal!C19</f>
        <v>6100775</v>
      </c>
      <c r="C11" s="47">
        <f>consumption_investment_governme!F19</f>
        <v>5165450</v>
      </c>
      <c r="D11" s="47">
        <f>consumption_investment_governme!H19</f>
        <v>1460080</v>
      </c>
      <c r="E11" s="20">
        <f>oilGDPnominal!B19</f>
        <v>394787</v>
      </c>
      <c r="F11" s="47">
        <v>689584</v>
      </c>
      <c r="G11" s="59">
        <f>worldGDP!AU223</f>
        <v>0.77372799999999997</v>
      </c>
      <c r="H11" s="117">
        <f>oilGDPreal!B18</f>
        <v>1206414</v>
      </c>
      <c r="I11" s="117">
        <v>-558124</v>
      </c>
      <c r="J11" s="47">
        <v>7086627</v>
      </c>
      <c r="K11" s="72">
        <f>US_GDP_deflator!B233</f>
        <v>80.820999999999998</v>
      </c>
      <c r="L11">
        <v>391.34819137194398</v>
      </c>
      <c r="P11" s="206">
        <v>69.437129999999996</v>
      </c>
    </row>
    <row r="12" spans="1:19" ht="15.5" x14ac:dyDescent="0.35">
      <c r="A12" s="19" t="s">
        <v>22</v>
      </c>
      <c r="B12" s="20">
        <f>oilGDPnominal!C20</f>
        <v>6290885</v>
      </c>
      <c r="C12" s="47">
        <f>consumption_investment_governme!F20</f>
        <v>5297262</v>
      </c>
      <c r="D12" s="47">
        <f>consumption_investment_governme!H20</f>
        <v>1514534</v>
      </c>
      <c r="E12" s="20">
        <f>oilGDPnominal!B20</f>
        <v>416026</v>
      </c>
      <c r="F12" s="47">
        <v>721936</v>
      </c>
      <c r="G12" s="59">
        <f>worldGDP!AU224</f>
        <v>0.52777099999999999</v>
      </c>
      <c r="H12" s="117">
        <f>oilGDPreal!B19</f>
        <v>1189068</v>
      </c>
      <c r="I12" s="117">
        <v>-482251</v>
      </c>
      <c r="J12" s="47">
        <v>7294132</v>
      </c>
      <c r="K12" s="72">
        <f>US_GDP_deflator!B234</f>
        <v>81.194000000000003</v>
      </c>
      <c r="L12">
        <v>313.86603077401702</v>
      </c>
      <c r="P12" s="206">
        <v>70.994590000000002</v>
      </c>
    </row>
    <row r="13" spans="1:19" ht="15.5" x14ac:dyDescent="0.35">
      <c r="A13" s="19" t="s">
        <v>23</v>
      </c>
      <c r="B13" s="20">
        <f>oilGDPnominal!C21</f>
        <v>6438429</v>
      </c>
      <c r="C13" s="47">
        <f>consumption_investment_governme!F21</f>
        <v>5401579</v>
      </c>
      <c r="D13" s="47">
        <f>consumption_investment_governme!H21</f>
        <v>1543432</v>
      </c>
      <c r="E13" s="20">
        <f>oilGDPnominal!B21</f>
        <v>399758</v>
      </c>
      <c r="F13" s="47">
        <v>772712</v>
      </c>
      <c r="G13" s="59">
        <f>worldGDP!AU225</f>
        <v>0.30876599999999998</v>
      </c>
      <c r="H13" s="117">
        <f>oilGDPreal!B20</f>
        <v>1153055</v>
      </c>
      <c r="I13" s="117">
        <v>-363559</v>
      </c>
      <c r="J13" s="47">
        <v>7430635</v>
      </c>
      <c r="K13" s="72">
        <f>US_GDP_deflator!B235</f>
        <v>81.653999999999996</v>
      </c>
      <c r="L13">
        <v>333.90243380232101</v>
      </c>
      <c r="P13" s="206">
        <v>72.10427</v>
      </c>
    </row>
    <row r="14" spans="1:19" ht="15.5" x14ac:dyDescent="0.35">
      <c r="A14" s="19" t="s">
        <v>24</v>
      </c>
      <c r="B14" s="20">
        <f>oilGDPnominal!C22</f>
        <v>6906805</v>
      </c>
      <c r="C14" s="47">
        <f>consumption_investment_governme!F22</f>
        <v>5667569</v>
      </c>
      <c r="D14" s="47">
        <f>consumption_investment_governme!H22</f>
        <v>1603484</v>
      </c>
      <c r="E14" s="20">
        <f>oilGDPnominal!B22</f>
        <v>539520</v>
      </c>
      <c r="F14" s="47">
        <v>801090</v>
      </c>
      <c r="G14" s="59">
        <f>worldGDP!AU226</f>
        <v>0.22988700000000001</v>
      </c>
      <c r="H14" s="117">
        <f>oilGDPreal!B21</f>
        <v>1157573</v>
      </c>
      <c r="I14" s="117">
        <v>-191354</v>
      </c>
      <c r="J14" s="47">
        <v>8011429</v>
      </c>
      <c r="K14" s="72">
        <f>US_GDP_deflator!B236</f>
        <v>82.025000000000006</v>
      </c>
      <c r="L14">
        <v>300.75080498751203</v>
      </c>
      <c r="P14" s="206">
        <v>76.737179999999995</v>
      </c>
    </row>
    <row r="15" spans="1:19" ht="15.5" x14ac:dyDescent="0.35">
      <c r="A15" s="19" t="s">
        <v>25</v>
      </c>
      <c r="B15" s="20">
        <f>oilGDPnominal!C23</f>
        <v>6963355</v>
      </c>
      <c r="C15" s="47">
        <f>consumption_investment_governme!F23</f>
        <v>5830682</v>
      </c>
      <c r="D15" s="47">
        <f>consumption_investment_governme!H23</f>
        <v>1552829</v>
      </c>
      <c r="E15" s="20">
        <f>oilGDPnominal!B23</f>
        <v>440959</v>
      </c>
      <c r="F15" s="47">
        <v>870265</v>
      </c>
      <c r="G15" s="59">
        <f>worldGDP!AU227</f>
        <v>0.51507499999999995</v>
      </c>
      <c r="H15" s="117">
        <f>oilGDPreal!B22</f>
        <v>1071527</v>
      </c>
      <c r="I15" s="117">
        <v>-204926</v>
      </c>
      <c r="J15" s="47">
        <v>7965078</v>
      </c>
      <c r="K15" s="72">
        <f>US_GDP_deflator!B237</f>
        <v>82.266000000000005</v>
      </c>
      <c r="L15">
        <v>303.70712126554997</v>
      </c>
      <c r="P15" s="206">
        <v>77.777959999999993</v>
      </c>
    </row>
    <row r="16" spans="1:19" ht="15.5" x14ac:dyDescent="0.35">
      <c r="A16" s="19" t="s">
        <v>26</v>
      </c>
      <c r="B16" s="20">
        <f>oilGDPnominal!C24</f>
        <v>7045127</v>
      </c>
      <c r="C16" s="47">
        <f>consumption_investment_governme!F24</f>
        <v>5866442</v>
      </c>
      <c r="D16" s="47">
        <f>consumption_investment_governme!H24</f>
        <v>1529914</v>
      </c>
      <c r="E16" s="20">
        <f>oilGDPnominal!B24</f>
        <v>509102</v>
      </c>
      <c r="F16" s="47">
        <v>889497</v>
      </c>
      <c r="G16" s="59">
        <f>worldGDP!AU228</f>
        <v>1.0778380000000001</v>
      </c>
      <c r="H16" s="117">
        <f>oilGDPreal!B23</f>
        <v>1265059</v>
      </c>
      <c r="I16" s="117">
        <v>-125719</v>
      </c>
      <c r="J16" s="47">
        <v>8120465</v>
      </c>
      <c r="K16" s="72">
        <f>US_GDP_deflator!B238</f>
        <v>82.712000000000003</v>
      </c>
      <c r="L16">
        <v>420.110154741933</v>
      </c>
      <c r="P16" s="206">
        <v>77.601010000000002</v>
      </c>
    </row>
    <row r="17" spans="1:19" ht="15.5" x14ac:dyDescent="0.35">
      <c r="A17" s="19" t="s">
        <v>27</v>
      </c>
      <c r="B17" s="20">
        <f>oilGDPnominal!C25</f>
        <v>7179216</v>
      </c>
      <c r="C17" s="47">
        <f>consumption_investment_governme!F25</f>
        <v>5903082</v>
      </c>
      <c r="D17" s="47">
        <f>consumption_investment_governme!H25</f>
        <v>1554456</v>
      </c>
      <c r="E17" s="20">
        <f>oilGDPnominal!B25</f>
        <v>587169</v>
      </c>
      <c r="F17" s="47">
        <v>913976</v>
      </c>
      <c r="G17" s="59">
        <f>worldGDP!AU229</f>
        <v>1.0536700000000001</v>
      </c>
      <c r="H17" s="117">
        <f>oilGDPreal!B24</f>
        <v>1483081</v>
      </c>
      <c r="I17" s="117">
        <v>-141198</v>
      </c>
      <c r="J17" s="47">
        <v>8335886</v>
      </c>
      <c r="K17" s="72">
        <f>US_GDP_deflator!B239</f>
        <v>83.200999999999993</v>
      </c>
      <c r="L17">
        <v>358.65814571038101</v>
      </c>
      <c r="P17" s="206">
        <v>77.069940000000003</v>
      </c>
      <c r="R17">
        <v>45.061999999999998</v>
      </c>
    </row>
    <row r="18" spans="1:19" ht="15.5" x14ac:dyDescent="0.35">
      <c r="A18" s="19" t="s">
        <v>28</v>
      </c>
      <c r="B18" s="20">
        <f>oilGDPnominal!C26</f>
        <v>7593729</v>
      </c>
      <c r="C18" s="47">
        <f>consumption_investment_governme!F26</f>
        <v>6306606</v>
      </c>
      <c r="D18" s="47">
        <f>consumption_investment_governme!H26</f>
        <v>1651726</v>
      </c>
      <c r="E18" s="20">
        <f>oilGDPnominal!B26</f>
        <v>704411</v>
      </c>
      <c r="F18" s="47">
        <v>989429</v>
      </c>
      <c r="G18" s="59">
        <f>worldGDP!AU230</f>
        <v>0.79088099999999995</v>
      </c>
      <c r="H18" s="117">
        <f>oilGDPreal!B25</f>
        <v>1643486</v>
      </c>
      <c r="I18" s="117">
        <v>-186745</v>
      </c>
      <c r="J18" s="47">
        <v>8849273</v>
      </c>
      <c r="K18" s="72">
        <f>US_GDP_deflator!B240</f>
        <v>83.82</v>
      </c>
      <c r="L18">
        <v>351.81579269120402</v>
      </c>
      <c r="P18" s="206">
        <v>79.78492</v>
      </c>
    </row>
    <row r="19" spans="1:19" ht="15.5" x14ac:dyDescent="0.35">
      <c r="A19" s="19" t="s">
        <v>29</v>
      </c>
      <c r="B19" s="20">
        <f>oilGDPnominal!C27</f>
        <v>7702511</v>
      </c>
      <c r="C19" s="47">
        <f>consumption_investment_governme!F27</f>
        <v>6406699</v>
      </c>
      <c r="D19" s="47">
        <f>consumption_investment_governme!H27</f>
        <v>1772561</v>
      </c>
      <c r="E19" s="20">
        <f>oilGDPnominal!B27</f>
        <v>774451</v>
      </c>
      <c r="F19" s="47">
        <v>1001661</v>
      </c>
      <c r="G19" s="59">
        <f>worldGDP!AU231</f>
        <v>0.67188599999999998</v>
      </c>
      <c r="H19" s="117">
        <f>oilGDPreal!B26</f>
        <v>1746705</v>
      </c>
      <c r="I19" s="117">
        <v>-172900</v>
      </c>
      <c r="J19" s="47">
        <v>9041596</v>
      </c>
      <c r="K19" s="72">
        <f>US_GDP_deflator!B241</f>
        <v>84.504000000000005</v>
      </c>
      <c r="L19">
        <v>421.47159386833101</v>
      </c>
      <c r="P19" s="206">
        <v>80.137879999999996</v>
      </c>
    </row>
    <row r="20" spans="1:19" ht="15.5" x14ac:dyDescent="0.35">
      <c r="A20" s="19" t="s">
        <v>30</v>
      </c>
      <c r="B20" s="20">
        <f>oilGDPnominal!C28</f>
        <v>7754905</v>
      </c>
      <c r="C20" s="47">
        <f>consumption_investment_governme!F28</f>
        <v>6405966</v>
      </c>
      <c r="D20" s="47">
        <f>consumption_investment_governme!H28</f>
        <v>1836724</v>
      </c>
      <c r="E20" s="20">
        <f>oilGDPnominal!B28</f>
        <v>847667</v>
      </c>
      <c r="F20" s="47">
        <v>984387</v>
      </c>
      <c r="G20" s="59">
        <f>worldGDP!AU232</f>
        <v>0.59119500000000003</v>
      </c>
      <c r="H20" s="117">
        <f>oilGDPreal!B27</f>
        <v>1724686</v>
      </c>
      <c r="I20" s="117">
        <v>-86264</v>
      </c>
      <c r="J20" s="47">
        <v>9207469</v>
      </c>
      <c r="K20" s="72">
        <f>US_GDP_deflator!B242</f>
        <v>85.055999999999997</v>
      </c>
      <c r="L20">
        <v>348.908976055447</v>
      </c>
      <c r="P20" s="206">
        <v>80.743979999999993</v>
      </c>
    </row>
    <row r="21" spans="1:19" ht="15.5" x14ac:dyDescent="0.35">
      <c r="A21" s="19" t="s">
        <v>31</v>
      </c>
      <c r="B21" s="20">
        <f>oilGDPnominal!C29</f>
        <v>8010063</v>
      </c>
      <c r="C21" s="47">
        <f>consumption_investment_governme!F29</f>
        <v>6668037</v>
      </c>
      <c r="D21" s="47">
        <f>consumption_investment_governme!H29</f>
        <v>1948114</v>
      </c>
      <c r="E21" s="20">
        <f>oilGDPnominal!B29</f>
        <v>810428</v>
      </c>
      <c r="F21" s="47">
        <v>1007289</v>
      </c>
      <c r="G21" s="59">
        <f>worldGDP!AU233</f>
        <v>0.66429400000000005</v>
      </c>
      <c r="H21" s="117">
        <f>oilGDPreal!B28</f>
        <v>1750682</v>
      </c>
      <c r="I21" s="117">
        <v>-123656</v>
      </c>
      <c r="J21" s="47">
        <v>9493323</v>
      </c>
      <c r="K21" s="72">
        <f>US_GDP_deflator!B243</f>
        <v>85.712000000000003</v>
      </c>
      <c r="L21">
        <v>359.99400812891503</v>
      </c>
      <c r="P21" s="206">
        <v>81.63167</v>
      </c>
      <c r="R21">
        <v>38.664999999999999</v>
      </c>
      <c r="S21">
        <f>R21-R17</f>
        <v>-6.3969999999999985</v>
      </c>
    </row>
    <row r="22" spans="1:19" ht="15.5" x14ac:dyDescent="0.35">
      <c r="A22" s="19" t="s">
        <v>32</v>
      </c>
      <c r="B22" s="20">
        <f>oilGDPnominal!C30</f>
        <v>8381666</v>
      </c>
      <c r="C22" s="47">
        <f>consumption_investment_governme!F30</f>
        <v>6872973</v>
      </c>
      <c r="D22" s="47">
        <f>consumption_investment_governme!H30</f>
        <v>1970809</v>
      </c>
      <c r="E22" s="20">
        <f>oilGDPnominal!B30</f>
        <v>948146</v>
      </c>
      <c r="F22" s="47">
        <v>1067573</v>
      </c>
      <c r="G22" s="59">
        <f>worldGDP!AU234</f>
        <v>0.78373999999999999</v>
      </c>
      <c r="H22" s="117">
        <f>oilGDPreal!B29</f>
        <v>1731598</v>
      </c>
      <c r="I22" s="117">
        <v>-213444</v>
      </c>
      <c r="J22" s="47">
        <v>9858210</v>
      </c>
      <c r="K22" s="72">
        <f>US_GDP_deflator!B244</f>
        <v>86.391000000000005</v>
      </c>
      <c r="L22">
        <v>462.36778723434799</v>
      </c>
      <c r="P22" s="206">
        <v>83.744190000000003</v>
      </c>
    </row>
    <row r="23" spans="1:19" ht="15.5" x14ac:dyDescent="0.35">
      <c r="A23" s="19" t="s">
        <v>33</v>
      </c>
      <c r="B23" s="20">
        <f>oilGDPnominal!C31</f>
        <v>8568497</v>
      </c>
      <c r="C23" s="47">
        <f>consumption_investment_governme!F31</f>
        <v>7047351</v>
      </c>
      <c r="D23" s="47">
        <f>consumption_investment_governme!H31</f>
        <v>2115210</v>
      </c>
      <c r="E23" s="20">
        <f>oilGDPnominal!B31</f>
        <v>1043477</v>
      </c>
      <c r="F23" s="47">
        <v>1094043</v>
      </c>
      <c r="G23" s="59">
        <f>worldGDP!AU235</f>
        <v>0.66781400000000002</v>
      </c>
      <c r="H23" s="117">
        <f>oilGDPreal!B30</f>
        <v>1736419</v>
      </c>
      <c r="I23" s="117">
        <v>-177533</v>
      </c>
      <c r="J23" s="47">
        <v>10221018</v>
      </c>
      <c r="K23" s="72">
        <f>US_GDP_deflator!B245</f>
        <v>86.995999999999995</v>
      </c>
      <c r="L23">
        <v>415.07673650388398</v>
      </c>
      <c r="P23" s="206">
        <v>85.629040000000003</v>
      </c>
    </row>
    <row r="24" spans="1:19" ht="15.5" x14ac:dyDescent="0.35">
      <c r="A24" s="19" t="s">
        <v>34</v>
      </c>
      <c r="B24" s="20">
        <f>oilGDPnominal!C32</f>
        <v>8787060</v>
      </c>
      <c r="C24" s="47">
        <f>consumption_investment_governme!F32</f>
        <v>7124759</v>
      </c>
      <c r="D24" s="47">
        <f>consumption_investment_governme!H32</f>
        <v>2163922</v>
      </c>
      <c r="E24" s="20">
        <f>oilGDPnominal!B32</f>
        <v>1230871</v>
      </c>
      <c r="F24" s="47">
        <v>1125814</v>
      </c>
      <c r="G24" s="59">
        <f>worldGDP!AU236</f>
        <v>0.93561899999999998</v>
      </c>
      <c r="H24" s="117">
        <f>oilGDPreal!B31</f>
        <v>1692897</v>
      </c>
      <c r="I24" s="117">
        <v>176053</v>
      </c>
      <c r="J24" s="47">
        <v>10645973</v>
      </c>
      <c r="K24" s="72">
        <f>US_GDP_deflator!B246</f>
        <v>87.783000000000001</v>
      </c>
      <c r="L24">
        <v>445.06740013470102</v>
      </c>
      <c r="P24" s="206">
        <v>89.073340000000002</v>
      </c>
    </row>
    <row r="25" spans="1:19" ht="15.5" x14ac:dyDescent="0.35">
      <c r="A25" s="19" t="s">
        <v>35</v>
      </c>
      <c r="B25" s="20">
        <f>oilGDPnominal!C33</f>
        <v>9087352</v>
      </c>
      <c r="C25" s="47">
        <f>consumption_investment_governme!F33</f>
        <v>7390813</v>
      </c>
      <c r="D25" s="47">
        <f>consumption_investment_governme!H33</f>
        <v>2226812</v>
      </c>
      <c r="E25" s="20">
        <f>oilGDPnominal!B33</f>
        <v>1158075</v>
      </c>
      <c r="F25" s="47">
        <v>1161235</v>
      </c>
      <c r="G25" s="59">
        <f>worldGDP!AU237</f>
        <v>0.79556199999999999</v>
      </c>
      <c r="H25" s="117">
        <f>oilGDPreal!B32</f>
        <v>1779305</v>
      </c>
      <c r="I25" s="117">
        <v>-143482</v>
      </c>
      <c r="J25" s="47">
        <v>10781884</v>
      </c>
      <c r="K25" s="72">
        <f>US_GDP_deflator!B247</f>
        <v>88.489000000000004</v>
      </c>
      <c r="L25">
        <v>467.22116573877901</v>
      </c>
      <c r="P25" s="206">
        <v>88.745670000000004</v>
      </c>
      <c r="R25">
        <v>34.700000000000003</v>
      </c>
      <c r="S25">
        <f>R25-R21</f>
        <v>-3.9649999999999963</v>
      </c>
    </row>
    <row r="26" spans="1:19" ht="15.5" x14ac:dyDescent="0.35">
      <c r="A26" s="19" t="s">
        <v>36</v>
      </c>
      <c r="B26" s="20">
        <f>oilGDPnominal!C34</f>
        <v>9391938</v>
      </c>
      <c r="C26" s="47">
        <f>consumption_investment_governme!F34</f>
        <v>7473628</v>
      </c>
      <c r="D26" s="47">
        <f>consumption_investment_governme!H34</f>
        <v>2289331</v>
      </c>
      <c r="E26" s="20">
        <f>oilGDPnominal!B34</f>
        <v>1377519</v>
      </c>
      <c r="F26" s="47">
        <v>1180967</v>
      </c>
      <c r="G26" s="59">
        <f>worldGDP!AU238</f>
        <v>1.052975</v>
      </c>
      <c r="H26" s="117">
        <f>oilGDPreal!B33</f>
        <v>1819765</v>
      </c>
      <c r="I26" s="117">
        <v>206457</v>
      </c>
      <c r="J26" s="47">
        <v>11312589</v>
      </c>
      <c r="K26" s="72">
        <f>US_GDP_deflator!B248</f>
        <v>89.106999999999999</v>
      </c>
      <c r="L26">
        <v>481.15361151697601</v>
      </c>
      <c r="P26" s="206">
        <v>92.136200000000002</v>
      </c>
    </row>
    <row r="27" spans="1:19" ht="15.5" x14ac:dyDescent="0.35">
      <c r="A27" s="19" t="s">
        <v>37</v>
      </c>
      <c r="B27" s="20">
        <f>oilGDPnominal!C35</f>
        <v>9556770</v>
      </c>
      <c r="C27" s="47">
        <f>consumption_investment_governme!F35</f>
        <v>7640025</v>
      </c>
      <c r="D27" s="47">
        <f>consumption_investment_governme!H35</f>
        <v>2446002</v>
      </c>
      <c r="E27" s="20">
        <f>oilGDPnominal!B35</f>
        <v>1602913</v>
      </c>
      <c r="F27" s="47">
        <v>1213810</v>
      </c>
      <c r="G27" s="59">
        <f>worldGDP!AU239</f>
        <v>0.670682</v>
      </c>
      <c r="H27" s="117">
        <f>oilGDPreal!B34</f>
        <v>1859370</v>
      </c>
      <c r="I27" s="117">
        <v>98112</v>
      </c>
      <c r="J27" s="47">
        <v>11727184</v>
      </c>
      <c r="K27" s="72">
        <f>US_GDP_deflator!B249</f>
        <v>89.852000000000004</v>
      </c>
      <c r="L27">
        <v>504.674974204904</v>
      </c>
      <c r="P27" s="206">
        <v>94.216759999999994</v>
      </c>
    </row>
    <row r="28" spans="1:19" ht="15.5" x14ac:dyDescent="0.35">
      <c r="A28" s="19" t="s">
        <v>38</v>
      </c>
      <c r="B28" s="20">
        <f>oilGDPnominal!C36</f>
        <v>9768533</v>
      </c>
      <c r="C28" s="47">
        <f>consumption_investment_governme!F36</f>
        <v>7792795</v>
      </c>
      <c r="D28" s="47">
        <f>consumption_investment_governme!H36</f>
        <v>2546226</v>
      </c>
      <c r="E28" s="20">
        <f>oilGDPnominal!B36</f>
        <v>1587156</v>
      </c>
      <c r="F28" s="47">
        <v>1244480</v>
      </c>
      <c r="G28" s="59">
        <f>worldGDP!AU240</f>
        <v>0.345611</v>
      </c>
      <c r="H28" s="117">
        <f>oilGDPreal!B35</f>
        <v>1842611</v>
      </c>
      <c r="I28" s="117">
        <v>18302</v>
      </c>
      <c r="J28" s="47">
        <v>11941733</v>
      </c>
      <c r="K28" s="72">
        <f>US_GDP_deflator!B250</f>
        <v>90.480999999999995</v>
      </c>
      <c r="L28">
        <v>404.98089042066499</v>
      </c>
      <c r="P28" s="206">
        <v>94.828360000000004</v>
      </c>
    </row>
    <row r="29" spans="1:19" ht="15.5" x14ac:dyDescent="0.35">
      <c r="A29" s="19" t="s">
        <v>39</v>
      </c>
      <c r="B29" s="20">
        <f>oilGDPnominal!C37</f>
        <v>9960546</v>
      </c>
      <c r="C29" s="47">
        <f>consumption_investment_governme!F37</f>
        <v>7974442</v>
      </c>
      <c r="D29" s="47">
        <f>consumption_investment_governme!H37</f>
        <v>2478153</v>
      </c>
      <c r="E29" s="20">
        <f>oilGDPnominal!B37</f>
        <v>1251772</v>
      </c>
      <c r="F29" s="47">
        <v>1322646</v>
      </c>
      <c r="G29" s="59">
        <f>worldGDP!AU241</f>
        <v>0.98104100000000005</v>
      </c>
      <c r="H29" s="117">
        <f>oilGDPreal!B36</f>
        <v>1748041</v>
      </c>
      <c r="I29" s="117">
        <v>124728</v>
      </c>
      <c r="J29" s="47">
        <v>11820538</v>
      </c>
      <c r="K29" s="72">
        <f>US_GDP_deflator!B251</f>
        <v>90.814999999999998</v>
      </c>
      <c r="L29">
        <v>447.35481999519197</v>
      </c>
      <c r="P29" s="206">
        <v>93.840050000000005</v>
      </c>
      <c r="R29">
        <v>31.128</v>
      </c>
      <c r="S29">
        <f>R29-R25</f>
        <v>-3.5720000000000027</v>
      </c>
    </row>
    <row r="30" spans="1:19" ht="15.5" x14ac:dyDescent="0.35">
      <c r="A30" s="19" t="s">
        <v>40</v>
      </c>
      <c r="B30" s="20">
        <f>oilGDPnominal!C38</f>
        <v>10109986</v>
      </c>
      <c r="C30" s="47">
        <f>consumption_investment_governme!F38</f>
        <v>8096780</v>
      </c>
      <c r="D30" s="47">
        <f>consumption_investment_governme!H38</f>
        <v>2580234</v>
      </c>
      <c r="E30" s="20">
        <f>oilGDPnominal!B38</f>
        <v>1262814</v>
      </c>
      <c r="F30" s="47">
        <v>1349454</v>
      </c>
      <c r="G30" s="59">
        <f>worldGDP!AU242</f>
        <v>0.72111199999999998</v>
      </c>
      <c r="H30" s="117">
        <f>oilGDPreal!B37</f>
        <v>1666169</v>
      </c>
      <c r="I30" s="117">
        <v>-120496</v>
      </c>
      <c r="J30" s="47">
        <v>11972101</v>
      </c>
      <c r="K30" s="72">
        <f>US_GDP_deflator!B252</f>
        <v>91.707999999999998</v>
      </c>
      <c r="L30">
        <v>656.38664869166303</v>
      </c>
      <c r="P30" s="206">
        <v>95.40522</v>
      </c>
    </row>
    <row r="31" spans="1:19" ht="15.5" x14ac:dyDescent="0.35">
      <c r="A31" s="19" t="s">
        <v>41</v>
      </c>
      <c r="B31" s="20">
        <f>oilGDPnominal!C39</f>
        <v>10287446</v>
      </c>
      <c r="C31" s="47">
        <f>consumption_investment_governme!F39</f>
        <v>8215569</v>
      </c>
      <c r="D31" s="47">
        <f>consumption_investment_governme!H39</f>
        <v>2613022</v>
      </c>
      <c r="E31" s="20">
        <f>oilGDPnominal!B39</f>
        <v>1585173</v>
      </c>
      <c r="F31" s="47">
        <v>1402301</v>
      </c>
      <c r="G31" s="59">
        <f>worldGDP!AU243</f>
        <v>0.60154200000000002</v>
      </c>
      <c r="H31" s="117">
        <f>oilGDPreal!B38</f>
        <v>1655298</v>
      </c>
      <c r="I31" s="117">
        <v>102336</v>
      </c>
      <c r="J31" s="47">
        <v>12483035</v>
      </c>
      <c r="K31" s="72">
        <f>US_GDP_deflator!B253</f>
        <v>92.301000000000002</v>
      </c>
      <c r="L31">
        <v>813.81850178794002</v>
      </c>
      <c r="P31" s="206">
        <v>98.747450000000001</v>
      </c>
    </row>
    <row r="32" spans="1:19" ht="15.5" x14ac:dyDescent="0.35">
      <c r="A32" s="19" t="s">
        <v>42</v>
      </c>
      <c r="B32" s="20">
        <f>oilGDPnominal!C40</f>
        <v>10507783</v>
      </c>
      <c r="C32" s="47">
        <f>consumption_investment_governme!F40</f>
        <v>8348009</v>
      </c>
      <c r="D32" s="47">
        <f>consumption_investment_governme!H40</f>
        <v>2631842</v>
      </c>
      <c r="E32" s="20">
        <f>oilGDPnominal!B40</f>
        <v>1746306</v>
      </c>
      <c r="F32" s="47">
        <v>1407775</v>
      </c>
      <c r="G32" s="59">
        <f>worldGDP!AU244</f>
        <v>0.45785100000000001</v>
      </c>
      <c r="H32" s="117">
        <f>oilGDPreal!B39</f>
        <v>1691341</v>
      </c>
      <c r="I32" s="117">
        <v>281581</v>
      </c>
      <c r="J32" s="47">
        <v>12923037</v>
      </c>
      <c r="K32" s="72">
        <f>US_GDP_deflator!B254</f>
        <v>92.775999999999996</v>
      </c>
      <c r="L32">
        <v>883.07294378640597</v>
      </c>
      <c r="P32" s="206">
        <v>100.7919</v>
      </c>
    </row>
    <row r="33" spans="1:19" ht="15.5" x14ac:dyDescent="0.35">
      <c r="A33" s="19" t="s">
        <v>43</v>
      </c>
      <c r="B33" s="20">
        <f>oilGDPnominal!C41</f>
        <v>10854414</v>
      </c>
      <c r="C33" s="47">
        <f>consumption_investment_governme!F41</f>
        <v>8540920</v>
      </c>
      <c r="D33" s="47">
        <f>consumption_investment_governme!H41</f>
        <v>2768849</v>
      </c>
      <c r="E33" s="20">
        <f>oilGDPnominal!B41</f>
        <v>2156981</v>
      </c>
      <c r="F33" s="47">
        <v>1414679</v>
      </c>
      <c r="G33" s="59">
        <f>worldGDP!AU245</f>
        <v>0.740587</v>
      </c>
      <c r="H33" s="117">
        <f>oilGDPreal!B40</f>
        <v>1738466</v>
      </c>
      <c r="I33" s="117">
        <v>387641</v>
      </c>
      <c r="J33" s="47">
        <v>13629604</v>
      </c>
      <c r="K33" s="72">
        <f>US_GDP_deflator!B255</f>
        <v>93.144999999999996</v>
      </c>
      <c r="L33">
        <v>676.94978908751796</v>
      </c>
      <c r="O33">
        <f>[1]quarterly!$B2</f>
        <v>39.765816910344647</v>
      </c>
      <c r="P33" s="206">
        <v>104.8736</v>
      </c>
      <c r="Q33" s="207">
        <v>4.9983546232570069</v>
      </c>
      <c r="R33">
        <v>28.463999999999999</v>
      </c>
      <c r="S33">
        <f>R33-R29</f>
        <v>-2.6640000000000015</v>
      </c>
    </row>
    <row r="34" spans="1:19" ht="15.5" x14ac:dyDescent="0.35">
      <c r="A34" s="19" t="s">
        <v>44</v>
      </c>
      <c r="B34" s="20">
        <f>oilGDPnominal!C42</f>
        <v>11581175</v>
      </c>
      <c r="C34" s="47">
        <f>consumption_investment_governme!F42</f>
        <v>8948763</v>
      </c>
      <c r="D34" s="47">
        <f>consumption_investment_governme!H42</f>
        <v>2970329</v>
      </c>
      <c r="E34" s="20">
        <f>oilGDPnominal!B42</f>
        <v>2450552</v>
      </c>
      <c r="F34" s="47">
        <v>1670986</v>
      </c>
      <c r="G34" s="59">
        <f>worldGDP!AU246</f>
        <v>0.17271400000000001</v>
      </c>
      <c r="H34" s="117">
        <f>oilGDPreal!B41</f>
        <v>1728166</v>
      </c>
      <c r="I34" s="117">
        <v>801868</v>
      </c>
      <c r="J34" s="47">
        <v>14505871</v>
      </c>
      <c r="K34" s="72">
        <f>US_GDP_deflator!B256</f>
        <v>93.489000000000004</v>
      </c>
      <c r="L34">
        <v>1122.0940752807901</v>
      </c>
      <c r="M34">
        <v>1362.2188476098199</v>
      </c>
      <c r="N34">
        <v>937.04990569371</v>
      </c>
      <c r="O34" t="str">
        <f>[1]quarterly!$B3</f>
        <v>.</v>
      </c>
      <c r="P34" s="206">
        <v>109.8631</v>
      </c>
    </row>
    <row r="35" spans="1:19" ht="15.5" x14ac:dyDescent="0.35">
      <c r="A35" s="19" t="s">
        <v>45</v>
      </c>
      <c r="B35" s="20">
        <f>oilGDPnominal!C43</f>
        <v>12230997</v>
      </c>
      <c r="C35" s="47">
        <f>consumption_investment_governme!F43</f>
        <v>9312999</v>
      </c>
      <c r="D35" s="47">
        <f>consumption_investment_governme!H43</f>
        <v>3344536</v>
      </c>
      <c r="E35" s="20">
        <f>oilGDPnominal!B43</f>
        <v>2981374</v>
      </c>
      <c r="F35" s="47">
        <v>1800173</v>
      </c>
      <c r="G35" s="59">
        <f>worldGDP!AU247</f>
        <v>-3.9552999999999998E-2</v>
      </c>
      <c r="H35" s="117">
        <f>oilGDPreal!B42</f>
        <v>1679075</v>
      </c>
      <c r="I35" s="117">
        <v>296710</v>
      </c>
      <c r="J35" s="47">
        <v>15788923</v>
      </c>
      <c r="K35" s="72">
        <f>US_GDP_deflator!B257</f>
        <v>93.99</v>
      </c>
      <c r="L35">
        <v>1468.3938789771901</v>
      </c>
      <c r="M35">
        <v>1877.05003753242</v>
      </c>
      <c r="N35">
        <v>1429.06400112493</v>
      </c>
      <c r="O35">
        <f>[1]quarterly!$B4</f>
        <v>39.793649488549569</v>
      </c>
      <c r="P35" s="206">
        <v>117.495</v>
      </c>
      <c r="Q35" s="207">
        <v>5.222705530889054</v>
      </c>
    </row>
    <row r="36" spans="1:19" ht="15.5" x14ac:dyDescent="0.35">
      <c r="A36" s="19" t="s">
        <v>46</v>
      </c>
      <c r="B36" s="20">
        <f>oilGDPnominal!C44</f>
        <v>12941154</v>
      </c>
      <c r="C36" s="47">
        <f>consumption_investment_governme!F44</f>
        <v>9664597</v>
      </c>
      <c r="D36" s="47">
        <f>consumption_investment_governme!H44</f>
        <v>3703868</v>
      </c>
      <c r="E36" s="20">
        <f>oilGDPnominal!B44</f>
        <v>2859228</v>
      </c>
      <c r="F36" s="47">
        <v>1902052</v>
      </c>
      <c r="G36" s="59">
        <f>worldGDP!AU248</f>
        <v>-0.54597399999999996</v>
      </c>
      <c r="H36" s="117">
        <f>oilGDPreal!B43</f>
        <v>1694710</v>
      </c>
      <c r="I36" s="117">
        <v>-315809</v>
      </c>
      <c r="J36" s="47">
        <v>16213465</v>
      </c>
      <c r="K36" s="72">
        <f>US_GDP_deflator!B258</f>
        <v>94.69</v>
      </c>
      <c r="L36">
        <v>2020.4581046354499</v>
      </c>
      <c r="M36">
        <v>2026.8233756091599</v>
      </c>
      <c r="N36">
        <v>1702.84196812804</v>
      </c>
      <c r="O36" t="str">
        <f>[1]quarterly!$B5</f>
        <v>.</v>
      </c>
      <c r="P36" s="206">
        <v>118.4395</v>
      </c>
    </row>
    <row r="37" spans="1:19" ht="15.5" x14ac:dyDescent="0.35">
      <c r="A37" s="19" t="s">
        <v>47</v>
      </c>
      <c r="B37" s="20">
        <f>oilGDPnominal!C45</f>
        <v>13024414</v>
      </c>
      <c r="C37" s="47">
        <f>consumption_investment_governme!F45</f>
        <v>10064904</v>
      </c>
      <c r="D37" s="47">
        <f>consumption_investment_governme!H45</f>
        <v>3799781</v>
      </c>
      <c r="E37" s="20">
        <f>oilGDPnominal!B45</f>
        <v>1482008</v>
      </c>
      <c r="F37" s="47">
        <v>1933577</v>
      </c>
      <c r="G37" s="59">
        <f>worldGDP!AU249</f>
        <v>-1.9239250000000001</v>
      </c>
      <c r="H37" s="117">
        <f>oilGDPreal!B44</f>
        <v>1698965</v>
      </c>
      <c r="I37" s="117">
        <v>-615805</v>
      </c>
      <c r="J37" s="47">
        <v>15254376</v>
      </c>
      <c r="K37" s="72">
        <f>US_GDP_deflator!B259</f>
        <v>94.986000000000004</v>
      </c>
      <c r="L37">
        <v>2246.4671399582498</v>
      </c>
      <c r="M37">
        <v>1826.20107261829</v>
      </c>
      <c r="N37">
        <v>1464.3601666029599</v>
      </c>
      <c r="O37">
        <f>[1]quarterly!$B6</f>
        <v>39.844144385203222</v>
      </c>
      <c r="P37" s="206">
        <v>109.589</v>
      </c>
      <c r="Q37" s="207">
        <v>5.9514629858050654</v>
      </c>
      <c r="R37">
        <v>24.228999999999999</v>
      </c>
      <c r="S37">
        <f>R37-R33</f>
        <v>-4.2349999999999994</v>
      </c>
    </row>
    <row r="38" spans="1:19" ht="15.5" x14ac:dyDescent="0.35">
      <c r="A38" s="19" t="s">
        <v>48</v>
      </c>
      <c r="B38" s="20">
        <f>oilGDPnominal!C46</f>
        <v>13042531</v>
      </c>
      <c r="C38" s="47">
        <f>consumption_investment_governme!F46</f>
        <v>9799156</v>
      </c>
      <c r="D38" s="47">
        <f>consumption_investment_governme!H46</f>
        <v>3638386</v>
      </c>
      <c r="E38" s="20">
        <f>oilGDPnominal!B46</f>
        <v>1054725</v>
      </c>
      <c r="F38" s="47">
        <v>2020721</v>
      </c>
      <c r="G38" s="59">
        <f>worldGDP!AU250</f>
        <v>-2.252955</v>
      </c>
      <c r="H38" s="117">
        <f>oilGDPreal!B45</f>
        <v>1764343</v>
      </c>
      <c r="I38" s="117">
        <v>-563681</v>
      </c>
      <c r="J38" s="47">
        <v>15022003</v>
      </c>
      <c r="K38" s="72">
        <f>US_GDP_deflator!B260</f>
        <v>94.975999999999999</v>
      </c>
      <c r="L38">
        <v>1481.77277098738</v>
      </c>
      <c r="M38">
        <v>1383.2106318517699</v>
      </c>
      <c r="N38">
        <v>975.54096904029996</v>
      </c>
      <c r="O38" t="str">
        <f>[1]quarterly!$B7</f>
        <v>.</v>
      </c>
      <c r="P38" s="206">
        <v>109.4803</v>
      </c>
    </row>
    <row r="39" spans="1:19" ht="15.5" x14ac:dyDescent="0.35">
      <c r="A39" s="19" t="s">
        <v>49</v>
      </c>
      <c r="B39" s="20">
        <f>oilGDPnominal!C47</f>
        <v>13139527</v>
      </c>
      <c r="C39" s="47">
        <f>consumption_investment_governme!F47</f>
        <v>9634405</v>
      </c>
      <c r="D39" s="47">
        <f>consumption_investment_governme!H47</f>
        <v>3538406</v>
      </c>
      <c r="E39" s="20">
        <f>oilGDPnominal!B47</f>
        <v>1525729</v>
      </c>
      <c r="F39" s="47">
        <v>2100079</v>
      </c>
      <c r="G39" s="59">
        <f>worldGDP!AU251</f>
        <v>0.15563199999999999</v>
      </c>
      <c r="H39" s="117">
        <f>oilGDPreal!B46</f>
        <v>1801773</v>
      </c>
      <c r="I39" s="117">
        <v>-224241</v>
      </c>
      <c r="J39" s="47">
        <v>15588869</v>
      </c>
      <c r="K39" s="72">
        <f>US_GDP_deflator!B261</f>
        <v>94.837999999999994</v>
      </c>
      <c r="L39">
        <v>1510.22188274362</v>
      </c>
      <c r="M39">
        <v>1294.8698321183199</v>
      </c>
      <c r="N39">
        <v>851.76277662723498</v>
      </c>
      <c r="O39" t="str">
        <f>[1]quarterly!$B8</f>
        <v>.</v>
      </c>
      <c r="P39" s="206">
        <v>114.0894</v>
      </c>
    </row>
    <row r="40" spans="1:19" ht="15.5" x14ac:dyDescent="0.35">
      <c r="A40" s="19" t="s">
        <v>50</v>
      </c>
      <c r="B40" s="20">
        <f>oilGDPnominal!C48</f>
        <v>13352010</v>
      </c>
      <c r="C40" s="47">
        <f>consumption_investment_governme!F48</f>
        <v>9658411</v>
      </c>
      <c r="D40" s="47">
        <f>consumption_investment_governme!H48</f>
        <v>3493945</v>
      </c>
      <c r="E40" s="20">
        <f>oilGDPnominal!B48</f>
        <v>1617564</v>
      </c>
      <c r="F40" s="47">
        <v>2189216</v>
      </c>
      <c r="G40" s="59">
        <f>worldGDP!AU252</f>
        <v>0.55993000000000004</v>
      </c>
      <c r="H40" s="117">
        <f>oilGDPreal!B47</f>
        <v>1667167</v>
      </c>
      <c r="I40" s="117">
        <v>-212924</v>
      </c>
      <c r="J40" s="47">
        <v>15779977</v>
      </c>
      <c r="K40" s="72">
        <f>US_GDP_deflator!B262</f>
        <v>94.938000000000002</v>
      </c>
      <c r="L40">
        <v>1568.8860801102601</v>
      </c>
      <c r="M40">
        <v>1231.5664394186299</v>
      </c>
      <c r="N40">
        <v>804.53627612653202</v>
      </c>
      <c r="O40" t="str">
        <f>[1]quarterly!$B9</f>
        <v>.</v>
      </c>
      <c r="P40" s="206">
        <v>116.20440000000001</v>
      </c>
    </row>
    <row r="41" spans="1:19" ht="15.5" x14ac:dyDescent="0.35">
      <c r="A41" s="19" t="s">
        <v>51</v>
      </c>
      <c r="B41" s="20">
        <f>oilGDPnominal!C49</f>
        <v>13584681</v>
      </c>
      <c r="C41" s="47">
        <f>consumption_investment_governme!F49</f>
        <v>9821313</v>
      </c>
      <c r="D41" s="47">
        <f>consumption_investment_governme!H49</f>
        <v>3586952</v>
      </c>
      <c r="E41" s="20">
        <f>oilGDPnominal!B49</f>
        <v>1696508</v>
      </c>
      <c r="F41" s="47">
        <v>2271259</v>
      </c>
      <c r="G41" s="59">
        <f>worldGDP!AU253</f>
        <v>0.94004100000000002</v>
      </c>
      <c r="H41" s="117">
        <f>oilGDPreal!B48</f>
        <v>1596198</v>
      </c>
      <c r="I41" s="117">
        <v>-3616</v>
      </c>
      <c r="J41" s="47">
        <v>16128837</v>
      </c>
      <c r="K41" s="72">
        <f>US_GDP_deflator!B263</f>
        <v>95.259</v>
      </c>
      <c r="L41">
        <v>1712.39438960436</v>
      </c>
      <c r="M41">
        <v>1814.6154913048199</v>
      </c>
      <c r="N41">
        <v>1222.1189254244</v>
      </c>
      <c r="O41">
        <f>[1]quarterly!$B10</f>
        <v>38.949398793185111</v>
      </c>
      <c r="P41" s="206">
        <v>118.6528</v>
      </c>
      <c r="Q41" s="207">
        <v>6.4713099723619232</v>
      </c>
      <c r="R41">
        <v>18.568000000000001</v>
      </c>
      <c r="S41">
        <f>R41-R37</f>
        <v>-5.6609999999999978</v>
      </c>
    </row>
    <row r="42" spans="1:19" ht="15.5" x14ac:dyDescent="0.35">
      <c r="A42" s="19" t="s">
        <v>52</v>
      </c>
      <c r="B42" s="20">
        <f>oilGDPnominal!C50</f>
        <v>14076102</v>
      </c>
      <c r="C42" s="47">
        <f>consumption_investment_governme!F50</f>
        <v>10500363</v>
      </c>
      <c r="D42" s="47">
        <f>consumption_investment_governme!H50</f>
        <v>3975994</v>
      </c>
      <c r="E42" s="20">
        <f>oilGDPnominal!B50</f>
        <v>1998698</v>
      </c>
      <c r="F42" s="47">
        <v>2234239</v>
      </c>
      <c r="G42" s="59">
        <f>worldGDP!AU254</f>
        <v>0.61924400000000002</v>
      </c>
      <c r="H42" s="117">
        <f>oilGDPreal!B49</f>
        <v>1582738</v>
      </c>
      <c r="I42" s="117">
        <v>-631341</v>
      </c>
      <c r="J42" s="47">
        <v>16762628</v>
      </c>
      <c r="K42" s="72">
        <f>US_GDP_deflator!B264</f>
        <v>95.498999999999995</v>
      </c>
      <c r="L42">
        <v>1286.88665952408</v>
      </c>
      <c r="M42">
        <v>2028.20698718124</v>
      </c>
      <c r="N42">
        <v>1445.9397777757699</v>
      </c>
      <c r="O42" t="str">
        <f>[1]quarterly!$B11</f>
        <v>.</v>
      </c>
      <c r="P42" s="206">
        <v>122.08920000000001</v>
      </c>
    </row>
    <row r="43" spans="1:19" ht="15.5" x14ac:dyDescent="0.35">
      <c r="A43" s="19" t="s">
        <v>53</v>
      </c>
      <c r="B43" s="20">
        <f>oilGDPnominal!C51</f>
        <v>14346146</v>
      </c>
      <c r="C43" s="47">
        <f>consumption_investment_governme!F51</f>
        <v>10805848</v>
      </c>
      <c r="D43" s="47">
        <f>consumption_investment_governme!H51</f>
        <v>4168368</v>
      </c>
      <c r="E43" s="20">
        <f>oilGDPnominal!B51</f>
        <v>2014408</v>
      </c>
      <c r="F43" s="47">
        <v>2241678</v>
      </c>
      <c r="G43" s="59">
        <f>worldGDP!AU255</f>
        <v>1.072176</v>
      </c>
      <c r="H43" s="117">
        <f>oilGDPreal!B50</f>
        <v>1646484</v>
      </c>
      <c r="I43" s="117">
        <v>-648027</v>
      </c>
      <c r="J43" s="47">
        <v>17070795</v>
      </c>
      <c r="K43" s="72">
        <f>US_GDP_deflator!B265</f>
        <v>95.942999999999998</v>
      </c>
      <c r="L43">
        <v>1920.85203777737</v>
      </c>
      <c r="M43">
        <v>1824.9510047896799</v>
      </c>
      <c r="N43">
        <v>1272.06843179818</v>
      </c>
      <c r="O43">
        <f>[1]quarterly!$B12</f>
        <v>38.224069675621749</v>
      </c>
      <c r="P43" s="206">
        <v>122.4041</v>
      </c>
      <c r="Q43" s="207">
        <v>6.2031289987403806</v>
      </c>
    </row>
    <row r="44" spans="1:19" ht="15.5" x14ac:dyDescent="0.35">
      <c r="A44" s="19" t="s">
        <v>54</v>
      </c>
      <c r="B44" s="20">
        <f>oilGDPnominal!C52</f>
        <v>14710837</v>
      </c>
      <c r="C44" s="47">
        <f>consumption_investment_governme!F52</f>
        <v>11235105</v>
      </c>
      <c r="D44" s="47">
        <f>consumption_investment_governme!H52</f>
        <v>4422541</v>
      </c>
      <c r="E44" s="20">
        <f>oilGDPnominal!B52</f>
        <v>1897121</v>
      </c>
      <c r="F44" s="47">
        <v>2301804</v>
      </c>
      <c r="G44" s="59">
        <f>worldGDP!AU256</f>
        <v>0.82121599999999995</v>
      </c>
      <c r="H44" s="117">
        <f>oilGDPreal!B51</f>
        <v>1660400</v>
      </c>
      <c r="I44" s="117">
        <v>-1154443</v>
      </c>
      <c r="J44" s="47">
        <v>17429358</v>
      </c>
      <c r="K44" s="72">
        <f>US_GDP_deflator!B266</f>
        <v>96.221999999999994</v>
      </c>
      <c r="L44">
        <v>1718.75286951352</v>
      </c>
      <c r="M44">
        <v>1820.2723684958601</v>
      </c>
      <c r="N44">
        <v>1256.32547345186</v>
      </c>
      <c r="O44" t="str">
        <f>[1]quarterly!$B13</f>
        <v>.</v>
      </c>
      <c r="P44" s="206">
        <v>122.9507</v>
      </c>
    </row>
    <row r="45" spans="1:19" ht="15.5" x14ac:dyDescent="0.35">
      <c r="A45" s="19" t="s">
        <v>55</v>
      </c>
      <c r="B45" s="20">
        <f>oilGDPnominal!C53</f>
        <v>15239690</v>
      </c>
      <c r="C45" s="47">
        <f>consumption_investment_governme!F53</f>
        <v>11470789</v>
      </c>
      <c r="D45" s="47">
        <f>consumption_investment_governme!H53</f>
        <v>4560986</v>
      </c>
      <c r="E45" s="20">
        <f>oilGDPnominal!B53</f>
        <v>2216458</v>
      </c>
      <c r="F45" s="47">
        <v>2403346</v>
      </c>
      <c r="G45" s="59">
        <f>worldGDP!AU257</f>
        <v>0.57069000000000003</v>
      </c>
      <c r="H45" s="117">
        <f>oilGDPreal!B52</f>
        <v>1782454</v>
      </c>
      <c r="I45" s="117">
        <v>-705450</v>
      </c>
      <c r="J45" s="47">
        <v>18292586</v>
      </c>
      <c r="K45" s="72">
        <f>US_GDP_deflator!B267</f>
        <v>96.763000000000005</v>
      </c>
      <c r="L45">
        <v>1629.6157599103101</v>
      </c>
      <c r="M45">
        <v>1940.8608710753799</v>
      </c>
      <c r="N45">
        <v>1399.4450990150799</v>
      </c>
      <c r="O45">
        <f>[1]quarterly!$B14</f>
        <v>39.534685224609717</v>
      </c>
      <c r="P45" s="206">
        <v>125.0425</v>
      </c>
      <c r="Q45" s="207">
        <v>5.0188580409999517</v>
      </c>
      <c r="R45">
        <v>17.696000000000002</v>
      </c>
      <c r="S45">
        <f>R45-R41</f>
        <v>-0.87199999999999989</v>
      </c>
    </row>
    <row r="46" spans="1:19" ht="15.5" x14ac:dyDescent="0.35">
      <c r="A46" s="19" t="s">
        <v>56</v>
      </c>
      <c r="B46" s="20">
        <f>oilGDPnominal!C54</f>
        <v>15576348</v>
      </c>
      <c r="C46" s="47">
        <f>consumption_investment_governme!F54</f>
        <v>11694784</v>
      </c>
      <c r="D46" s="47">
        <f>consumption_investment_governme!H54</f>
        <v>4765661</v>
      </c>
      <c r="E46" s="20">
        <f>oilGDPnominal!B54</f>
        <v>2639401</v>
      </c>
      <c r="F46" s="47">
        <v>2379105</v>
      </c>
      <c r="G46" s="59">
        <f>worldGDP!AU258</f>
        <v>0.28225099999999997</v>
      </c>
      <c r="H46" s="117">
        <f>oilGDPreal!B53</f>
        <v>1779993</v>
      </c>
      <c r="I46" s="117">
        <v>-409678</v>
      </c>
      <c r="J46" s="47">
        <v>18922955</v>
      </c>
      <c r="K46" s="72">
        <f>US_GDP_deflator!B268</f>
        <v>97.283000000000001</v>
      </c>
      <c r="L46">
        <v>2166.2641588276801</v>
      </c>
      <c r="M46">
        <v>2658.6858523316901</v>
      </c>
      <c r="N46">
        <v>1847.32518060033</v>
      </c>
      <c r="O46" t="str">
        <f>[1]quarterly!$B15</f>
        <v>.</v>
      </c>
      <c r="P46" s="206">
        <v>127.94110000000001</v>
      </c>
    </row>
    <row r="47" spans="1:19" ht="15.5" x14ac:dyDescent="0.35">
      <c r="A47" s="19" t="s">
        <v>57</v>
      </c>
      <c r="B47" s="20">
        <f>oilGDPnominal!C55</f>
        <v>16214501</v>
      </c>
      <c r="C47" s="47">
        <f>consumption_investment_governme!F55</f>
        <v>12040630</v>
      </c>
      <c r="D47" s="47">
        <f>consumption_investment_governme!H55</f>
        <v>5002022</v>
      </c>
      <c r="E47" s="20">
        <f>oilGDPnominal!B55</f>
        <v>2829695</v>
      </c>
      <c r="F47" s="47">
        <v>2539852</v>
      </c>
      <c r="G47" s="59">
        <f>worldGDP!AU259</f>
        <v>0.38580799999999998</v>
      </c>
      <c r="H47" s="117">
        <f>oilGDPreal!B54</f>
        <v>1751648</v>
      </c>
      <c r="I47" s="117">
        <v>-474267</v>
      </c>
      <c r="J47" s="47">
        <v>19728114</v>
      </c>
      <c r="K47" s="72">
        <f>US_GDP_deflator!B269</f>
        <v>97.921999999999997</v>
      </c>
      <c r="L47">
        <v>2149.2209556370199</v>
      </c>
      <c r="M47">
        <v>2943.1453538667702</v>
      </c>
      <c r="N47">
        <v>2137.3433342015301</v>
      </c>
      <c r="O47">
        <f>[1]quarterly!$B16</f>
        <v>39.17882593221691</v>
      </c>
      <c r="P47" s="206">
        <v>129.98910000000001</v>
      </c>
      <c r="Q47" s="207">
        <v>5.0231254135854257</v>
      </c>
    </row>
    <row r="48" spans="1:19" ht="15.5" x14ac:dyDescent="0.35">
      <c r="A48" s="19" t="s">
        <v>58</v>
      </c>
      <c r="B48" s="20">
        <f>oilGDPnominal!C56</f>
        <v>16702351</v>
      </c>
      <c r="C48" s="47">
        <f>consumption_investment_governme!F56</f>
        <v>12359537</v>
      </c>
      <c r="D48" s="47">
        <f>consumption_investment_governme!H56</f>
        <v>5222935</v>
      </c>
      <c r="E48" s="20">
        <f>oilGDPnominal!B56</f>
        <v>2575368</v>
      </c>
      <c r="F48" s="47">
        <v>2534436</v>
      </c>
      <c r="G48" s="59">
        <f>worldGDP!AU260</f>
        <v>0.59538199999999997</v>
      </c>
      <c r="H48" s="117">
        <f>oilGDPreal!B55</f>
        <v>1719529</v>
      </c>
      <c r="I48" s="117">
        <v>-289894</v>
      </c>
      <c r="J48" s="47">
        <v>19968470</v>
      </c>
      <c r="K48" s="72">
        <f>US_GDP_deflator!B270</f>
        <v>98.552999999999997</v>
      </c>
      <c r="L48">
        <v>2196.38612809811</v>
      </c>
      <c r="M48">
        <v>3058.7747245334599</v>
      </c>
      <c r="N48">
        <v>2183.6336394499799</v>
      </c>
      <c r="O48" t="str">
        <f>[1]quarterly!$B17</f>
        <v>.</v>
      </c>
      <c r="P48" s="206">
        <v>129.58879999999999</v>
      </c>
    </row>
    <row r="49" spans="1:19" ht="15.5" x14ac:dyDescent="0.35">
      <c r="A49" s="19" t="s">
        <v>59</v>
      </c>
      <c r="B49" s="20">
        <f>oilGDPnominal!C57</f>
        <v>17140786</v>
      </c>
      <c r="C49" s="47">
        <f>consumption_investment_governme!F57</f>
        <v>12562204</v>
      </c>
      <c r="D49" s="47">
        <f>consumption_investment_governme!H57</f>
        <v>5480168</v>
      </c>
      <c r="E49" s="20">
        <f>oilGDPnominal!B57</f>
        <v>2857765</v>
      </c>
      <c r="F49" s="47">
        <v>2637773</v>
      </c>
      <c r="G49" s="59">
        <f>worldGDP!AU261</f>
        <v>0.445108</v>
      </c>
      <c r="H49" s="117">
        <f>oilGDPreal!B56</f>
        <v>1674155</v>
      </c>
      <c r="I49" s="117">
        <v>-608173</v>
      </c>
      <c r="J49" s="47">
        <v>20657125</v>
      </c>
      <c r="K49" s="72">
        <f>US_GDP_deflator!B271</f>
        <v>98.703000000000003</v>
      </c>
      <c r="L49">
        <v>2434.6000910818102</v>
      </c>
      <c r="M49">
        <v>2965.5605410661601</v>
      </c>
      <c r="N49">
        <v>2259.4175799016002</v>
      </c>
      <c r="O49">
        <f>[1]quarterly!$B18</f>
        <v>39.388394846478484</v>
      </c>
      <c r="P49" s="206">
        <v>132.85300000000001</v>
      </c>
      <c r="Q49" s="207">
        <v>4.2054597268202416</v>
      </c>
      <c r="R49">
        <v>16.789000000000001</v>
      </c>
      <c r="S49">
        <f>R49-R45</f>
        <v>-0.90700000000000003</v>
      </c>
    </row>
    <row r="50" spans="1:19" ht="15.5" x14ac:dyDescent="0.35">
      <c r="A50" s="19" t="s">
        <v>60</v>
      </c>
      <c r="B50" s="20">
        <f>oilGDPnominal!C58</f>
        <v>17523169</v>
      </c>
      <c r="C50" s="47">
        <f>consumption_investment_governme!F58</f>
        <v>12896279</v>
      </c>
      <c r="D50" s="47">
        <f>consumption_investment_governme!H58</f>
        <v>5733341</v>
      </c>
      <c r="E50" s="20">
        <f>oilGDPnominal!B58</f>
        <v>3111930</v>
      </c>
      <c r="F50" s="47">
        <v>2805829</v>
      </c>
      <c r="G50" s="59">
        <f>worldGDP!AU262</f>
        <v>0.45495999999999998</v>
      </c>
      <c r="H50" s="117">
        <f>oilGDPreal!B57</f>
        <v>1765605</v>
      </c>
      <c r="I50" s="117">
        <v>-168744</v>
      </c>
      <c r="J50" s="47">
        <v>21622937</v>
      </c>
      <c r="K50" s="72">
        <f>US_GDP_deflator!B272</f>
        <v>99.32</v>
      </c>
      <c r="L50">
        <v>2516.5362194761501</v>
      </c>
      <c r="M50">
        <v>2786.6399922293499</v>
      </c>
      <c r="N50">
        <v>2017.6733461732799</v>
      </c>
      <c r="O50" t="str">
        <f>[1]quarterly!$B19</f>
        <v>.</v>
      </c>
      <c r="P50" s="206">
        <v>136.86619999999999</v>
      </c>
    </row>
    <row r="51" spans="1:19" ht="15.5" x14ac:dyDescent="0.35">
      <c r="A51" s="19" t="s">
        <v>61</v>
      </c>
      <c r="B51" s="20">
        <f>oilGDPnominal!C59</f>
        <v>17901091</v>
      </c>
      <c r="C51" s="47">
        <f>consumption_investment_governme!F59</f>
        <v>13257745</v>
      </c>
      <c r="D51" s="47">
        <f>consumption_investment_governme!H59</f>
        <v>5853906</v>
      </c>
      <c r="E51" s="20">
        <f>oilGDPnominal!B59</f>
        <v>2982818</v>
      </c>
      <c r="F51" s="47">
        <v>2847288</v>
      </c>
      <c r="G51" s="59">
        <f>worldGDP!AU263</f>
        <v>0.139623</v>
      </c>
      <c r="H51" s="117">
        <f>oilGDPreal!B58</f>
        <v>1827627</v>
      </c>
      <c r="I51" s="117">
        <v>-283218</v>
      </c>
      <c r="J51" s="47">
        <v>21908844</v>
      </c>
      <c r="K51" s="72">
        <f>US_GDP_deflator!B273</f>
        <v>99.712999999999994</v>
      </c>
      <c r="L51">
        <v>2551.2157128086601</v>
      </c>
      <c r="M51">
        <v>2982.5883125027499</v>
      </c>
      <c r="N51">
        <v>2169.2434175486401</v>
      </c>
      <c r="O51">
        <f>[1]quarterly!$B20</f>
        <v>38.315673393752988</v>
      </c>
      <c r="P51" s="206">
        <v>136.30969999999999</v>
      </c>
      <c r="Q51" s="207">
        <v>4.1126055981096528</v>
      </c>
    </row>
    <row r="52" spans="1:19" ht="15.5" x14ac:dyDescent="0.35">
      <c r="A52" s="19" t="s">
        <v>62</v>
      </c>
      <c r="B52" s="20">
        <f>oilGDPnominal!C60</f>
        <v>18130356</v>
      </c>
      <c r="C52" s="47">
        <f>consumption_investment_governme!F60</f>
        <v>13364281</v>
      </c>
      <c r="D52" s="47">
        <f>consumption_investment_governme!H60</f>
        <v>5997916</v>
      </c>
      <c r="E52" s="20">
        <f>oilGDPnominal!B60</f>
        <v>2945968</v>
      </c>
      <c r="F52" s="47">
        <v>2951086</v>
      </c>
      <c r="G52" s="59">
        <f>worldGDP!AU264</f>
        <v>0.15900800000000001</v>
      </c>
      <c r="H52" s="117">
        <f>oilGDPreal!B59</f>
        <v>1816737</v>
      </c>
      <c r="I52" s="117">
        <v>-362619</v>
      </c>
      <c r="J52" s="47">
        <v>22106937</v>
      </c>
      <c r="K52" s="72">
        <f>US_GDP_deflator!B274</f>
        <v>100.22499999999999</v>
      </c>
      <c r="L52">
        <v>2682.9061935387299</v>
      </c>
      <c r="M52">
        <v>3025.8700549750101</v>
      </c>
      <c r="N52">
        <v>2223.0238034426202</v>
      </c>
      <c r="O52" t="str">
        <f>[1]quarterly!$B21</f>
        <v>.</v>
      </c>
      <c r="P52" s="206">
        <v>136.48820000000001</v>
      </c>
    </row>
    <row r="53" spans="1:19" ht="15.5" x14ac:dyDescent="0.35">
      <c r="A53" s="19" t="s">
        <v>63</v>
      </c>
      <c r="B53" s="20">
        <f>oilGDPnominal!C61</f>
        <v>18559188</v>
      </c>
      <c r="C53" s="47">
        <f>consumption_investment_governme!F61</f>
        <v>13489967</v>
      </c>
      <c r="D53" s="47">
        <f>consumption_investment_governme!H61</f>
        <v>6122675</v>
      </c>
      <c r="E53" s="20">
        <f>oilGDPnominal!B61</f>
        <v>2701651</v>
      </c>
      <c r="F53" s="47">
        <v>3122549</v>
      </c>
      <c r="G53" s="59">
        <f>worldGDP!AU265</f>
        <v>7.8570000000000001E-2</v>
      </c>
      <c r="H53" s="117">
        <f>oilGDPreal!B60</f>
        <v>1731571</v>
      </c>
      <c r="I53" s="117">
        <v>-435261</v>
      </c>
      <c r="J53" s="47">
        <v>22285826</v>
      </c>
      <c r="K53" s="72">
        <f>US_GDP_deflator!B275</f>
        <v>100.73699999999999</v>
      </c>
      <c r="L53">
        <v>2461.632624154</v>
      </c>
      <c r="M53">
        <v>3158.3251576477801</v>
      </c>
      <c r="N53">
        <v>2213.6073361359399</v>
      </c>
      <c r="O53">
        <f>[1]quarterly!$B22</f>
        <v>38.943186414879897</v>
      </c>
      <c r="P53" s="206">
        <v>136.77289999999999</v>
      </c>
      <c r="Q53" s="207">
        <v>4.1213780215140456</v>
      </c>
      <c r="R53">
        <v>17.495999999999999</v>
      </c>
      <c r="S53">
        <f>R53-R49</f>
        <v>0.70699999999999719</v>
      </c>
    </row>
    <row r="54" spans="1:19" ht="15.5" x14ac:dyDescent="0.35">
      <c r="A54" s="19" t="s">
        <v>64</v>
      </c>
      <c r="B54" s="20">
        <f>oilGDPnominal!C62</f>
        <v>18979091</v>
      </c>
      <c r="C54" s="47">
        <f>consumption_investment_governme!F62</f>
        <v>13748778</v>
      </c>
      <c r="D54" s="47">
        <f>consumption_investment_governme!H62</f>
        <v>6406446</v>
      </c>
      <c r="E54" s="20">
        <f>oilGDPnominal!B62</f>
        <v>2959920</v>
      </c>
      <c r="F54" s="47">
        <v>3222907</v>
      </c>
      <c r="G54" s="59">
        <f>worldGDP!AU266</f>
        <v>0.59876200000000002</v>
      </c>
      <c r="H54" s="117">
        <f>oilGDPreal!B61</f>
        <v>1646199</v>
      </c>
      <c r="I54" s="117">
        <v>-697236</v>
      </c>
      <c r="J54" s="47">
        <v>23019786</v>
      </c>
      <c r="K54" s="72">
        <f>US_GDP_deflator!B276</f>
        <v>101.139</v>
      </c>
      <c r="L54">
        <v>2998.2347751738298</v>
      </c>
      <c r="M54">
        <v>3230.7678727837501</v>
      </c>
      <c r="N54">
        <v>2376.7955639562501</v>
      </c>
      <c r="O54" t="str">
        <f>[1]quarterly!$B23</f>
        <v>.</v>
      </c>
      <c r="P54" s="206">
        <v>139.8638</v>
      </c>
    </row>
    <row r="55" spans="1:19" ht="15.5" x14ac:dyDescent="0.35">
      <c r="A55" s="19" t="s">
        <v>65</v>
      </c>
      <c r="B55" s="20">
        <f>oilGDPnominal!C63</f>
        <v>19429037</v>
      </c>
      <c r="C55" s="47">
        <f>consumption_investment_governme!F63</f>
        <v>14137037</v>
      </c>
      <c r="D55" s="47">
        <f>consumption_investment_governme!H63</f>
        <v>6509500</v>
      </c>
      <c r="E55" s="20">
        <f>oilGDPnominal!B63</f>
        <v>2866631</v>
      </c>
      <c r="F55" s="47">
        <v>3311670</v>
      </c>
      <c r="G55" s="59">
        <f>worldGDP!AU267</f>
        <v>0.498172</v>
      </c>
      <c r="H55" s="117">
        <f>oilGDPreal!B62</f>
        <v>1701157</v>
      </c>
      <c r="I55" s="117">
        <v>-742732</v>
      </c>
      <c r="J55" s="47">
        <v>23441324</v>
      </c>
      <c r="K55" s="72">
        <f>US_GDP_deflator!B277</f>
        <v>101.431</v>
      </c>
      <c r="L55">
        <v>3320.7462075284102</v>
      </c>
      <c r="M55">
        <v>3117.6802394978199</v>
      </c>
      <c r="N55">
        <v>2258.5510608285399</v>
      </c>
      <c r="O55">
        <f>[1]quarterly!$B24</f>
        <v>37.91016300765984</v>
      </c>
      <c r="P55" s="206">
        <v>139.51310000000001</v>
      </c>
      <c r="Q55" s="207">
        <v>3.9137230055132091</v>
      </c>
    </row>
    <row r="56" spans="1:19" ht="15.5" x14ac:dyDescent="0.35">
      <c r="A56" s="19" t="s">
        <v>66</v>
      </c>
      <c r="B56" s="20">
        <f>oilGDPnominal!C64</f>
        <v>19890585</v>
      </c>
      <c r="C56" s="47">
        <f>consumption_investment_governme!F64</f>
        <v>14384933</v>
      </c>
      <c r="D56" s="47">
        <f>consumption_investment_governme!H64</f>
        <v>6637009</v>
      </c>
      <c r="E56" s="20">
        <f>oilGDPnominal!B64</f>
        <v>3178347</v>
      </c>
      <c r="F56" s="47">
        <v>3375221</v>
      </c>
      <c r="G56" s="59">
        <f>worldGDP!AU268</f>
        <v>0.70470500000000003</v>
      </c>
      <c r="H56" s="117">
        <f>oilGDPreal!B63</f>
        <v>1842154</v>
      </c>
      <c r="I56" s="117">
        <v>-520988</v>
      </c>
      <c r="J56" s="47">
        <v>24238576</v>
      </c>
      <c r="K56" s="72">
        <f>US_GDP_deflator!B278</f>
        <v>101.91800000000001</v>
      </c>
      <c r="L56">
        <v>3644.7078143943299</v>
      </c>
      <c r="M56">
        <v>3137.82596995108</v>
      </c>
      <c r="N56">
        <v>2324.8917034875599</v>
      </c>
      <c r="O56" t="str">
        <f>[1]quarterly!$B25</f>
        <v>.</v>
      </c>
      <c r="P56" s="206">
        <v>141.48439999999999</v>
      </c>
    </row>
    <row r="57" spans="1:19" ht="15.5" x14ac:dyDescent="0.35">
      <c r="A57" s="19" t="s">
        <v>67</v>
      </c>
      <c r="B57" s="20">
        <f>oilGDPnominal!C65</f>
        <v>20256130</v>
      </c>
      <c r="C57" s="47">
        <f>consumption_investment_governme!F65</f>
        <v>14671139</v>
      </c>
      <c r="D57" s="47">
        <f>consumption_investment_governme!H65</f>
        <v>6658705</v>
      </c>
      <c r="E57" s="20">
        <f>oilGDPnominal!B65</f>
        <v>2974121</v>
      </c>
      <c r="F57" s="47">
        <v>3413480</v>
      </c>
      <c r="G57" s="59">
        <f>worldGDP!AU269</f>
        <v>0.53535200000000005</v>
      </c>
      <c r="H57" s="117">
        <f>oilGDPreal!B64</f>
        <v>1832244</v>
      </c>
      <c r="I57" s="117">
        <v>-255165</v>
      </c>
      <c r="J57" s="47">
        <v>24429973</v>
      </c>
      <c r="K57" s="72">
        <f>US_GDP_deflator!B279</f>
        <v>102.517</v>
      </c>
      <c r="L57">
        <v>3952.7747669898099</v>
      </c>
      <c r="M57">
        <v>3181.0535863528698</v>
      </c>
      <c r="N57">
        <v>2301.7999378695099</v>
      </c>
      <c r="O57">
        <f>[1]quarterly!$B26</f>
        <v>38.922977170369151</v>
      </c>
      <c r="P57" s="206">
        <v>142.41929999999999</v>
      </c>
      <c r="Q57" s="207">
        <v>4.1528208882605826</v>
      </c>
      <c r="R57">
        <v>20.030999999999999</v>
      </c>
      <c r="S57">
        <f>R57-R53</f>
        <v>2.5350000000000001</v>
      </c>
    </row>
    <row r="58" spans="1:19" ht="15.5" x14ac:dyDescent="0.35">
      <c r="A58" s="19" t="s">
        <v>68</v>
      </c>
      <c r="B58" s="20">
        <f>oilGDPnominal!C66</f>
        <v>20681752</v>
      </c>
      <c r="C58" s="47">
        <f>consumption_investment_governme!F66</f>
        <v>14517583</v>
      </c>
      <c r="D58" s="47">
        <f>consumption_investment_governme!H66</f>
        <v>6612209</v>
      </c>
      <c r="E58" s="20">
        <f>oilGDPnominal!B66</f>
        <v>3030174</v>
      </c>
      <c r="F58" s="49">
        <v>3405399</v>
      </c>
      <c r="G58" s="59">
        <f>worldGDP!AU270</f>
        <v>0.392733</v>
      </c>
      <c r="H58" s="117">
        <f>oilGDPreal!B65</f>
        <v>1820177</v>
      </c>
      <c r="I58" s="117">
        <v>263288</v>
      </c>
      <c r="J58" s="49">
        <v>24829431</v>
      </c>
      <c r="K58" s="72">
        <f>US_GDP_deflator!B280</f>
        <v>102.937</v>
      </c>
      <c r="L58">
        <v>3255.9664112660798</v>
      </c>
      <c r="M58">
        <v>3270.4276399124701</v>
      </c>
      <c r="N58">
        <v>2357.6312384561602</v>
      </c>
      <c r="O58">
        <f>[1]quarterly!$B27</f>
        <v>37.097129489877503</v>
      </c>
      <c r="P58" s="206">
        <v>145.2347</v>
      </c>
      <c r="Q58" s="207">
        <v>4.8535188780127196</v>
      </c>
    </row>
    <row r="59" spans="1:19" ht="15.5" x14ac:dyDescent="0.35">
      <c r="A59" s="19" t="s">
        <v>69</v>
      </c>
      <c r="B59" s="20">
        <f>oilGDPnominal!C67</f>
        <v>21286897</v>
      </c>
      <c r="C59" s="47">
        <f>consumption_investment_governme!F67</f>
        <v>14911182</v>
      </c>
      <c r="D59" s="47">
        <f>consumption_investment_governme!H67</f>
        <v>6815031</v>
      </c>
      <c r="E59" s="20">
        <f>oilGDPnominal!B67</f>
        <v>3070315</v>
      </c>
      <c r="F59" s="49">
        <v>3619811</v>
      </c>
      <c r="G59" s="59">
        <f>worldGDP!AU271</f>
        <v>0.47745100000000001</v>
      </c>
      <c r="H59" s="117">
        <f>oilGDPreal!B66</f>
        <v>1805972</v>
      </c>
      <c r="I59" s="117">
        <v>-277074</v>
      </c>
      <c r="J59" s="49">
        <v>25540887</v>
      </c>
      <c r="K59" s="72">
        <f>US_GDP_deflator!B281</f>
        <v>103.512</v>
      </c>
      <c r="L59">
        <v>3394.29297293022</v>
      </c>
      <c r="M59">
        <v>3346.3264091072801</v>
      </c>
      <c r="N59">
        <v>2482.24138389781</v>
      </c>
      <c r="O59">
        <f>[1]quarterly!$B28</f>
        <v>38.28617111831511</v>
      </c>
      <c r="P59" s="206">
        <v>145.9975</v>
      </c>
      <c r="Q59" s="207">
        <v>4.6541424052220233</v>
      </c>
    </row>
    <row r="60" spans="1:19" ht="15.5" x14ac:dyDescent="0.35">
      <c r="A60" s="19" t="s">
        <v>70</v>
      </c>
      <c r="B60" s="20">
        <f>oilGDPnominal!C68</f>
        <v>21833223</v>
      </c>
      <c r="C60" s="47">
        <f>consumption_investment_governme!F68</f>
        <v>15235324</v>
      </c>
      <c r="D60" s="47">
        <f>consumption_investment_governme!H68</f>
        <v>7107289</v>
      </c>
      <c r="E60" s="20">
        <f>oilGDPnominal!B68</f>
        <v>2875783</v>
      </c>
      <c r="F60" s="49">
        <v>3692677</v>
      </c>
      <c r="G60" s="59">
        <f>worldGDP!AU272</f>
        <v>0.78624300000000003</v>
      </c>
      <c r="H60" s="117">
        <f>oilGDPreal!B67</f>
        <v>1761284</v>
      </c>
      <c r="I60" s="117">
        <v>-711956</v>
      </c>
      <c r="J60" s="49">
        <v>25940400</v>
      </c>
      <c r="K60" s="72">
        <f>US_GDP_deflator!B282</f>
        <v>103.95699999999999</v>
      </c>
      <c r="L60">
        <v>3649.38161632837</v>
      </c>
      <c r="M60">
        <v>3280.4577884253199</v>
      </c>
      <c r="N60">
        <v>2337.1765409222498</v>
      </c>
      <c r="O60">
        <f>[1]quarterly!$B29</f>
        <v>37.680587812631686</v>
      </c>
      <c r="P60" s="206">
        <v>146.25829999999999</v>
      </c>
      <c r="Q60" s="207">
        <v>3.896618918211693</v>
      </c>
    </row>
    <row r="61" spans="1:19" ht="15.5" x14ac:dyDescent="0.35">
      <c r="A61" s="19" t="s">
        <v>71</v>
      </c>
      <c r="B61" s="20">
        <f>oilGDPnominal!C69</f>
        <v>21894080</v>
      </c>
      <c r="C61" s="47">
        <f>consumption_investment_governme!F69</f>
        <v>15348207</v>
      </c>
      <c r="D61" s="47">
        <f>consumption_investment_governme!H69</f>
        <v>7149702</v>
      </c>
      <c r="E61" s="20">
        <f>oilGDPnominal!B69</f>
        <v>2222517</v>
      </c>
      <c r="F61" s="49">
        <v>3825068</v>
      </c>
      <c r="G61" s="59">
        <f>worldGDP!AU273</f>
        <v>0.60472099999999995</v>
      </c>
      <c r="H61" s="117">
        <f>oilGDPreal!B68</f>
        <v>1748038</v>
      </c>
      <c r="I61" s="117">
        <v>-906417</v>
      </c>
      <c r="J61" s="49">
        <v>25415613</v>
      </c>
      <c r="K61" s="72">
        <f>US_GDP_deflator!B283</f>
        <v>104.123</v>
      </c>
      <c r="L61">
        <v>3621.5184749141199</v>
      </c>
      <c r="M61">
        <v>3268.0148926923498</v>
      </c>
      <c r="N61">
        <v>2321.8955876341802</v>
      </c>
      <c r="O61">
        <f>[1]quarterly!$B30</f>
        <v>37.970763242863619</v>
      </c>
      <c r="P61" s="206">
        <v>142.95140000000001</v>
      </c>
      <c r="Q61" s="207">
        <v>3.8003056992688302</v>
      </c>
      <c r="R61">
        <v>27.972999999999999</v>
      </c>
      <c r="S61">
        <f>R61-R57</f>
        <v>7.9420000000000002</v>
      </c>
    </row>
    <row r="62" spans="1:19" ht="15.5" x14ac:dyDescent="0.35">
      <c r="A62" s="19" t="s">
        <v>72</v>
      </c>
      <c r="B62" s="20">
        <f>oilGDPnominal!C70</f>
        <v>21927458</v>
      </c>
      <c r="C62" s="47">
        <f>consumption_investment_governme!F70</f>
        <v>15462530</v>
      </c>
      <c r="D62" s="47">
        <f>consumption_investment_governme!H70</f>
        <v>6782799</v>
      </c>
      <c r="E62" s="20">
        <f>oilGDPnominal!B70</f>
        <v>1269754</v>
      </c>
      <c r="F62" s="49">
        <v>3615215</v>
      </c>
      <c r="G62" s="59">
        <f>worldGDP!AU274</f>
        <v>0.83981799999999995</v>
      </c>
      <c r="H62" s="117">
        <f>oilGDPreal!B69</f>
        <v>1720925</v>
      </c>
      <c r="I62" s="117">
        <v>-906976</v>
      </c>
      <c r="J62" s="49">
        <v>25052739</v>
      </c>
      <c r="K62" s="72">
        <f>US_GDP_deflator!B284</f>
        <v>104.03100000000001</v>
      </c>
      <c r="L62">
        <v>2758.8455196372201</v>
      </c>
      <c r="M62">
        <v>2803.6667842802699</v>
      </c>
      <c r="N62">
        <v>1775.1760364265599</v>
      </c>
      <c r="O62">
        <f>[1]quarterly!$B31</f>
        <v>37.347193151902935</v>
      </c>
      <c r="P62" s="206">
        <v>140.6189</v>
      </c>
      <c r="Q62" s="207">
        <v>3.83732283788859</v>
      </c>
    </row>
    <row r="63" spans="1:19" ht="15.5" x14ac:dyDescent="0.35">
      <c r="A63" s="19" t="s">
        <v>73</v>
      </c>
      <c r="B63" s="20">
        <f>oilGDPnominal!C71</f>
        <v>21791229</v>
      </c>
      <c r="C63" s="47">
        <f>consumption_investment_governme!F71</f>
        <v>15298830</v>
      </c>
      <c r="D63" s="47">
        <f>consumption_investment_governme!H71</f>
        <v>6611841</v>
      </c>
      <c r="E63" s="20">
        <f>oilGDPnominal!B71</f>
        <v>1487119</v>
      </c>
      <c r="F63" s="49">
        <v>3611008</v>
      </c>
      <c r="G63" s="59">
        <f>worldGDP!AU275</f>
        <v>0.56266000000000005</v>
      </c>
      <c r="H63" s="117">
        <f>oilGDPreal!B70</f>
        <v>1698319</v>
      </c>
      <c r="I63" s="117">
        <v>-863471</v>
      </c>
      <c r="J63" s="49">
        <v>25086195</v>
      </c>
      <c r="K63" s="72">
        <f>US_GDP_deflator!B285</f>
        <v>104.596</v>
      </c>
      <c r="L63">
        <v>3301.5659497275601</v>
      </c>
      <c r="M63">
        <v>2813.1988672791699</v>
      </c>
      <c r="N63">
        <v>1774.69804771963</v>
      </c>
      <c r="O63">
        <f>[1]quarterly!$B32</f>
        <v>37.36630218484288</v>
      </c>
      <c r="P63" s="206">
        <v>143.041</v>
      </c>
      <c r="Q63" s="207">
        <v>4.4695245052228287</v>
      </c>
    </row>
    <row r="64" spans="1:19" ht="15.5" x14ac:dyDescent="0.35">
      <c r="A64" s="19" t="s">
        <v>74</v>
      </c>
      <c r="B64" s="20">
        <f>oilGDPnominal!C72</f>
        <v>21693226</v>
      </c>
      <c r="C64" s="47">
        <f>consumption_investment_governme!F72</f>
        <v>15254879</v>
      </c>
      <c r="D64" s="47">
        <f>consumption_investment_governme!H72</f>
        <v>6482288</v>
      </c>
      <c r="E64" s="20">
        <f>oilGDPnominal!B72</f>
        <v>1250577</v>
      </c>
      <c r="F64" s="49">
        <v>3603087</v>
      </c>
      <c r="G64" s="59">
        <f>worldGDP!AU276</f>
        <v>0.51119199999999998</v>
      </c>
      <c r="H64" s="117">
        <f>oilGDPreal!B71</f>
        <v>1769317</v>
      </c>
      <c r="I64" s="117">
        <v>-503537</v>
      </c>
      <c r="J64" s="49">
        <v>24779738</v>
      </c>
      <c r="K64" s="72">
        <f>US_GDP_deflator!B286</f>
        <v>104.926</v>
      </c>
      <c r="L64">
        <v>2154.9676382157299</v>
      </c>
      <c r="M64">
        <v>2842.7650789290401</v>
      </c>
      <c r="N64">
        <v>1768.8908324342001</v>
      </c>
      <c r="O64">
        <f>[1]quarterly!$B33</f>
        <v>36.770737503508826</v>
      </c>
      <c r="P64" s="206">
        <v>141.66139999999999</v>
      </c>
      <c r="Q64" s="207">
        <v>4.2830050582692376</v>
      </c>
    </row>
    <row r="65" spans="1:19" ht="15.5" x14ac:dyDescent="0.35">
      <c r="A65" s="19" t="s">
        <v>75</v>
      </c>
      <c r="B65" s="20">
        <f>oilGDPnominal!C73</f>
        <v>21478117</v>
      </c>
      <c r="C65" s="47">
        <f>consumption_investment_governme!F73</f>
        <v>14975671</v>
      </c>
      <c r="D65" s="47">
        <f>consumption_investment_governme!H73</f>
        <v>6513528</v>
      </c>
      <c r="E65" s="20">
        <f>oilGDPnominal!B73</f>
        <v>1145025</v>
      </c>
      <c r="F65" s="49">
        <v>3497818</v>
      </c>
      <c r="G65" s="59">
        <f>worldGDP!AU277</f>
        <v>0.29979299999999998</v>
      </c>
      <c r="H65" s="117">
        <f>oilGDPreal!B72</f>
        <v>1762405</v>
      </c>
      <c r="I65" s="117">
        <v>-434096</v>
      </c>
      <c r="J65" s="49">
        <v>24371709</v>
      </c>
      <c r="K65" s="72">
        <f>US_GDP_deflator!B287</f>
        <v>104.937</v>
      </c>
      <c r="L65">
        <v>1930.41261510145</v>
      </c>
      <c r="M65">
        <v>2664.7105042233302</v>
      </c>
      <c r="N65">
        <v>1576.65924459609</v>
      </c>
      <c r="O65">
        <f>[1]quarterly!$B34</f>
        <v>37.091327816773905</v>
      </c>
      <c r="P65" s="206">
        <v>140.64420000000001</v>
      </c>
      <c r="Q65" s="207">
        <v>4.7728349052495478</v>
      </c>
      <c r="R65">
        <v>35.218000000000004</v>
      </c>
      <c r="S65">
        <f>R65-R61</f>
        <v>7.2450000000000045</v>
      </c>
    </row>
    <row r="66" spans="1:19" ht="15.5" x14ac:dyDescent="0.35">
      <c r="A66" s="19" t="s">
        <v>76</v>
      </c>
      <c r="B66" s="20">
        <f>oilGDPnominal!C74</f>
        <v>22334600</v>
      </c>
      <c r="C66" s="47">
        <f>consumption_investment_governme!F74</f>
        <v>15272408</v>
      </c>
      <c r="D66" s="47">
        <f>consumption_investment_governme!H74</f>
        <v>6363450</v>
      </c>
      <c r="E66" s="20">
        <f>oilGDPnominal!B74</f>
        <v>849907</v>
      </c>
      <c r="F66" s="49">
        <v>3632411</v>
      </c>
      <c r="G66" s="59">
        <f>worldGDP!AU278</f>
        <v>0.52035299999999995</v>
      </c>
      <c r="H66" s="117">
        <f>oilGDPreal!B73</f>
        <v>1757977</v>
      </c>
      <c r="I66" s="117">
        <v>-90086</v>
      </c>
      <c r="J66" s="49">
        <v>24913573</v>
      </c>
      <c r="K66" s="72">
        <f>US_GDP_deflator!B288</f>
        <v>104.86499999999999</v>
      </c>
      <c r="L66">
        <v>2147.3297151483298</v>
      </c>
      <c r="M66">
        <v>2792.5721238454398</v>
      </c>
      <c r="N66">
        <v>1651.3737301419801</v>
      </c>
      <c r="O66">
        <f>[1]quarterly!$B35</f>
        <v>35.415561645412843</v>
      </c>
      <c r="P66" s="206">
        <v>144.8074</v>
      </c>
      <c r="Q66" s="207">
        <v>5.7111401509944244</v>
      </c>
    </row>
    <row r="67" spans="1:19" ht="15.5" x14ac:dyDescent="0.35">
      <c r="A67" s="19" t="s">
        <v>77</v>
      </c>
      <c r="B67" s="20">
        <f>oilGDPnominal!C75</f>
        <v>22124924</v>
      </c>
      <c r="C67" s="47">
        <f>consumption_investment_governme!F75</f>
        <v>14963699</v>
      </c>
      <c r="D67" s="47">
        <f>consumption_investment_governme!H75</f>
        <v>6222531</v>
      </c>
      <c r="E67" s="20">
        <f>oilGDPnominal!B75</f>
        <v>1106498</v>
      </c>
      <c r="F67" s="49">
        <v>3668803</v>
      </c>
      <c r="G67" s="59">
        <f>worldGDP!AU279</f>
        <v>0.36299199999999998</v>
      </c>
      <c r="H67" s="117">
        <f>oilGDPreal!B74</f>
        <v>1804990</v>
      </c>
      <c r="I67" s="117">
        <v>204498</v>
      </c>
      <c r="J67" s="49">
        <v>24926186</v>
      </c>
      <c r="K67" s="72">
        <f>US_GDP_deflator!B289</f>
        <v>105.592</v>
      </c>
      <c r="L67">
        <v>2301.1096501150701</v>
      </c>
      <c r="M67">
        <v>2341.7586675531602</v>
      </c>
      <c r="N67">
        <v>1251.8351605038199</v>
      </c>
      <c r="O67">
        <f>[1]quarterly!$B36</f>
        <v>35.754432174491612</v>
      </c>
      <c r="P67" s="206">
        <v>143.8484</v>
      </c>
      <c r="Q67" s="207">
        <v>5.3228229740027428</v>
      </c>
    </row>
    <row r="68" spans="1:19" ht="15.5" x14ac:dyDescent="0.35">
      <c r="A68" s="19" t="s">
        <v>78</v>
      </c>
      <c r="B68" s="20">
        <f>oilGDPnominal!C76</f>
        <v>22108120</v>
      </c>
      <c r="C68" s="47">
        <f>consumption_investment_governme!F76</f>
        <v>14867587</v>
      </c>
      <c r="D68" s="47">
        <f>consumption_investment_governme!H76</f>
        <v>6262810</v>
      </c>
      <c r="E68" s="20">
        <f>oilGDPnominal!B76</f>
        <v>1096057</v>
      </c>
      <c r="F68" s="49">
        <v>3634828</v>
      </c>
      <c r="G68" s="59">
        <f>worldGDP!AU280</f>
        <v>0.36280299999999999</v>
      </c>
      <c r="H68" s="117">
        <f>oilGDPreal!B75</f>
        <v>1787677</v>
      </c>
      <c r="I68" s="117">
        <v>133735</v>
      </c>
      <c r="J68" s="49">
        <v>24910741</v>
      </c>
      <c r="K68" s="72">
        <f>US_GDP_deflator!B290</f>
        <v>105.95</v>
      </c>
      <c r="L68">
        <v>2939.75808894687</v>
      </c>
      <c r="M68">
        <v>2479.2813215773999</v>
      </c>
      <c r="N68">
        <v>1290.0549893744301</v>
      </c>
      <c r="O68">
        <f>[1]quarterly!$B37</f>
        <v>34.800694175484679</v>
      </c>
      <c r="P68" s="206">
        <v>143.90199999999999</v>
      </c>
      <c r="Q68" s="207">
        <v>5.202493756674234</v>
      </c>
    </row>
    <row r="69" spans="1:19" ht="15.5" x14ac:dyDescent="0.35">
      <c r="A69" s="19" t="s">
        <v>79</v>
      </c>
      <c r="B69" s="20">
        <f>oilGDPnominal!C77</f>
        <v>22195471</v>
      </c>
      <c r="C69" s="47">
        <f>consumption_investment_governme!F77</f>
        <v>14785998</v>
      </c>
      <c r="D69" s="47">
        <f>consumption_investment_governme!H77</f>
        <v>6231997</v>
      </c>
      <c r="E69" s="20">
        <f>oilGDPnominal!B77</f>
        <v>1222709</v>
      </c>
      <c r="F69" s="49">
        <v>3660552</v>
      </c>
      <c r="G69" s="59">
        <f>worldGDP!AU281</f>
        <v>0.89258800000000005</v>
      </c>
      <c r="H69" s="117">
        <f>oilGDPreal!B76</f>
        <v>1820505</v>
      </c>
      <c r="I69" s="117">
        <v>239791</v>
      </c>
      <c r="J69" s="49">
        <v>25187196</v>
      </c>
      <c r="K69" s="72">
        <f>US_GDP_deflator!B291</f>
        <v>106.46899999999999</v>
      </c>
      <c r="L69">
        <v>2903.1816098939398</v>
      </c>
      <c r="M69">
        <v>2750.55622102405</v>
      </c>
      <c r="N69">
        <v>1505.17357270602</v>
      </c>
      <c r="O69">
        <f>[1]quarterly!$B38</f>
        <v>35.92859542369758</v>
      </c>
      <c r="P69" s="206">
        <v>144.1704</v>
      </c>
      <c r="Q69" s="207">
        <v>5.2126029462724919</v>
      </c>
      <c r="R69">
        <v>44.582000000000001</v>
      </c>
      <c r="S69">
        <f>R69-R65</f>
        <v>9.3639999999999972</v>
      </c>
    </row>
    <row r="70" spans="1:19" ht="15.5" x14ac:dyDescent="0.35">
      <c r="A70" s="19" t="s">
        <v>80</v>
      </c>
      <c r="B70" s="20">
        <f>oilGDPnominal!C78</f>
        <v>22866768</v>
      </c>
      <c r="C70" s="47">
        <f>consumption_investment_governme!F78</f>
        <v>15633202</v>
      </c>
      <c r="D70" s="47">
        <f>consumption_investment_governme!H78</f>
        <v>6549822</v>
      </c>
      <c r="E70" s="20">
        <f>oilGDPnominal!B78</f>
        <v>1370403</v>
      </c>
      <c r="F70" s="49">
        <v>3738191</v>
      </c>
      <c r="G70" s="59">
        <f>worldGDP!AU282</f>
        <v>0.71424299999999996</v>
      </c>
      <c r="H70" s="117">
        <f>oilGDPreal!B77</f>
        <v>1732160</v>
      </c>
      <c r="I70" s="117">
        <v>58816</v>
      </c>
      <c r="J70" s="49">
        <v>26000261</v>
      </c>
      <c r="K70" s="72">
        <f>US_GDP_deflator!B292</f>
        <v>107.01</v>
      </c>
      <c r="L70">
        <v>2622.0704460996499</v>
      </c>
      <c r="M70">
        <v>2723.6117844676901</v>
      </c>
      <c r="N70">
        <v>1484.0923147593501</v>
      </c>
      <c r="O70">
        <f>[1]quarterly!$B39</f>
        <v>34.873099446932763</v>
      </c>
      <c r="P70" s="206">
        <v>148.59049999999999</v>
      </c>
      <c r="Q70" s="207">
        <v>4.3963009077772526</v>
      </c>
    </row>
    <row r="71" spans="1:19" ht="15.5" x14ac:dyDescent="0.35">
      <c r="A71" s="19" t="s">
        <v>81</v>
      </c>
      <c r="B71" s="20">
        <f>oilGDPnominal!C79</f>
        <v>22820041</v>
      </c>
      <c r="C71" s="47">
        <f>consumption_investment_governme!F79</f>
        <v>15645616</v>
      </c>
      <c r="D71" s="47">
        <f>consumption_investment_governme!H79</f>
        <v>6592246</v>
      </c>
      <c r="E71" s="20">
        <f>oilGDPnominal!B79</f>
        <v>1372271</v>
      </c>
      <c r="F71" s="49">
        <v>3773698</v>
      </c>
      <c r="G71" s="59">
        <f>worldGDP!AU283</f>
        <v>0.62498900000000002</v>
      </c>
      <c r="H71" s="117">
        <f>oilGDPreal!B78</f>
        <v>1786632</v>
      </c>
      <c r="I71" s="117">
        <v>-231191</v>
      </c>
      <c r="J71" s="49">
        <v>25993550</v>
      </c>
      <c r="K71" s="72">
        <f>US_GDP_deflator!B293</f>
        <v>107.34</v>
      </c>
      <c r="L71">
        <v>2280.83985654657</v>
      </c>
      <c r="M71">
        <v>2634.7042271553901</v>
      </c>
      <c r="N71">
        <v>1429.13327362768</v>
      </c>
      <c r="O71">
        <f>[1]quarterly!$B40</f>
        <v>35.478245566437828</v>
      </c>
      <c r="P71" s="206">
        <v>146.9727</v>
      </c>
      <c r="Q71" s="207">
        <v>4.4921838616379643</v>
      </c>
    </row>
    <row r="72" spans="1:19" ht="15.5" x14ac:dyDescent="0.35">
      <c r="A72" s="19" t="s">
        <v>82</v>
      </c>
      <c r="B72" s="20">
        <f>oilGDPnominal!C80</f>
        <v>22781304</v>
      </c>
      <c r="C72" s="47">
        <f>consumption_investment_governme!F80</f>
        <v>15603095</v>
      </c>
      <c r="D72" s="47">
        <f>consumption_investment_governme!H80</f>
        <v>6635603</v>
      </c>
      <c r="E72" s="20">
        <f>oilGDPnominal!B80</f>
        <v>1368584</v>
      </c>
      <c r="F72" s="49">
        <v>3827485</v>
      </c>
      <c r="G72" s="59">
        <f>worldGDP!AU284</f>
        <v>0.72391899999999998</v>
      </c>
      <c r="H72" s="117">
        <f>oilGDPreal!B79</f>
        <v>1770356</v>
      </c>
      <c r="I72" s="117">
        <v>-301557</v>
      </c>
      <c r="J72" s="49">
        <v>25960907</v>
      </c>
      <c r="K72" s="72">
        <f>US_GDP_deflator!B294</f>
        <v>107.872</v>
      </c>
      <c r="L72">
        <v>1764.86130796969</v>
      </c>
      <c r="M72">
        <v>2707.9587859322801</v>
      </c>
      <c r="N72">
        <v>1446.38486208057</v>
      </c>
      <c r="O72">
        <f>[1]quarterly!$B41</f>
        <v>35.579560767156778</v>
      </c>
      <c r="P72" s="206">
        <v>145.68899999999999</v>
      </c>
      <c r="Q72" s="207">
        <v>4.1385564117553475</v>
      </c>
    </row>
    <row r="73" spans="1:19" ht="15.5" x14ac:dyDescent="0.35">
      <c r="A73" s="19" t="s">
        <v>83</v>
      </c>
      <c r="B73" s="20">
        <f>oilGDPnominal!C81</f>
        <v>22974643</v>
      </c>
      <c r="C73" s="47">
        <f>consumption_investment_governme!F81</f>
        <v>15596074</v>
      </c>
      <c r="D73" s="47">
        <f>consumption_investment_governme!H81</f>
        <v>6718585</v>
      </c>
      <c r="E73" s="20">
        <f>oilGDPnominal!B81</f>
        <v>1528719</v>
      </c>
      <c r="F73" s="49">
        <v>3857844</v>
      </c>
      <c r="G73" s="59">
        <f>worldGDP!AU285</f>
        <v>0.85884000000000005</v>
      </c>
      <c r="H73" s="117">
        <f>oilGDPreal!B80</f>
        <v>1719375</v>
      </c>
      <c r="I73" s="117">
        <v>-314634</v>
      </c>
      <c r="J73" s="49">
        <v>26341144</v>
      </c>
      <c r="K73" s="72">
        <f>US_GDP_deflator!B295</f>
        <v>108.598</v>
      </c>
      <c r="L73">
        <v>1976.9926771431201</v>
      </c>
      <c r="M73">
        <v>2726.8486345823899</v>
      </c>
      <c r="N73">
        <v>1424.77496855443</v>
      </c>
      <c r="O73">
        <f>[1]quarterly!$B42</f>
        <v>36.246103347680204</v>
      </c>
      <c r="P73" s="206">
        <v>146.7278</v>
      </c>
      <c r="Q73" s="207">
        <v>4.6236508443700632</v>
      </c>
      <c r="R73">
        <v>47.03</v>
      </c>
      <c r="S73">
        <f>R73-R69</f>
        <v>2.4480000000000004</v>
      </c>
    </row>
    <row r="74" spans="1:19" ht="15.5" x14ac:dyDescent="0.35">
      <c r="A74" s="19" t="s">
        <v>84</v>
      </c>
      <c r="B74" s="20">
        <f>oilGDPnominal!C82</f>
        <v>23003445</v>
      </c>
      <c r="C74" s="47">
        <f>consumption_investment_governme!F82</f>
        <v>15690603</v>
      </c>
      <c r="D74" s="47">
        <f>consumption_investment_governme!H82</f>
        <v>6900492</v>
      </c>
      <c r="E74" s="20">
        <f>oilGDPnominal!B82</f>
        <v>1614278</v>
      </c>
      <c r="F74" s="49">
        <v>3856675</v>
      </c>
      <c r="G74" s="59">
        <f>worldGDP!AU286</f>
        <v>0.583256</v>
      </c>
      <c r="H74" s="117">
        <f>oilGDPreal!B81</f>
        <v>1612950</v>
      </c>
      <c r="I74" s="117">
        <v>72036</v>
      </c>
      <c r="J74" s="49">
        <v>26510612</v>
      </c>
      <c r="K74" s="72">
        <f>US_GDP_deflator!B296</f>
        <v>109.23699999999999</v>
      </c>
      <c r="L74">
        <v>1773.1375413139299</v>
      </c>
      <c r="M74">
        <v>2948.8316508826301</v>
      </c>
      <c r="N74">
        <v>1574.75307115592</v>
      </c>
      <c r="O74">
        <f>[1]quarterly!$B43</f>
        <v>35.9115305870478</v>
      </c>
      <c r="P74" s="206">
        <v>149.2499</v>
      </c>
      <c r="Q74" s="208">
        <v>4.4344972258787765</v>
      </c>
    </row>
    <row r="75" spans="1:19" ht="15.5" x14ac:dyDescent="0.35">
      <c r="A75" s="19" t="s">
        <v>85</v>
      </c>
      <c r="B75" s="20">
        <f>oilGDPnominal!C83</f>
        <v>23257274</v>
      </c>
      <c r="C75" s="47">
        <f>consumption_investment_governme!F83</f>
        <v>15950509</v>
      </c>
      <c r="D75" s="47">
        <f>consumption_investment_governme!H83</f>
        <v>6940983</v>
      </c>
      <c r="E75" s="20">
        <f>oilGDPnominal!B83</f>
        <v>1629986</v>
      </c>
      <c r="F75" s="49">
        <v>3960438</v>
      </c>
      <c r="G75" s="59">
        <f>worldGDP!AU287</f>
        <v>0.51052699999999995</v>
      </c>
      <c r="H75" s="117">
        <f>oilGDPreal!B82</f>
        <v>1619142</v>
      </c>
      <c r="I75" s="117">
        <v>-232201</v>
      </c>
      <c r="J75" s="49">
        <v>26761827</v>
      </c>
      <c r="K75" s="72">
        <f>US_GDP_deflator!B297</f>
        <v>110.176</v>
      </c>
      <c r="L75">
        <v>1703.04235060774</v>
      </c>
      <c r="M75">
        <v>3326.8464088047899</v>
      </c>
      <c r="N75">
        <v>1809.75388264564</v>
      </c>
      <c r="O75">
        <f>[1]quarterly!$B44</f>
        <v>35.744142054819726</v>
      </c>
      <c r="P75" s="206">
        <v>149.14750000000001</v>
      </c>
      <c r="Q75" s="208">
        <v>4.1371362156575282</v>
      </c>
    </row>
    <row r="76" spans="1:19" ht="15.5" x14ac:dyDescent="0.35">
      <c r="A76" s="19" t="s">
        <v>86</v>
      </c>
      <c r="B76" s="20">
        <f>oilGDPnominal!C84</f>
        <v>23360540</v>
      </c>
      <c r="C76" s="47">
        <f>consumption_investment_governme!F84</f>
        <v>16185856</v>
      </c>
      <c r="D76" s="47">
        <f>consumption_investment_governme!H84</f>
        <v>6900122</v>
      </c>
      <c r="E76" s="20">
        <f>oilGDPnominal!B84</f>
        <v>1793243</v>
      </c>
      <c r="F76" s="49">
        <v>3967589</v>
      </c>
      <c r="G76" s="59">
        <f>worldGDP!AU288</f>
        <v>0.22423799999999999</v>
      </c>
      <c r="H76" s="117">
        <f>oilGDPreal!B83</f>
        <v>1678356</v>
      </c>
      <c r="I76" s="117">
        <v>-460088</v>
      </c>
      <c r="J76" s="49">
        <v>27078404</v>
      </c>
      <c r="K76" s="72">
        <f>US_GDP_deflator!B298</f>
        <v>110.614</v>
      </c>
      <c r="L76">
        <v>1710.47453246703</v>
      </c>
      <c r="M76">
        <v>3052.69174452371</v>
      </c>
      <c r="N76">
        <v>1679.2233628987401</v>
      </c>
      <c r="O76">
        <f>[1]quarterly!$B45</f>
        <v>35.75177082191567</v>
      </c>
      <c r="P76" s="206">
        <v>149.76310000000001</v>
      </c>
      <c r="Q76" s="208">
        <v>4.0261331264293183</v>
      </c>
    </row>
    <row r="77" spans="1:19" ht="15.5" x14ac:dyDescent="0.35">
      <c r="A77" s="19" t="s">
        <v>87</v>
      </c>
      <c r="B77" s="20">
        <f>oilGDPnominal!C85</f>
        <v>23415803</v>
      </c>
      <c r="C77" s="47">
        <f>consumption_investment_governme!F85</f>
        <v>16375332</v>
      </c>
      <c r="D77" s="47">
        <f>consumption_investment_governme!H85</f>
        <v>6776087</v>
      </c>
      <c r="E77" s="20">
        <f>oilGDPnominal!B85</f>
        <v>1881384</v>
      </c>
      <c r="F77" s="49">
        <v>4044508</v>
      </c>
      <c r="G77" s="59">
        <f>worldGDP!AU289</f>
        <v>0.27390999999999999</v>
      </c>
      <c r="H77" s="117">
        <f>oilGDPreal!B84</f>
        <v>1652169</v>
      </c>
      <c r="I77" s="117">
        <v>-619682</v>
      </c>
      <c r="J77" s="49">
        <v>27211165</v>
      </c>
      <c r="K77" s="72">
        <f>US_GDP_deflator!B299</f>
        <v>111.14</v>
      </c>
      <c r="L77">
        <v>1271.3639051314201</v>
      </c>
      <c r="M77">
        <v>2903.7823586802201</v>
      </c>
      <c r="N77">
        <v>1610.35580357137</v>
      </c>
      <c r="O77">
        <f>[1]quarterly!$B46</f>
        <v>36.187507512148024</v>
      </c>
      <c r="P77" s="206">
        <v>150.47149999999999</v>
      </c>
      <c r="Q77" s="208">
        <v>3.6887066219644518</v>
      </c>
      <c r="R77">
        <v>49.087000000000003</v>
      </c>
      <c r="S77">
        <f>R77-R73</f>
        <v>2.0570000000000022</v>
      </c>
    </row>
    <row r="78" spans="1:19" ht="15.5" x14ac:dyDescent="0.35">
      <c r="A78" s="19" t="s">
        <v>88</v>
      </c>
      <c r="B78" s="20">
        <f>oilGDPnominal!C86</f>
        <v>23275978</v>
      </c>
      <c r="C78" s="47">
        <f>consumption_investment_governme!F86</f>
        <v>16076224</v>
      </c>
      <c r="D78" s="47">
        <f>consumption_investment_governme!H86</f>
        <v>6645357</v>
      </c>
      <c r="E78" s="20">
        <f>oilGDPnominal!B86</f>
        <v>1656263</v>
      </c>
      <c r="F78" s="49">
        <v>3899728</v>
      </c>
      <c r="G78" s="59">
        <f>worldGDP!AU290</f>
        <v>0.63328899999999999</v>
      </c>
      <c r="H78" s="117">
        <f>oilGDPreal!B85</f>
        <v>1635569</v>
      </c>
      <c r="I78" s="117">
        <v>-154524</v>
      </c>
      <c r="J78" s="49">
        <v>26914897</v>
      </c>
      <c r="K78" s="72">
        <f>US_GDP_deflator!B300</f>
        <v>111.42400000000001</v>
      </c>
      <c r="L78">
        <v>1533.62905161358</v>
      </c>
      <c r="M78">
        <v>3012.2159281924501</v>
      </c>
      <c r="N78">
        <v>1556.18913171802</v>
      </c>
      <c r="O78">
        <f>[1]quarterly!$B47</f>
        <v>34.170604468610428</v>
      </c>
      <c r="P78" s="206">
        <v>149.7714</v>
      </c>
      <c r="Q78" s="208">
        <v>4.6093947993182205</v>
      </c>
    </row>
    <row r="79" spans="1:19" ht="15.5" x14ac:dyDescent="0.35">
      <c r="A79" s="19" t="s">
        <v>89</v>
      </c>
      <c r="B79" s="20">
        <f>oilGDPnominal!C87</f>
        <v>23398876</v>
      </c>
      <c r="C79" s="47">
        <f>consumption_investment_governme!F87</f>
        <v>16333602</v>
      </c>
      <c r="D79" s="47">
        <f>consumption_investment_governme!H87</f>
        <v>6796735</v>
      </c>
      <c r="E79" s="20">
        <f>oilGDPnominal!B87</f>
        <v>1689993</v>
      </c>
      <c r="F79" s="49">
        <v>3898304</v>
      </c>
      <c r="G79" s="59">
        <f>worldGDP!AU291</f>
        <v>0.37345400000000001</v>
      </c>
      <c r="H79" s="117">
        <f>oilGDPreal!B86</f>
        <v>1642589</v>
      </c>
      <c r="I79" s="117">
        <v>-154089</v>
      </c>
      <c r="J79" s="49">
        <v>27058331</v>
      </c>
      <c r="K79" s="72">
        <f>US_GDP_deflator!B301</f>
        <v>112.14100000000001</v>
      </c>
      <c r="L79">
        <v>1719.55934163599</v>
      </c>
      <c r="M79">
        <v>2998.1497422325901</v>
      </c>
      <c r="N79">
        <v>1507.54611979477</v>
      </c>
      <c r="O79">
        <f>[1]quarterly!$B48</f>
        <v>34.703233225180178</v>
      </c>
      <c r="P79" s="206">
        <v>150.24760000000001</v>
      </c>
      <c r="Q79" s="208">
        <v>4.4480752419948404</v>
      </c>
    </row>
    <row r="80" spans="1:19" ht="15.5" x14ac:dyDescent="0.35">
      <c r="A80" s="19" t="s">
        <v>90</v>
      </c>
      <c r="B80" s="20">
        <f>oilGDPnominal!C88</f>
        <v>23374518</v>
      </c>
      <c r="C80" s="47">
        <f>consumption_investment_governme!F88</f>
        <v>16336510</v>
      </c>
      <c r="D80" s="47">
        <f>consumption_investment_governme!H88</f>
        <v>6734396</v>
      </c>
      <c r="E80" s="20">
        <f>oilGDPnominal!B88</f>
        <v>1684037</v>
      </c>
      <c r="F80" s="49">
        <v>3891915</v>
      </c>
      <c r="G80" s="59">
        <f>worldGDP!AU292</f>
        <v>0.42879299999999998</v>
      </c>
      <c r="H80" s="117">
        <f>oilGDPreal!B87</f>
        <v>1687990</v>
      </c>
      <c r="I80" s="117">
        <v>36989</v>
      </c>
      <c r="J80" s="49">
        <v>27054758</v>
      </c>
      <c r="K80" s="72">
        <f>US_GDP_deflator!B302</f>
        <v>112.53100000000001</v>
      </c>
      <c r="L80">
        <v>1664.64088426073</v>
      </c>
      <c r="M80">
        <v>2851.1781083743799</v>
      </c>
      <c r="N80">
        <v>1442.2184538844999</v>
      </c>
      <c r="O80">
        <f>[1]quarterly!$B49</f>
        <v>34.891009544904406</v>
      </c>
      <c r="P80" s="206">
        <v>149.67760000000001</v>
      </c>
      <c r="Q80" s="208">
        <v>4.8556321410318208</v>
      </c>
    </row>
    <row r="81" spans="1:19" ht="15.5" x14ac:dyDescent="0.35">
      <c r="A81" s="19" t="s">
        <v>91</v>
      </c>
      <c r="B81" s="20">
        <f>oilGDPnominal!C89</f>
        <v>23332485</v>
      </c>
      <c r="C81" s="47">
        <f>consumption_investment_governme!F89</f>
        <v>16252564</v>
      </c>
      <c r="D81" s="47">
        <f>consumption_investment_governme!H89</f>
        <v>6644595</v>
      </c>
      <c r="E81" s="20">
        <f>oilGDPnominal!B89</f>
        <v>1628495</v>
      </c>
      <c r="F81" s="49">
        <v>3893234</v>
      </c>
      <c r="G81" s="59">
        <f>worldGDP!AU293</f>
        <v>0.16952200000000001</v>
      </c>
      <c r="H81" s="117">
        <f>oilGDPreal!B88</f>
        <v>1621169</v>
      </c>
      <c r="I81" s="117">
        <v>314777</v>
      </c>
      <c r="J81" s="49">
        <v>27080023</v>
      </c>
      <c r="K81" s="72">
        <f>US_GDP_deflator!B303</f>
        <v>112.95</v>
      </c>
      <c r="O81">
        <f>[1]quarterly!$B50</f>
        <v>36.164914369098568</v>
      </c>
      <c r="P81" s="206">
        <v>151.9297</v>
      </c>
      <c r="Q81" s="208">
        <v>3.8416174154157696</v>
      </c>
      <c r="R81">
        <v>51.411000000000001</v>
      </c>
      <c r="S81">
        <f>R81-R77</f>
        <v>2.3239999999999981</v>
      </c>
    </row>
    <row r="82" spans="1:19" ht="15.5" x14ac:dyDescent="0.35">
      <c r="A82" s="19" t="s">
        <v>92</v>
      </c>
      <c r="F82" s="99"/>
      <c r="K82" s="72">
        <f>US_GDP_deflator!B304</f>
        <v>113.41500000000001</v>
      </c>
    </row>
    <row r="83" spans="1:19" x14ac:dyDescent="0.35">
      <c r="F83" s="59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3"/>
  <sheetViews>
    <sheetView workbookViewId="0">
      <pane xSplit="1" ySplit="1" topLeftCell="I167" activePane="bottomRight" state="frozen"/>
      <selection pane="topRight" activeCell="B1" sqref="B1"/>
      <selection pane="bottomLeft" activeCell="A2" sqref="A2"/>
      <selection pane="bottomRight" activeCell="Q182" sqref="Q182"/>
    </sheetView>
  </sheetViews>
  <sheetFormatPr defaultRowHeight="14.5" x14ac:dyDescent="0.35"/>
  <cols>
    <col min="2" max="2" width="17.90625" bestFit="1" customWidth="1"/>
    <col min="4" max="4" width="8.6328125"/>
    <col min="5" max="5" width="22.90625" bestFit="1" customWidth="1"/>
    <col min="6" max="6" width="17.08984375" bestFit="1" customWidth="1"/>
    <col min="7" max="7" width="15.6328125" bestFit="1" customWidth="1"/>
    <col min="8" max="8" width="19.453125" bestFit="1" customWidth="1"/>
    <col min="9" max="9" width="20.08984375" bestFit="1" customWidth="1"/>
    <col min="10" max="10" width="20.08984375" customWidth="1"/>
    <col min="11" max="11" width="19.36328125" bestFit="1" customWidth="1"/>
    <col min="12" max="12" width="18.90625" bestFit="1" customWidth="1"/>
  </cols>
  <sheetData>
    <row r="1" spans="1:17" x14ac:dyDescent="0.35">
      <c r="B1" t="s">
        <v>532</v>
      </c>
      <c r="C1" t="s">
        <v>533</v>
      </c>
      <c r="D1" t="s">
        <v>510</v>
      </c>
      <c r="E1" t="s">
        <v>534</v>
      </c>
      <c r="F1" t="s">
        <v>535</v>
      </c>
      <c r="G1" t="s">
        <v>536</v>
      </c>
      <c r="H1" t="s">
        <v>537</v>
      </c>
      <c r="I1" t="s">
        <v>563</v>
      </c>
      <c r="J1" t="s">
        <v>566</v>
      </c>
      <c r="K1" t="s">
        <v>564</v>
      </c>
      <c r="L1" t="s">
        <v>565</v>
      </c>
      <c r="M1" t="s">
        <v>548</v>
      </c>
      <c r="N1" t="s">
        <v>549</v>
      </c>
      <c r="O1" t="s">
        <v>550</v>
      </c>
      <c r="P1" t="s">
        <v>567</v>
      </c>
      <c r="Q1" t="s">
        <v>681</v>
      </c>
    </row>
    <row r="2" spans="1:17" x14ac:dyDescent="0.35">
      <c r="A2" s="61">
        <v>36526</v>
      </c>
      <c r="B2" s="54">
        <v>5.4989999999999997</v>
      </c>
      <c r="C2" s="81">
        <f>oilprice!B2</f>
        <v>22.84</v>
      </c>
      <c r="D2" s="81">
        <f>EMBI!B2</f>
        <v>3672.8</v>
      </c>
      <c r="E2" s="76">
        <f>g_consumption!B2</f>
        <v>28.343358953839608</v>
      </c>
      <c r="F2" s="76">
        <f>g_wages!B2</f>
        <v>5.0834106769427132</v>
      </c>
      <c r="G2" s="76">
        <f>g_fbkf!B2</f>
        <v>28.949102829185286</v>
      </c>
      <c r="H2" s="76">
        <f>g_transfers!B2</f>
        <v>30.260721372829678</v>
      </c>
      <c r="I2">
        <f>tax_receipts!C2</f>
        <v>56.500428999999997</v>
      </c>
      <c r="J2">
        <f>tax_receipts!F2</f>
        <v>12.971592346405203</v>
      </c>
      <c r="K2" s="148">
        <f>J2*tax_receipts!G2/(tax_receipts!G2+tax_receipts!H2)</f>
        <v>0.50686815816550934</v>
      </c>
      <c r="L2" s="148">
        <f>J2-K2</f>
        <v>12.464724188239693</v>
      </c>
      <c r="M2">
        <f>debt!B2</f>
        <v>2568.8000000000002</v>
      </c>
      <c r="N2">
        <f>debt!C2</f>
        <v>13646.8</v>
      </c>
      <c r="O2">
        <f>debt!D2</f>
        <v>3303.4</v>
      </c>
      <c r="P2">
        <f>real_exchange_rate!B2</f>
        <v>214.06015441979125</v>
      </c>
    </row>
    <row r="3" spans="1:17" x14ac:dyDescent="0.35">
      <c r="A3" s="61">
        <v>36557</v>
      </c>
      <c r="B3" s="54">
        <v>5.7270000000000003</v>
      </c>
      <c r="C3" s="81">
        <f>oilprice!B3</f>
        <v>24.26</v>
      </c>
      <c r="D3" s="81">
        <f>EMBI!B3</f>
        <v>4043.05</v>
      </c>
      <c r="E3" s="76">
        <f>g_consumption!B3</f>
        <v>22.008969389999997</v>
      </c>
      <c r="F3" s="76">
        <f>g_wages!B3</f>
        <v>76.140046438461539</v>
      </c>
      <c r="G3" s="76">
        <f>g_fbkf!B3</f>
        <v>33.752031620000004</v>
      </c>
      <c r="H3" s="76">
        <f>g_transfers!B3</f>
        <v>68.043456272068866</v>
      </c>
      <c r="I3">
        <f>tax_receipts!C3</f>
        <v>53.671587000000002</v>
      </c>
      <c r="J3">
        <f>tax_receipts!F3</f>
        <v>13.401320760276999</v>
      </c>
      <c r="K3" s="148">
        <f>J3*tax_receipts!G3/(tax_receipts!G3+tax_receipts!H3)</f>
        <v>7.2685157620395726</v>
      </c>
      <c r="L3" s="148">
        <f t="shared" ref="L3:L66" si="0">J3-K3</f>
        <v>6.1328049982374262</v>
      </c>
      <c r="M3">
        <f>debt!B3</f>
        <v>2532.9</v>
      </c>
      <c r="N3">
        <f>debt!C3</f>
        <v>13699.5</v>
      </c>
      <c r="O3">
        <f>debt!D3</f>
        <v>3289.7</v>
      </c>
      <c r="P3">
        <f>real_exchange_rate!B3</f>
        <v>196.54990945515198</v>
      </c>
    </row>
    <row r="4" spans="1:17" x14ac:dyDescent="0.35">
      <c r="A4" s="61">
        <v>36586</v>
      </c>
      <c r="B4" s="54">
        <v>5.8639130434782611</v>
      </c>
      <c r="C4" s="81">
        <f>oilprice!B4</f>
        <v>24.88</v>
      </c>
      <c r="D4" s="81">
        <f>EMBI!B4</f>
        <v>3115.2173913043398</v>
      </c>
      <c r="E4" s="76">
        <f>g_consumption!B4</f>
        <v>26.232688320000001</v>
      </c>
      <c r="F4" s="76">
        <f>g_wages!B4</f>
        <v>47.612526428461543</v>
      </c>
      <c r="G4" s="76">
        <f>g_fbkf!B4</f>
        <v>44.72974585</v>
      </c>
      <c r="H4" s="76">
        <f>g_transfers!B4</f>
        <v>53.702371776020279</v>
      </c>
      <c r="I4">
        <f>tax_receipts!C4</f>
        <v>53.359876</v>
      </c>
      <c r="J4">
        <f>tax_receipts!F4</f>
        <v>18.682313319581553</v>
      </c>
      <c r="K4" s="148">
        <f>J4*tax_receipts!G4/(tax_receipts!G4+tax_receipts!H4)</f>
        <v>2.5440414380470471</v>
      </c>
      <c r="L4" s="148">
        <f t="shared" si="0"/>
        <v>16.138271881534507</v>
      </c>
      <c r="M4">
        <f>debt!B4</f>
        <v>2440.5</v>
      </c>
      <c r="N4">
        <f>debt!C4</f>
        <v>13770</v>
      </c>
      <c r="O4">
        <f>debt!D4</f>
        <v>3295.3</v>
      </c>
      <c r="P4">
        <f>real_exchange_rate!B4</f>
        <v>183.59854483633595</v>
      </c>
    </row>
    <row r="5" spans="1:17" x14ac:dyDescent="0.35">
      <c r="A5" s="61">
        <v>36617</v>
      </c>
      <c r="B5" s="54">
        <v>5.8215789473684207</v>
      </c>
      <c r="C5" s="81">
        <f>oilprice!B5</f>
        <v>21.79</v>
      </c>
      <c r="D5" s="81">
        <f>EMBI!B5</f>
        <v>3372.0526315789398</v>
      </c>
      <c r="E5" s="76">
        <f>g_consumption!B5</f>
        <v>20.681452999999998</v>
      </c>
      <c r="F5" s="76">
        <f>g_wages!B5</f>
        <v>45.337873698461543</v>
      </c>
      <c r="G5" s="76">
        <f>g_fbkf!B5</f>
        <v>70.471062950000004</v>
      </c>
      <c r="H5" s="76">
        <f>g_transfers!B5</f>
        <v>72.701218803177539</v>
      </c>
      <c r="I5">
        <f>tax_receipts!C5</f>
        <v>61.710056520000002</v>
      </c>
      <c r="J5">
        <f>tax_receipts!F5</f>
        <v>49.928999999999995</v>
      </c>
      <c r="K5" s="148">
        <f>J5*tax_receipts!G5/(tax_receipts!G5+tax_receipts!H5)</f>
        <v>6.967142934644226</v>
      </c>
      <c r="L5" s="148">
        <f t="shared" si="0"/>
        <v>42.961857065355773</v>
      </c>
      <c r="M5">
        <f>debt!B5</f>
        <v>2381.4</v>
      </c>
      <c r="N5">
        <f>debt!C5</f>
        <v>13969.4</v>
      </c>
      <c r="O5">
        <f>debt!D5</f>
        <v>3256.9</v>
      </c>
      <c r="P5">
        <f>real_exchange_rate!B5</f>
        <v>166.29552170559774</v>
      </c>
    </row>
    <row r="6" spans="1:17" x14ac:dyDescent="0.35">
      <c r="A6" s="61">
        <v>36647</v>
      </c>
      <c r="B6" s="54">
        <v>5.9945454545454542</v>
      </c>
      <c r="C6" s="81">
        <f>oilprice!B6</f>
        <v>24.35</v>
      </c>
      <c r="D6" s="81">
        <f>EMBI!B6</f>
        <v>3971.7272727272698</v>
      </c>
      <c r="E6" s="76">
        <f>g_consumption!B6</f>
        <v>28.204444350000003</v>
      </c>
      <c r="F6" s="76">
        <f>g_wages!B6</f>
        <v>47.782719898461529</v>
      </c>
      <c r="G6" s="76">
        <f>g_fbkf!B6</f>
        <v>58.448923809999997</v>
      </c>
      <c r="H6" s="76">
        <f>g_transfers!B6</f>
        <v>47.719765011538456</v>
      </c>
      <c r="I6">
        <f>tax_receipts!C6</f>
        <v>59.423699999999997</v>
      </c>
      <c r="J6">
        <f>tax_receipts!F6</f>
        <v>19.404</v>
      </c>
      <c r="K6" s="148">
        <f>J6*tax_receipts!G6/(tax_receipts!G6+tax_receipts!H6)</f>
        <v>6.9855073043424394</v>
      </c>
      <c r="L6" s="148">
        <f t="shared" si="0"/>
        <v>12.418492695657561</v>
      </c>
      <c r="M6">
        <f>debt!B6</f>
        <v>2409.6999999999998</v>
      </c>
      <c r="N6">
        <f>debt!C6</f>
        <v>14011.6</v>
      </c>
      <c r="O6">
        <f>debt!D6</f>
        <v>3230.9</v>
      </c>
      <c r="P6">
        <f>real_exchange_rate!B6</f>
        <v>155.41637542579227</v>
      </c>
    </row>
    <row r="7" spans="1:17" x14ac:dyDescent="0.35">
      <c r="A7" s="61">
        <v>36678</v>
      </c>
      <c r="B7" s="54">
        <v>5.8618181818181814</v>
      </c>
      <c r="C7" s="81">
        <f>oilprice!B7</f>
        <v>26.59</v>
      </c>
      <c r="D7" s="81">
        <f>EMBI!B7</f>
        <v>4416.2272727272702</v>
      </c>
      <c r="E7" s="76">
        <f>g_consumption!B7</f>
        <v>34.471105850000001</v>
      </c>
      <c r="F7" s="76">
        <f>g_wages!B7</f>
        <v>57.056738348461543</v>
      </c>
      <c r="G7" s="76">
        <f>g_fbkf!B7</f>
        <v>67.945128440000005</v>
      </c>
      <c r="H7" s="76">
        <f>g_transfers!B7</f>
        <v>65.21278362000001</v>
      </c>
      <c r="I7">
        <f>tax_receipts!C7</f>
        <v>80.155000000000001</v>
      </c>
      <c r="J7">
        <f>tax_receipts!F7</f>
        <v>21.166999999999998</v>
      </c>
      <c r="K7" s="148">
        <f>J7*tax_receipts!G7/(tax_receipts!G7+tax_receipts!H7)</f>
        <v>5.2425261673823167</v>
      </c>
      <c r="L7" s="148">
        <f t="shared" si="0"/>
        <v>15.924473832617682</v>
      </c>
      <c r="M7">
        <f>debt!B7</f>
        <v>2389</v>
      </c>
      <c r="N7">
        <f>debt!C7</f>
        <v>14073.5</v>
      </c>
      <c r="O7">
        <f>debt!D7</f>
        <v>3219.9</v>
      </c>
      <c r="P7">
        <f>real_exchange_rate!B7</f>
        <v>149.3033313257111</v>
      </c>
    </row>
    <row r="8" spans="1:17" x14ac:dyDescent="0.35">
      <c r="A8" s="61">
        <v>36708</v>
      </c>
      <c r="B8" s="54">
        <v>6.1425000000000001</v>
      </c>
      <c r="C8" s="81">
        <f>oilprice!B8</f>
        <v>24.19</v>
      </c>
      <c r="D8" s="81">
        <f>EMBI!B8</f>
        <v>3795.75</v>
      </c>
      <c r="E8" s="76">
        <f>g_consumption!B8</f>
        <v>34.365728179999998</v>
      </c>
      <c r="F8" s="76">
        <f>g_wages!B8</f>
        <v>62.032084928461543</v>
      </c>
      <c r="G8" s="76">
        <f>g_fbkf!B8</f>
        <v>67.404170796666676</v>
      </c>
      <c r="H8" s="76">
        <f>g_transfers!B8</f>
        <v>54.83376981153846</v>
      </c>
      <c r="I8">
        <f>tax_receipts!C8</f>
        <v>75.138100000000009</v>
      </c>
      <c r="J8">
        <f>tax_receipts!F8</f>
        <v>28.1404</v>
      </c>
      <c r="K8" s="148">
        <f>J8*tax_receipts!G8/(tax_receipts!G8+tax_receipts!H8)</f>
        <v>3.7716353003281617</v>
      </c>
      <c r="L8" s="148">
        <f t="shared" si="0"/>
        <v>24.368764699671839</v>
      </c>
      <c r="M8">
        <f>debt!B8</f>
        <v>2437.3000000000002</v>
      </c>
      <c r="N8">
        <f>debt!C8</f>
        <v>13914.5</v>
      </c>
      <c r="O8">
        <f>debt!D8</f>
        <v>3207.1</v>
      </c>
      <c r="P8">
        <f>real_exchange_rate!B8</f>
        <v>145.46972739854155</v>
      </c>
    </row>
    <row r="9" spans="1:17" x14ac:dyDescent="0.35">
      <c r="A9" s="61">
        <v>36739</v>
      </c>
      <c r="B9" s="54">
        <v>6.2773913043478258</v>
      </c>
      <c r="C9" s="81">
        <f>oilprice!B9</f>
        <v>25.74</v>
      </c>
      <c r="D9" s="81">
        <f>EMBI!B9</f>
        <v>2574.6956521739098</v>
      </c>
      <c r="E9" s="76">
        <f>g_consumption!B9</f>
        <v>34.603116110000002</v>
      </c>
      <c r="F9" s="76">
        <f>g_wages!B9</f>
        <v>70.840883438461532</v>
      </c>
      <c r="G9" s="76">
        <f>g_fbkf!B9</f>
        <v>73.141680916666658</v>
      </c>
      <c r="H9" s="76">
        <f>g_transfers!B9</f>
        <v>87.676632951538451</v>
      </c>
      <c r="I9">
        <f>tax_receipts!C9</f>
        <v>86.789400000000001</v>
      </c>
      <c r="J9">
        <f>tax_receipts!F9</f>
        <v>22.750999999999998</v>
      </c>
      <c r="K9" s="148">
        <f>J9*tax_receipts!G9/(tax_receipts!G9+tax_receipts!H9)</f>
        <v>8.3148710142069824</v>
      </c>
      <c r="L9" s="148">
        <f t="shared" si="0"/>
        <v>14.436128985793015</v>
      </c>
      <c r="M9">
        <f>debt!B9</f>
        <v>2286.3000000000002</v>
      </c>
      <c r="N9">
        <f>debt!C9</f>
        <v>11226.3</v>
      </c>
      <c r="O9">
        <f>debt!D9</f>
        <v>3203.3</v>
      </c>
      <c r="P9">
        <f>real_exchange_rate!B9</f>
        <v>142.25778897307518</v>
      </c>
    </row>
    <row r="10" spans="1:17" x14ac:dyDescent="0.35">
      <c r="A10" s="61">
        <v>36770</v>
      </c>
      <c r="B10" s="54">
        <v>6.1749999999999998</v>
      </c>
      <c r="C10" s="81">
        <f>oilprice!B10</f>
        <v>27.96</v>
      </c>
      <c r="D10" s="81">
        <f>EMBI!B10</f>
        <v>1297.05</v>
      </c>
      <c r="E10" s="76">
        <f>g_consumption!B10</f>
        <v>34.60641553</v>
      </c>
      <c r="F10" s="76">
        <f>g_wages!B10</f>
        <v>63.421063648461541</v>
      </c>
      <c r="G10" s="76">
        <f>g_fbkf!B10</f>
        <v>86.696515816666661</v>
      </c>
      <c r="H10" s="76">
        <f>g_transfers!B10</f>
        <v>48.793556181538456</v>
      </c>
      <c r="I10">
        <f>tax_receipts!C10</f>
        <v>89.129000000000005</v>
      </c>
      <c r="J10">
        <f>tax_receipts!F10</f>
        <v>28.82</v>
      </c>
      <c r="K10" s="148">
        <f>J10*tax_receipts!G10/(tax_receipts!G10+tax_receipts!H10)</f>
        <v>5.6641624165238156</v>
      </c>
      <c r="L10" s="148">
        <f t="shared" si="0"/>
        <v>23.155837583476185</v>
      </c>
      <c r="M10">
        <f>debt!B10</f>
        <v>2331.6999999999998</v>
      </c>
      <c r="N10">
        <f>debt!C10</f>
        <v>11257.8</v>
      </c>
      <c r="O10">
        <f>debt!D10</f>
        <v>3164.8</v>
      </c>
      <c r="P10">
        <f>real_exchange_rate!B10</f>
        <v>136.55918854079613</v>
      </c>
    </row>
    <row r="11" spans="1:17" x14ac:dyDescent="0.35">
      <c r="A11" s="61">
        <v>36800</v>
      </c>
      <c r="B11" s="54">
        <v>6.2947619047619048</v>
      </c>
      <c r="C11" s="81">
        <f>oilprice!B11</f>
        <v>27.91</v>
      </c>
      <c r="D11" s="81">
        <f>EMBI!B11</f>
        <v>1300.6666666666599</v>
      </c>
      <c r="E11" s="76">
        <f>g_consumption!B11</f>
        <v>48.396680000000003</v>
      </c>
      <c r="F11" s="76">
        <f>g_wages!B11</f>
        <v>68.159541538461539</v>
      </c>
      <c r="G11" s="76">
        <f>g_fbkf!B11</f>
        <v>89.389386666666667</v>
      </c>
      <c r="H11" s="76">
        <f>g_transfers!B11</f>
        <v>71.999165128205121</v>
      </c>
      <c r="I11">
        <f>tax_receipts!C11</f>
        <v>89.424000000000007</v>
      </c>
      <c r="J11">
        <f>tax_receipts!F11</f>
        <v>25.128</v>
      </c>
      <c r="K11" s="148">
        <f>J11*tax_receipts!G11/(tax_receipts!G11+tax_receipts!H11)</f>
        <v>9.2846336571471397</v>
      </c>
      <c r="L11" s="148">
        <f t="shared" si="0"/>
        <v>15.84336634285286</v>
      </c>
      <c r="M11">
        <f>debt!B11</f>
        <v>2318.4</v>
      </c>
      <c r="N11">
        <f>debt!C11</f>
        <v>11186.1</v>
      </c>
      <c r="O11">
        <f>debt!D11</f>
        <v>3129.3</v>
      </c>
      <c r="P11">
        <f>real_exchange_rate!B11</f>
        <v>132.41475186277498</v>
      </c>
    </row>
    <row r="12" spans="1:17" x14ac:dyDescent="0.35">
      <c r="A12" s="61">
        <v>36831</v>
      </c>
      <c r="B12" s="54">
        <v>6.3561904761904762</v>
      </c>
      <c r="C12" s="81">
        <f>oilprice!B12</f>
        <v>27.27</v>
      </c>
      <c r="D12" s="81">
        <f>EMBI!B12</f>
        <v>1352.5238095238101</v>
      </c>
      <c r="E12" s="76">
        <f>g_consumption!B12</f>
        <v>44.926558464047631</v>
      </c>
      <c r="F12" s="76">
        <f>g_wages!B12</f>
        <v>93.931981538461528</v>
      </c>
      <c r="G12" s="76">
        <f>g_fbkf!B12</f>
        <v>66.728280306842578</v>
      </c>
      <c r="H12" s="76">
        <f>g_transfers!B12</f>
        <v>69.518518234781936</v>
      </c>
      <c r="I12">
        <f>tax_receipts!C12</f>
        <v>98.509</v>
      </c>
      <c r="J12">
        <f>tax_receipts!F12</f>
        <v>25.062999999999999</v>
      </c>
      <c r="K12" s="148">
        <f>J12*tax_receipts!G12/(tax_receipts!G12+tax_receipts!H12)</f>
        <v>13.560320153845154</v>
      </c>
      <c r="L12" s="148">
        <f t="shared" si="0"/>
        <v>11.502679846154845</v>
      </c>
      <c r="M12">
        <f>debt!B12</f>
        <v>2292.6999999999998</v>
      </c>
      <c r="N12">
        <f>debt!C12</f>
        <v>11161.9</v>
      </c>
      <c r="O12">
        <f>debt!D12</f>
        <v>3113.9</v>
      </c>
      <c r="P12">
        <f>real_exchange_rate!B12</f>
        <v>129.9280898559623</v>
      </c>
    </row>
    <row r="13" spans="1:17" x14ac:dyDescent="0.35">
      <c r="A13" s="61">
        <v>36861</v>
      </c>
      <c r="B13" s="54">
        <v>5.9370000000000003</v>
      </c>
      <c r="C13" s="81">
        <f>oilprice!B13</f>
        <v>20.58</v>
      </c>
      <c r="D13" s="81">
        <f>EMBI!B13</f>
        <v>1451.1</v>
      </c>
      <c r="E13" s="76">
        <f>g_consumption!B13</f>
        <v>53.045542614842219</v>
      </c>
      <c r="F13" s="76">
        <f>g_wages!B13</f>
        <v>123.59982153846153</v>
      </c>
      <c r="G13" s="76">
        <f>g_fbkf!B13</f>
        <v>94.582664321157154</v>
      </c>
      <c r="H13" s="76">
        <f>g_transfers!B13</f>
        <v>209.58083232906986</v>
      </c>
      <c r="I13">
        <f>tax_receipts!C13</f>
        <v>106.589</v>
      </c>
      <c r="J13">
        <f>tax_receipts!F13</f>
        <v>28.029</v>
      </c>
      <c r="K13" s="148">
        <f>J13*tax_receipts!G13/(tax_receipts!G13+tax_receipts!H13)</f>
        <v>7.2290677904563747</v>
      </c>
      <c r="L13" s="148">
        <f t="shared" si="0"/>
        <v>20.799932209543627</v>
      </c>
      <c r="M13">
        <f>debt!B13</f>
        <v>2229.1</v>
      </c>
      <c r="N13">
        <f>debt!C13</f>
        <v>11335.4</v>
      </c>
      <c r="O13">
        <f>debt!D13</f>
        <v>2833.5</v>
      </c>
      <c r="P13">
        <f>real_exchange_rate!B13</f>
        <v>127.3378169321991</v>
      </c>
    </row>
    <row r="14" spans="1:17" x14ac:dyDescent="0.35">
      <c r="A14" s="61">
        <v>36892</v>
      </c>
      <c r="B14" s="54">
        <v>5.2852380952380953</v>
      </c>
      <c r="C14" s="81">
        <f>oilprice!B14</f>
        <v>19.5</v>
      </c>
      <c r="D14" s="81">
        <f>EMBI!B14</f>
        <v>1322.1428571428501</v>
      </c>
      <c r="E14" s="76">
        <f>g_consumption!B14</f>
        <v>29.131584834916261</v>
      </c>
      <c r="F14" s="76">
        <f>g_wages!B14</f>
        <v>79.467483373085571</v>
      </c>
      <c r="G14" s="76">
        <f>g_fbkf!B14</f>
        <v>52.133253666666675</v>
      </c>
      <c r="H14" s="76">
        <f>g_transfers!B14</f>
        <v>66.038985999999994</v>
      </c>
      <c r="I14">
        <f>tax_receipts!C14</f>
        <v>107.63278444242736</v>
      </c>
      <c r="J14">
        <f>tax_receipts!F14</f>
        <v>31.925055069999999</v>
      </c>
      <c r="K14" s="148">
        <f>J14*tax_receipts!G14/(tax_receipts!G14+tax_receipts!H14)</f>
        <v>14.18523008585643</v>
      </c>
      <c r="L14" s="148">
        <f t="shared" si="0"/>
        <v>17.739824984143567</v>
      </c>
      <c r="M14">
        <f>debt!B14</f>
        <v>2238.8000000000002</v>
      </c>
      <c r="N14">
        <f>debt!C14</f>
        <v>11293.7</v>
      </c>
      <c r="O14">
        <f>debt!D14</f>
        <v>2803.5</v>
      </c>
      <c r="P14">
        <f>real_exchange_rate!B14</f>
        <v>119.9814418287116</v>
      </c>
    </row>
    <row r="15" spans="1:17" x14ac:dyDescent="0.35">
      <c r="A15" s="61">
        <v>36923</v>
      </c>
      <c r="B15" s="54">
        <v>5.0052631578947366</v>
      </c>
      <c r="C15" s="81">
        <f>oilprice!B15</f>
        <v>19.989999999999998</v>
      </c>
      <c r="D15" s="81">
        <f>EMBI!B15</f>
        <v>1246.3684210526301</v>
      </c>
      <c r="E15" s="76">
        <f>g_consumption!B15</f>
        <v>41.538916488488965</v>
      </c>
      <c r="F15" s="76">
        <f>g_wages!B15</f>
        <v>92.226933414310366</v>
      </c>
      <c r="G15" s="76">
        <f>g_fbkf!B15</f>
        <v>63.444124666666667</v>
      </c>
      <c r="H15" s="76">
        <f>g_transfers!B15</f>
        <v>37.719016000000011</v>
      </c>
      <c r="I15">
        <f>tax_receipts!C15</f>
        <v>103.26632847083182</v>
      </c>
      <c r="J15">
        <f>tax_receipts!F15</f>
        <v>18.743335090000006</v>
      </c>
      <c r="K15" s="148">
        <f>J15*tax_receipts!G15/(tax_receipts!G15+tax_receipts!H15)</f>
        <v>11.241500896765581</v>
      </c>
      <c r="L15" s="148">
        <f t="shared" si="0"/>
        <v>7.5018341932344246</v>
      </c>
      <c r="M15">
        <f>debt!B15</f>
        <v>2356.8000000000002</v>
      </c>
      <c r="N15">
        <f>debt!C15</f>
        <v>11322.1</v>
      </c>
      <c r="O15">
        <f>debt!D15</f>
        <v>2752.1</v>
      </c>
      <c r="P15">
        <f>real_exchange_rate!B15</f>
        <v>116.45867065239365</v>
      </c>
    </row>
    <row r="16" spans="1:17" x14ac:dyDescent="0.35">
      <c r="A16" s="61">
        <v>36951</v>
      </c>
      <c r="B16" s="54">
        <v>4.5354545454545452</v>
      </c>
      <c r="C16" s="81">
        <f>oilprice!B16</f>
        <v>18.940000000000001</v>
      </c>
      <c r="D16" s="81">
        <f>EMBI!B16</f>
        <v>1326.4090909090901</v>
      </c>
      <c r="E16" s="76">
        <f>g_consumption!B16</f>
        <v>42.858999999999995</v>
      </c>
      <c r="F16" s="76">
        <f>g_wages!B16</f>
        <v>109.81659999999999</v>
      </c>
      <c r="G16" s="76">
        <f>g_fbkf!B16</f>
        <v>119.64995666666667</v>
      </c>
      <c r="H16" s="76">
        <f>g_transfers!B16</f>
        <v>41.982399999999998</v>
      </c>
      <c r="I16">
        <f>tax_receipts!C16</f>
        <v>102.93878687002935</v>
      </c>
      <c r="J16">
        <f>tax_receipts!F16</f>
        <v>30.082321499999992</v>
      </c>
      <c r="K16" s="148">
        <f>J16*tax_receipts!G16/(tax_receipts!G16+tax_receipts!H16)</f>
        <v>2.1538375509527712</v>
      </c>
      <c r="L16" s="148">
        <f t="shared" si="0"/>
        <v>27.928483949047219</v>
      </c>
      <c r="M16">
        <f>debt!B16</f>
        <v>2342.8000000000002</v>
      </c>
      <c r="N16">
        <f>debt!C16</f>
        <v>11250.1</v>
      </c>
      <c r="O16">
        <f>debt!D16</f>
        <v>2747</v>
      </c>
      <c r="P16">
        <f>real_exchange_rate!B16</f>
        <v>113.35034314387781</v>
      </c>
    </row>
    <row r="17" spans="1:16" x14ac:dyDescent="0.35">
      <c r="A17" s="61">
        <v>36982</v>
      </c>
      <c r="B17" s="54">
        <v>3.9660000000000002</v>
      </c>
      <c r="C17" s="81">
        <f>oilprice!B17</f>
        <v>20.350000000000001</v>
      </c>
      <c r="D17" s="81">
        <f>EMBI!B17</f>
        <v>1474.7</v>
      </c>
      <c r="E17" s="76">
        <f>g_consumption!B17</f>
        <v>50.266170879701285</v>
      </c>
      <c r="F17" s="76">
        <f>g_wages!B17</f>
        <v>105.90344714806413</v>
      </c>
      <c r="G17" s="76">
        <f>g_fbkf!B17</f>
        <v>75.276426666666651</v>
      </c>
      <c r="H17" s="76">
        <f>g_transfers!B17</f>
        <v>45.374098999999994</v>
      </c>
      <c r="I17">
        <f>tax_receipts!C17</f>
        <v>113.08963636639999</v>
      </c>
      <c r="J17">
        <f>tax_receipts!F17</f>
        <v>159.34209929999997</v>
      </c>
      <c r="K17" s="148">
        <f>J17*tax_receipts!G17/(tax_receipts!G17+tax_receipts!H17)</f>
        <v>15.522378573494175</v>
      </c>
      <c r="L17" s="148">
        <f t="shared" si="0"/>
        <v>143.81972072650581</v>
      </c>
      <c r="M17">
        <f>debt!B17</f>
        <v>2242</v>
      </c>
      <c r="N17">
        <f>debt!C17</f>
        <v>11210.9</v>
      </c>
      <c r="O17">
        <f>debt!D17</f>
        <v>2694.8</v>
      </c>
      <c r="P17">
        <f>real_exchange_rate!B17</f>
        <v>110.86368113706511</v>
      </c>
    </row>
    <row r="18" spans="1:16" x14ac:dyDescent="0.35">
      <c r="A18" s="61">
        <v>37012</v>
      </c>
      <c r="B18" s="54">
        <v>3.7031818181818181</v>
      </c>
      <c r="C18" s="81">
        <f>oilprice!B18</f>
        <v>21.51</v>
      </c>
      <c r="D18" s="81">
        <f>EMBI!B18</f>
        <v>1366.3636363636299</v>
      </c>
      <c r="E18" s="76">
        <f>g_consumption!B18</f>
        <v>64.180000000000007</v>
      </c>
      <c r="F18" s="76">
        <f>g_wages!B18</f>
        <v>115.486</v>
      </c>
      <c r="G18" s="76">
        <f>g_fbkf!B18</f>
        <v>99.594666666666669</v>
      </c>
      <c r="H18" s="76">
        <f>g_transfers!B18</f>
        <v>42.573999999999998</v>
      </c>
      <c r="I18">
        <f>tax_receipts!C18</f>
        <v>116.83351588857759</v>
      </c>
      <c r="J18">
        <f>tax_receipts!F18</f>
        <v>31.944827940000003</v>
      </c>
      <c r="K18" s="148">
        <f>J18*tax_receipts!G18/(tax_receipts!G18+tax_receipts!H18)</f>
        <v>6.0812576134980576</v>
      </c>
      <c r="L18" s="148">
        <f t="shared" si="0"/>
        <v>25.863570326501947</v>
      </c>
      <c r="M18">
        <f>debt!B18</f>
        <v>2397.3000000000002</v>
      </c>
      <c r="N18">
        <f>debt!C18</f>
        <v>11218.2</v>
      </c>
      <c r="O18">
        <f>debt!D18</f>
        <v>2979.7</v>
      </c>
      <c r="P18">
        <f>real_exchange_rate!B18</f>
        <v>110.55284838621354</v>
      </c>
    </row>
    <row r="19" spans="1:16" x14ac:dyDescent="0.35">
      <c r="A19" s="61">
        <v>37043</v>
      </c>
      <c r="B19" s="54">
        <v>3.5652380952380951</v>
      </c>
      <c r="C19" s="81">
        <f>oilprice!B19</f>
        <v>20.75</v>
      </c>
      <c r="D19" s="81">
        <f>EMBI!B19</f>
        <v>1302.57142857142</v>
      </c>
      <c r="E19" s="76">
        <f>g_consumption!B19</f>
        <v>42.927</v>
      </c>
      <c r="F19" s="76">
        <f>g_wages!B19</f>
        <v>120.009</v>
      </c>
      <c r="G19" s="76">
        <f>g_fbkf!B19</f>
        <v>95.849666666666678</v>
      </c>
      <c r="H19" s="76">
        <f>g_transfers!B19</f>
        <v>78.619100000000003</v>
      </c>
      <c r="I19">
        <f>tax_receipts!C19</f>
        <v>128.85781413499998</v>
      </c>
      <c r="J19">
        <f>tax_receipts!F19</f>
        <v>24.238618019999997</v>
      </c>
      <c r="K19" s="148">
        <f>J19*tax_receipts!G19/(tax_receipts!G19+tax_receipts!H19)</f>
        <v>7.3391798291286587</v>
      </c>
      <c r="L19" s="148">
        <f t="shared" si="0"/>
        <v>16.899438190871336</v>
      </c>
      <c r="M19">
        <f>debt!B19</f>
        <v>2284</v>
      </c>
      <c r="N19">
        <f>debt!C19</f>
        <v>11240.1</v>
      </c>
      <c r="O19">
        <f>debt!D19</f>
        <v>2979.4</v>
      </c>
      <c r="P19">
        <f>real_exchange_rate!B19</f>
        <v>109.51673921670826</v>
      </c>
    </row>
    <row r="20" spans="1:16" x14ac:dyDescent="0.35">
      <c r="A20" s="61">
        <v>37073</v>
      </c>
      <c r="B20" s="54">
        <v>3.5933333333333333</v>
      </c>
      <c r="C20" s="81">
        <f>oilprice!B20</f>
        <v>21.05</v>
      </c>
      <c r="D20" s="81">
        <f>EMBI!B20</f>
        <v>1387.57142857142</v>
      </c>
      <c r="E20" s="76">
        <f>g_consumption!B20</f>
        <v>49.683999999999997</v>
      </c>
      <c r="F20" s="76">
        <f>g_wages!B20</f>
        <v>89.780500000000004</v>
      </c>
      <c r="G20" s="76">
        <f>g_fbkf!B20</f>
        <v>77.333581666666674</v>
      </c>
      <c r="H20" s="76">
        <f>g_transfers!B20</f>
        <v>36.672809999999998</v>
      </c>
      <c r="I20">
        <f>tax_receipts!C20</f>
        <v>137.44192348780001</v>
      </c>
      <c r="J20">
        <f>tax_receipts!F20</f>
        <v>48.528350744999997</v>
      </c>
      <c r="K20" s="148">
        <f>J20*tax_receipts!G20/(tax_receipts!G20+tax_receipts!H20)</f>
        <v>9.9998429569691574</v>
      </c>
      <c r="L20" s="148">
        <f t="shared" si="0"/>
        <v>38.528507788030836</v>
      </c>
      <c r="M20">
        <f>debt!B20</f>
        <v>2384</v>
      </c>
      <c r="N20">
        <f>debt!C20</f>
        <v>11158.3</v>
      </c>
      <c r="O20">
        <f>debt!D20</f>
        <v>2944.4</v>
      </c>
      <c r="P20">
        <f>real_exchange_rate!B20</f>
        <v>108.89507371500508</v>
      </c>
    </row>
    <row r="21" spans="1:16" x14ac:dyDescent="0.35">
      <c r="A21" s="61">
        <v>37104</v>
      </c>
      <c r="B21" s="54">
        <v>3.4378260869565218</v>
      </c>
      <c r="C21" s="81">
        <f>oilprice!B21</f>
        <v>22.07</v>
      </c>
      <c r="D21" s="81">
        <f>EMBI!B21</f>
        <v>1470.1739130434701</v>
      </c>
      <c r="E21" s="76">
        <f>g_consumption!B21</f>
        <v>64.552999999999997</v>
      </c>
      <c r="F21" s="76">
        <f>g_wages!B21</f>
        <v>89.355999999999995</v>
      </c>
      <c r="G21" s="76">
        <f>g_fbkf!B21</f>
        <v>101.25091066666667</v>
      </c>
      <c r="H21" s="76">
        <f>g_transfers!B21</f>
        <v>53.316163000000003</v>
      </c>
      <c r="I21">
        <f>tax_receipts!C21</f>
        <v>144.06930790966666</v>
      </c>
      <c r="J21">
        <f>tax_receipts!F21</f>
        <v>17.91156582</v>
      </c>
      <c r="K21" s="148">
        <f>J21*tax_receipts!G21/(tax_receipts!G21+tax_receipts!H21)</f>
        <v>6.2919611643198028</v>
      </c>
      <c r="L21" s="148">
        <f t="shared" si="0"/>
        <v>11.619604655680197</v>
      </c>
      <c r="M21">
        <f>debt!B21</f>
        <v>2336.5</v>
      </c>
      <c r="N21">
        <f>debt!C21</f>
        <v>11214.2</v>
      </c>
      <c r="O21">
        <f>debt!D21</f>
        <v>2886.7</v>
      </c>
      <c r="P21">
        <f>real_exchange_rate!B21</f>
        <v>109.93118288451036</v>
      </c>
    </row>
    <row r="22" spans="1:16" x14ac:dyDescent="0.35">
      <c r="A22" s="61">
        <v>37135</v>
      </c>
      <c r="B22" s="54">
        <v>2.6923529411764706</v>
      </c>
      <c r="C22" s="81">
        <f>oilprice!B22</f>
        <v>19.46</v>
      </c>
      <c r="D22" s="81">
        <f>EMBI!B22</f>
        <v>1485.5294117646999</v>
      </c>
      <c r="E22" s="76">
        <f>g_consumption!B22</f>
        <v>35.836500000000001</v>
      </c>
      <c r="F22" s="76">
        <f>g_wages!B22</f>
        <v>101.03619999999999</v>
      </c>
      <c r="G22" s="76">
        <f>g_fbkf!B22</f>
        <v>113.80536666666666</v>
      </c>
      <c r="H22" s="76">
        <f>g_transfers!B22</f>
        <v>44.610200000000006</v>
      </c>
      <c r="I22">
        <f>tax_receipts!C22</f>
        <v>128.82646623100001</v>
      </c>
      <c r="J22">
        <f>tax_receipts!F22</f>
        <v>45.201548724999988</v>
      </c>
      <c r="K22" s="148">
        <f>J22*tax_receipts!G22/(tax_receipts!G22+tax_receipts!H22)</f>
        <v>16.291094638026479</v>
      </c>
      <c r="L22" s="148">
        <f t="shared" si="0"/>
        <v>28.910454086973509</v>
      </c>
      <c r="M22">
        <f>debt!B22</f>
        <v>2442.8000000000002</v>
      </c>
      <c r="N22">
        <f>debt!C22</f>
        <v>11262.5</v>
      </c>
      <c r="O22">
        <f>debt!D22</f>
        <v>2859</v>
      </c>
      <c r="P22">
        <f>real_exchange_rate!B22</f>
        <v>107.96257546245035</v>
      </c>
    </row>
    <row r="23" spans="1:16" x14ac:dyDescent="0.35">
      <c r="A23" s="61">
        <v>37165</v>
      </c>
      <c r="B23" s="54">
        <v>2.1977272727272728</v>
      </c>
      <c r="C23" s="81">
        <f>oilprice!B23</f>
        <v>16.760000000000002</v>
      </c>
      <c r="D23" s="81">
        <f>EMBI!B23</f>
        <v>1539.27272727272</v>
      </c>
      <c r="E23" s="76">
        <f>g_consumption!B23</f>
        <v>53.017600000000002</v>
      </c>
      <c r="F23" s="76">
        <f>g_wages!B23</f>
        <v>116.18860000000001</v>
      </c>
      <c r="G23" s="76">
        <f>g_fbkf!B23</f>
        <v>105.34666666666668</v>
      </c>
      <c r="H23" s="76">
        <f>g_transfers!B23</f>
        <v>47.97</v>
      </c>
      <c r="I23">
        <f>tax_receipts!C23</f>
        <v>128.810847849</v>
      </c>
      <c r="J23">
        <f>tax_receipts!F23</f>
        <v>21.068291650000006</v>
      </c>
      <c r="K23" s="148">
        <f>J23*tax_receipts!G23/(tax_receipts!G23+tax_receipts!H23)</f>
        <v>4.2365892904647167</v>
      </c>
      <c r="L23" s="148">
        <f t="shared" si="0"/>
        <v>16.831702359535289</v>
      </c>
      <c r="M23">
        <f>debt!B23</f>
        <v>2474.6999999999998</v>
      </c>
      <c r="N23">
        <f>debt!C23</f>
        <v>11227.3</v>
      </c>
      <c r="O23">
        <f>debt!D23</f>
        <v>2849.2</v>
      </c>
      <c r="P23">
        <f>real_exchange_rate!B23</f>
        <v>106.20118987429137</v>
      </c>
    </row>
    <row r="24" spans="1:16" x14ac:dyDescent="0.35">
      <c r="A24" s="61">
        <v>37196</v>
      </c>
      <c r="B24" s="54">
        <v>1.9065000000000001</v>
      </c>
      <c r="C24" s="81">
        <f>oilprice!B24</f>
        <v>14.34</v>
      </c>
      <c r="D24" s="81">
        <f>EMBI!B24</f>
        <v>1410.15</v>
      </c>
      <c r="E24" s="76">
        <f>g_consumption!B24</f>
        <v>46.545900000000003</v>
      </c>
      <c r="F24" s="76">
        <f>g_wages!B24</f>
        <v>112.94200000000001</v>
      </c>
      <c r="G24" s="76">
        <f>g_fbkf!B24</f>
        <v>105.46266666666666</v>
      </c>
      <c r="H24" s="76">
        <f>g_transfers!B24</f>
        <v>44.709999999999994</v>
      </c>
      <c r="I24">
        <f>tax_receipts!C24</f>
        <v>132.68485400651358</v>
      </c>
      <c r="J24">
        <f>tax_receipts!F24</f>
        <v>21.537734490000002</v>
      </c>
      <c r="K24" s="148">
        <f>J24*tax_receipts!G24/(tax_receipts!G24+tax_receipts!H24)</f>
        <v>10.097052541493445</v>
      </c>
      <c r="L24" s="148">
        <f t="shared" si="0"/>
        <v>11.440681948506557</v>
      </c>
      <c r="M24">
        <f>debt!B24</f>
        <v>2865.2</v>
      </c>
      <c r="N24">
        <f>debt!C24</f>
        <v>11185.6</v>
      </c>
      <c r="O24">
        <f>debt!D24</f>
        <v>2893</v>
      </c>
      <c r="P24">
        <f>real_exchange_rate!B24</f>
        <v>104.33619336918187</v>
      </c>
    </row>
    <row r="25" spans="1:16" x14ac:dyDescent="0.35">
      <c r="A25" s="61">
        <v>37226</v>
      </c>
      <c r="B25" s="54">
        <v>1.72</v>
      </c>
      <c r="C25" s="81">
        <f>oilprice!B25</f>
        <v>14.93</v>
      </c>
      <c r="D25" s="81">
        <f>EMBI!B25</f>
        <v>1254.75</v>
      </c>
      <c r="E25" s="76">
        <f>g_consumption!B25</f>
        <v>60.486000000000004</v>
      </c>
      <c r="F25" s="76">
        <f>g_wages!B25</f>
        <v>224.922</v>
      </c>
      <c r="G25" s="76">
        <f>g_fbkf!B25</f>
        <v>151.54866666666661</v>
      </c>
      <c r="H25" s="76">
        <f>g_transfers!B25</f>
        <v>65.522999999999982</v>
      </c>
      <c r="I25">
        <f>tax_receipts!C25</f>
        <v>132.8958985326</v>
      </c>
      <c r="J25">
        <f>tax_receipts!F25</f>
        <v>25.054380200000001</v>
      </c>
      <c r="K25" s="148">
        <f>J25*tax_receipts!G25/(tax_receipts!G25+tax_receipts!H25)</f>
        <v>7.7086642021310201</v>
      </c>
      <c r="L25" s="148">
        <f t="shared" si="0"/>
        <v>17.345715997868979</v>
      </c>
      <c r="M25">
        <f>debt!B25</f>
        <v>3038</v>
      </c>
      <c r="N25">
        <f>debt!C25</f>
        <v>11372.8</v>
      </c>
      <c r="O25">
        <f>debt!D25</f>
        <v>2809.1</v>
      </c>
      <c r="P25">
        <f>real_exchange_rate!B25</f>
        <v>103.61091695052816</v>
      </c>
    </row>
    <row r="26" spans="1:16" x14ac:dyDescent="0.35">
      <c r="A26" s="61">
        <v>37257</v>
      </c>
      <c r="B26" s="54">
        <v>1.6847619047619049</v>
      </c>
      <c r="C26" s="81">
        <f>oilprice!B26</f>
        <v>14.69</v>
      </c>
      <c r="D26" s="81">
        <f>EMBI!B26</f>
        <v>1144.7619047619</v>
      </c>
      <c r="E26" s="76">
        <f>g_consumption!B26</f>
        <v>73.369</v>
      </c>
      <c r="F26" s="76">
        <f>g_wages!B26</f>
        <v>126.516884</v>
      </c>
      <c r="G26" s="76">
        <f>g_fbkf!B26</f>
        <v>76.937999999999988</v>
      </c>
      <c r="H26" s="76">
        <f>g_transfers!B26</f>
        <v>53.745189491891765</v>
      </c>
      <c r="I26">
        <f>tax_receipts!C26</f>
        <v>164.38830000000002</v>
      </c>
      <c r="J26">
        <f>tax_receipts!F26</f>
        <v>35.820999999999998</v>
      </c>
      <c r="K26" s="148">
        <f>J26*tax_receipts!G26/(tax_receipts!G26+tax_receipts!H26)</f>
        <v>17.344211995265766</v>
      </c>
      <c r="L26" s="148">
        <f t="shared" si="0"/>
        <v>18.476788004734232</v>
      </c>
      <c r="M26">
        <f>debt!B26</f>
        <v>3394.9</v>
      </c>
      <c r="N26">
        <f>debt!C26</f>
        <v>11373.6</v>
      </c>
      <c r="O26">
        <f>debt!D26</f>
        <v>2892.4</v>
      </c>
      <c r="P26">
        <f>real_exchange_rate!B26</f>
        <v>100.8134221928639</v>
      </c>
    </row>
    <row r="27" spans="1:16" x14ac:dyDescent="0.35">
      <c r="A27" s="61">
        <v>37288</v>
      </c>
      <c r="B27" s="54">
        <v>1.756842105263158</v>
      </c>
      <c r="C27" s="81">
        <f>oilprice!B27</f>
        <v>15.74</v>
      </c>
      <c r="D27" s="81">
        <f>EMBI!B27</f>
        <v>1151.78947368421</v>
      </c>
      <c r="E27" s="76">
        <f>g_consumption!B27</f>
        <v>74.676000000000002</v>
      </c>
      <c r="F27" s="76">
        <f>g_wages!B27</f>
        <v>139.07695699999999</v>
      </c>
      <c r="G27" s="76">
        <f>g_fbkf!B27</f>
        <v>93.763958000000002</v>
      </c>
      <c r="H27" s="76">
        <f>g_transfers!B27</f>
        <v>113.842</v>
      </c>
      <c r="I27">
        <f>tax_receipts!C27</f>
        <v>135.57300000000001</v>
      </c>
      <c r="J27">
        <f>tax_receipts!F27</f>
        <v>25.988</v>
      </c>
      <c r="K27" s="148">
        <f>J27*tax_receipts!G27/(tax_receipts!G27+tax_receipts!H27)</f>
        <v>9.7126067986232698</v>
      </c>
      <c r="L27" s="148">
        <f t="shared" si="0"/>
        <v>16.27539320137673</v>
      </c>
      <c r="M27">
        <f>debt!B27</f>
        <v>4102.8999999999996</v>
      </c>
      <c r="N27">
        <f>debt!C27</f>
        <v>11347.1</v>
      </c>
      <c r="O27">
        <f>debt!D27</f>
        <v>2774.8</v>
      </c>
      <c r="P27">
        <f>real_exchange_rate!B27</f>
        <v>98.430371103001747</v>
      </c>
    </row>
    <row r="28" spans="1:16" x14ac:dyDescent="0.35">
      <c r="A28" s="61">
        <v>37316</v>
      </c>
      <c r="B28" s="54">
        <v>1.825</v>
      </c>
      <c r="C28" s="81">
        <f>oilprice!B28</f>
        <v>19.32</v>
      </c>
      <c r="D28" s="81">
        <f>EMBI!B28</f>
        <v>1089.45</v>
      </c>
      <c r="E28" s="76">
        <f>g_consumption!B28</f>
        <v>80.866562000000002</v>
      </c>
      <c r="F28" s="76">
        <f>g_wages!B28</f>
        <v>134.96151599999999</v>
      </c>
      <c r="G28" s="76">
        <f>g_fbkf!B28</f>
        <v>112.430475</v>
      </c>
      <c r="H28" s="76">
        <f>g_transfers!B28</f>
        <v>43.912999999999997</v>
      </c>
      <c r="I28">
        <f>tax_receipts!C28</f>
        <v>132.80000000000001</v>
      </c>
      <c r="J28">
        <f>tax_receipts!F28</f>
        <v>35.869999999999997</v>
      </c>
      <c r="K28" s="148">
        <f>J28*tax_receipts!G28/(tax_receipts!G28+tax_receipts!H28)</f>
        <v>30.446971646042698</v>
      </c>
      <c r="L28" s="148">
        <f t="shared" si="0"/>
        <v>5.4230283539572994</v>
      </c>
      <c r="M28">
        <f>debt!B28</f>
        <v>4169.3999999999996</v>
      </c>
      <c r="N28">
        <f>debt!C28</f>
        <v>11307.4</v>
      </c>
      <c r="O28">
        <f>debt!D28</f>
        <v>2773.5</v>
      </c>
      <c r="P28">
        <f>real_exchange_rate!B28</f>
        <v>97.808705601298584</v>
      </c>
    </row>
    <row r="29" spans="1:16" x14ac:dyDescent="0.35">
      <c r="A29" s="61">
        <v>37347</v>
      </c>
      <c r="B29" s="54">
        <v>1.7450000000000001</v>
      </c>
      <c r="C29" s="81">
        <f>oilprice!B29</f>
        <v>21.67</v>
      </c>
      <c r="D29" s="81">
        <f>EMBI!B29</f>
        <v>1001.22727272727</v>
      </c>
      <c r="E29" s="76">
        <f>g_consumption!B29</f>
        <v>81.277000000000001</v>
      </c>
      <c r="F29" s="76">
        <f>g_wages!B29</f>
        <v>169.67099999999999</v>
      </c>
      <c r="G29" s="76">
        <f>g_fbkf!B29</f>
        <v>143.02932300000001</v>
      </c>
      <c r="H29" s="76">
        <f>g_transfers!B29</f>
        <v>49.341814000000007</v>
      </c>
      <c r="I29">
        <f>tax_receipts!C29</f>
        <v>154.15700000000001</v>
      </c>
      <c r="J29">
        <f>tax_receipts!F29</f>
        <v>142.24099999999999</v>
      </c>
      <c r="K29" s="148">
        <f>J29*tax_receipts!G29/(tax_receipts!G29+tax_receipts!H29)</f>
        <v>2.415337878042501</v>
      </c>
      <c r="L29" s="148">
        <f t="shared" si="0"/>
        <v>139.82566212195749</v>
      </c>
      <c r="M29">
        <f>debt!B29</f>
        <v>4189.5</v>
      </c>
      <c r="N29">
        <f>debt!C29</f>
        <v>11247.5</v>
      </c>
      <c r="O29">
        <f>debt!D29</f>
        <v>2857.6</v>
      </c>
      <c r="P29">
        <f>real_exchange_rate!B29</f>
        <v>97.394261933496466</v>
      </c>
    </row>
    <row r="30" spans="1:16" x14ac:dyDescent="0.35">
      <c r="A30" s="61">
        <v>37377</v>
      </c>
      <c r="B30" s="54">
        <v>1.7604545454545455</v>
      </c>
      <c r="C30" s="81">
        <f>oilprice!B30</f>
        <v>23.34</v>
      </c>
      <c r="D30" s="81">
        <f>EMBI!B30</f>
        <v>1115.4090909090901</v>
      </c>
      <c r="E30" s="76">
        <f>g_consumption!B30</f>
        <v>78.881867999999997</v>
      </c>
      <c r="F30" s="76">
        <f>g_wages!B30</f>
        <v>165.92249800000002</v>
      </c>
      <c r="G30" s="76">
        <f>g_fbkf!B30</f>
        <v>148.86594871428571</v>
      </c>
      <c r="H30" s="76">
        <f>g_transfers!B30</f>
        <v>58.486550772654617</v>
      </c>
      <c r="I30">
        <f>tax_receipts!C30</f>
        <v>144.28100000000001</v>
      </c>
      <c r="J30">
        <f>tax_receipts!F30</f>
        <v>29.215000000000003</v>
      </c>
      <c r="K30" s="148">
        <f>J30*tax_receipts!G30/(tax_receipts!G30+tax_receipts!H30)</f>
        <v>6.7531376643502155</v>
      </c>
      <c r="L30" s="148">
        <f t="shared" si="0"/>
        <v>22.461862335649787</v>
      </c>
      <c r="M30">
        <f>debt!B30</f>
        <v>4209.2</v>
      </c>
      <c r="N30">
        <f>debt!C30</f>
        <v>11312.7</v>
      </c>
      <c r="O30">
        <f>debt!D30</f>
        <v>2855.4</v>
      </c>
      <c r="P30">
        <f>real_exchange_rate!B30</f>
        <v>97.187040099595407</v>
      </c>
    </row>
    <row r="31" spans="1:16" x14ac:dyDescent="0.35">
      <c r="A31" s="61">
        <v>37408</v>
      </c>
      <c r="B31" s="54">
        <v>1.732</v>
      </c>
      <c r="C31" s="81">
        <f>oilprice!B31</f>
        <v>22.29</v>
      </c>
      <c r="D31" s="81">
        <f>EMBI!B31</f>
        <v>1312.15</v>
      </c>
      <c r="E31" s="76">
        <f>g_consumption!B31</f>
        <v>69.402141</v>
      </c>
      <c r="F31" s="76">
        <f>g_wages!B31</f>
        <v>157.79583500000001</v>
      </c>
      <c r="G31" s="76">
        <f>g_fbkf!B31</f>
        <v>113.61804871428572</v>
      </c>
      <c r="H31" s="76">
        <f>g_transfers!B31</f>
        <v>46.259</v>
      </c>
      <c r="I31">
        <f>tax_receipts!C31</f>
        <v>146.30000000000001</v>
      </c>
      <c r="J31">
        <f>tax_receipts!F31</f>
        <v>25.201999999999998</v>
      </c>
      <c r="K31" s="148">
        <f>J31*tax_receipts!G31/(tax_receipts!G31+tax_receipts!H31)</f>
        <v>5.9575311958826145</v>
      </c>
      <c r="L31" s="148">
        <f t="shared" si="0"/>
        <v>19.244468804117382</v>
      </c>
      <c r="M31">
        <f>debt!B31</f>
        <v>4126.8999999999996</v>
      </c>
      <c r="N31">
        <f>debt!C31</f>
        <v>11414.4</v>
      </c>
      <c r="O31">
        <f>debt!D31</f>
        <v>2870.7</v>
      </c>
      <c r="P31">
        <f>real_exchange_rate!B31</f>
        <v>96.772596431793303</v>
      </c>
    </row>
    <row r="32" spans="1:16" x14ac:dyDescent="0.35">
      <c r="A32" s="61">
        <v>37438</v>
      </c>
      <c r="B32" s="54">
        <v>1.7136363636363636</v>
      </c>
      <c r="C32" s="81">
        <f>oilprice!B32</f>
        <v>22.55</v>
      </c>
      <c r="D32" s="81">
        <f>EMBI!B32</f>
        <v>1390.1818181818101</v>
      </c>
      <c r="E32" s="76">
        <f>g_consumption!B32</f>
        <v>71.947000000000003</v>
      </c>
      <c r="F32" s="76">
        <f>g_wages!B32</f>
        <v>173.08449999999999</v>
      </c>
      <c r="G32" s="76">
        <f>g_fbkf!B32</f>
        <v>89.165642857142871</v>
      </c>
      <c r="H32" s="76">
        <f>g_transfers!B32</f>
        <v>63.978726999999999</v>
      </c>
      <c r="I32">
        <f>tax_receipts!C32</f>
        <v>140.852</v>
      </c>
      <c r="J32">
        <f>tax_receipts!F32</f>
        <v>58.4</v>
      </c>
      <c r="K32" s="148">
        <f>J32*tax_receipts!G32/(tax_receipts!G32+tax_receipts!H32)</f>
        <v>18.889313865089008</v>
      </c>
      <c r="L32" s="148">
        <f t="shared" si="0"/>
        <v>39.510686134910991</v>
      </c>
      <c r="M32">
        <f>debt!B32</f>
        <v>4928.3</v>
      </c>
      <c r="N32">
        <f>debt!C32</f>
        <v>11329.5</v>
      </c>
      <c r="O32">
        <f>debt!D32</f>
        <v>2862.4</v>
      </c>
      <c r="P32">
        <f>real_exchange_rate!B32</f>
        <v>97.808705601298598</v>
      </c>
    </row>
    <row r="33" spans="1:16" x14ac:dyDescent="0.35">
      <c r="A33" s="61">
        <v>37469</v>
      </c>
      <c r="B33" s="54">
        <v>1.6472727272727272</v>
      </c>
      <c r="C33" s="81">
        <f>oilprice!B33</f>
        <v>24.11</v>
      </c>
      <c r="D33" s="81">
        <f>EMBI!B33</f>
        <v>1744.0909090908999</v>
      </c>
      <c r="E33" s="76">
        <f>g_consumption!B33</f>
        <v>80.447000000000003</v>
      </c>
      <c r="F33" s="76">
        <f>g_wages!B33</f>
        <v>153.61750000000001</v>
      </c>
      <c r="G33" s="76">
        <f>g_fbkf!B33</f>
        <v>110.23759642857144</v>
      </c>
      <c r="H33" s="76">
        <f>g_transfers!B33</f>
        <v>71.204000000000008</v>
      </c>
      <c r="I33">
        <f>tax_receipts!C33</f>
        <v>147.846</v>
      </c>
      <c r="J33">
        <f>tax_receipts!F33</f>
        <v>25.3</v>
      </c>
      <c r="K33" s="148">
        <f>J33*tax_receipts!G33/(tax_receipts!G33+tax_receipts!H33)</f>
        <v>6.4766711409664159</v>
      </c>
      <c r="L33" s="148">
        <f t="shared" si="0"/>
        <v>18.823328859033584</v>
      </c>
      <c r="M33">
        <f>debt!B33</f>
        <v>4628.2</v>
      </c>
      <c r="N33">
        <f>debt!C33</f>
        <v>11300.4</v>
      </c>
      <c r="O33">
        <f>debt!D33</f>
        <v>2866.1</v>
      </c>
      <c r="P33">
        <f>real_exchange_rate!B33</f>
        <v>96.565374597892259</v>
      </c>
    </row>
    <row r="34" spans="1:16" x14ac:dyDescent="0.35">
      <c r="A34" s="61">
        <v>37500</v>
      </c>
      <c r="B34" s="54">
        <v>1.659</v>
      </c>
      <c r="C34" s="81">
        <f>oilprice!B34</f>
        <v>25.47</v>
      </c>
      <c r="D34" s="81">
        <f>EMBI!B34</f>
        <v>1779.35</v>
      </c>
      <c r="E34" s="76">
        <f>g_consumption!B34</f>
        <v>70.585000000000008</v>
      </c>
      <c r="F34" s="76">
        <f>g_wages!B34</f>
        <v>169.65746321999998</v>
      </c>
      <c r="G34" s="76">
        <f>g_fbkf!B34</f>
        <v>112.86962697466467</v>
      </c>
      <c r="H34" s="76">
        <f>g_transfers!B34</f>
        <v>72.251944693524763</v>
      </c>
      <c r="I34">
        <f>tax_receipts!C34</f>
        <v>142.69499999999999</v>
      </c>
      <c r="J34">
        <f>tax_receipts!F34</f>
        <v>54.384</v>
      </c>
      <c r="K34" s="148">
        <f>J34*tax_receipts!G34/(tax_receipts!G34+tax_receipts!H34)</f>
        <v>24.567511806597476</v>
      </c>
      <c r="L34" s="148">
        <f t="shared" si="0"/>
        <v>29.816488193402524</v>
      </c>
      <c r="M34">
        <f>debt!B34</f>
        <v>4642</v>
      </c>
      <c r="N34">
        <f>debt!C34</f>
        <v>11256.1</v>
      </c>
      <c r="O34">
        <f>debt!D34</f>
        <v>2850.9</v>
      </c>
      <c r="P34">
        <f>real_exchange_rate!B34</f>
        <v>95.322043594485919</v>
      </c>
    </row>
    <row r="35" spans="1:16" x14ac:dyDescent="0.35">
      <c r="A35" s="61">
        <v>37530</v>
      </c>
      <c r="B35" s="54">
        <v>1.61</v>
      </c>
      <c r="C35" s="81">
        <f>oilprice!B35</f>
        <v>24.29</v>
      </c>
      <c r="D35" s="81">
        <f>EMBI!B35</f>
        <v>2001.0909090908999</v>
      </c>
      <c r="E35" s="76">
        <f>g_consumption!B35</f>
        <v>66.878983296320854</v>
      </c>
      <c r="F35" s="76">
        <f>g_wages!B35</f>
        <v>157.87714514000001</v>
      </c>
      <c r="G35" s="76">
        <f>g_fbkf!B35</f>
        <v>114.66357142857143</v>
      </c>
      <c r="H35" s="76">
        <f>g_transfers!B35</f>
        <v>55.224592583333333</v>
      </c>
      <c r="I35">
        <f>tax_receipts!C35</f>
        <v>149.77799999999999</v>
      </c>
      <c r="J35">
        <f>tax_receipts!F35</f>
        <v>30.931000000000004</v>
      </c>
      <c r="K35" s="148">
        <f>J35*tax_receipts!G35/(tax_receipts!G35+tax_receipts!H35)</f>
        <v>6.4832777224816223</v>
      </c>
      <c r="L35" s="148">
        <f t="shared" si="0"/>
        <v>24.44772227751838</v>
      </c>
      <c r="M35">
        <f>debt!B35</f>
        <v>4511.5</v>
      </c>
      <c r="N35">
        <f>debt!C35</f>
        <v>11245.8</v>
      </c>
      <c r="O35">
        <f>debt!D35</f>
        <v>2796.3</v>
      </c>
      <c r="P35">
        <f>real_exchange_rate!B35</f>
        <v>94.182323508030109</v>
      </c>
    </row>
    <row r="36" spans="1:16" x14ac:dyDescent="0.35">
      <c r="A36" s="61">
        <v>37561</v>
      </c>
      <c r="B36" s="54">
        <v>1.2547368421052632</v>
      </c>
      <c r="C36" s="81">
        <f>oilprice!B36</f>
        <v>22.12</v>
      </c>
      <c r="D36" s="81">
        <f>EMBI!B36</f>
        <v>1786.94736842105</v>
      </c>
      <c r="E36" s="76">
        <f>g_consumption!B36</f>
        <v>72.848983296320853</v>
      </c>
      <c r="F36" s="76">
        <f>g_wages!B36</f>
        <v>178.00214513999998</v>
      </c>
      <c r="G36" s="76">
        <f>g_fbkf!B36</f>
        <v>141.15867142857144</v>
      </c>
      <c r="H36" s="76">
        <f>g_transfers!B36</f>
        <v>54.681592583333334</v>
      </c>
      <c r="I36">
        <f>tax_receipts!C36</f>
        <v>141.321</v>
      </c>
      <c r="J36">
        <f>tax_receipts!F36</f>
        <v>27.900000000000002</v>
      </c>
      <c r="K36" s="148">
        <f>J36*tax_receipts!G36/(tax_receipts!G36+tax_receipts!H36)</f>
        <v>12.866422270800363</v>
      </c>
      <c r="L36" s="148">
        <f t="shared" si="0"/>
        <v>15.033577729199639</v>
      </c>
      <c r="M36">
        <f>debt!B36</f>
        <v>4355.3999999999996</v>
      </c>
      <c r="N36">
        <f>debt!C36</f>
        <v>11319.9</v>
      </c>
      <c r="O36">
        <f>debt!D36</f>
        <v>2775.2</v>
      </c>
      <c r="P36">
        <f>real_exchange_rate!B36</f>
        <v>94.803989009733272</v>
      </c>
    </row>
    <row r="37" spans="1:16" x14ac:dyDescent="0.35">
      <c r="A37" s="61">
        <v>37591</v>
      </c>
      <c r="B37" s="54">
        <v>1.210952380952381</v>
      </c>
      <c r="C37" s="81">
        <f>oilprice!B37</f>
        <v>24.97</v>
      </c>
      <c r="D37" s="81">
        <f>EMBI!B37</f>
        <v>1795.23809523809</v>
      </c>
      <c r="E37" s="76">
        <f>g_consumption!B37</f>
        <v>79.55151954022989</v>
      </c>
      <c r="F37" s="76">
        <f>g_wages!B37</f>
        <v>281.41714514</v>
      </c>
      <c r="G37" s="76">
        <f>g_fbkf!B37</f>
        <v>122.92437142857142</v>
      </c>
      <c r="H37" s="76">
        <f>g_transfers!B37</f>
        <v>146.77655016691787</v>
      </c>
      <c r="I37">
        <f>tax_receipts!C37</f>
        <v>149.1</v>
      </c>
      <c r="J37">
        <f>tax_receipts!F37</f>
        <v>40.1</v>
      </c>
      <c r="K37" s="148">
        <f>J37*tax_receipts!G37/(tax_receipts!G37+tax_receipts!H37)</f>
        <v>11.632626141171752</v>
      </c>
      <c r="L37" s="148">
        <f t="shared" si="0"/>
        <v>28.46737385882825</v>
      </c>
      <c r="M37">
        <f>debt!B37</f>
        <v>4899.3999999999996</v>
      </c>
      <c r="N37">
        <f>debt!C37</f>
        <v>11388.1</v>
      </c>
      <c r="O37">
        <f>debt!D37</f>
        <v>2771.1</v>
      </c>
      <c r="P37">
        <f>real_exchange_rate!B37</f>
        <v>95.011210843634331</v>
      </c>
    </row>
    <row r="38" spans="1:16" x14ac:dyDescent="0.35">
      <c r="A38" s="61">
        <v>37622</v>
      </c>
      <c r="B38" s="54">
        <v>1.1890476190476189</v>
      </c>
      <c r="C38" s="81">
        <f>oilprice!B38</f>
        <v>28.74</v>
      </c>
      <c r="D38" s="81">
        <f>EMBI!B38</f>
        <v>1607.80952380952</v>
      </c>
      <c r="E38" s="76">
        <f>g_consumption!B38</f>
        <v>52.999999999999993</v>
      </c>
      <c r="F38" s="76">
        <f>g_wages!B38</f>
        <v>149.6</v>
      </c>
      <c r="G38" s="76">
        <f>g_fbkf!B38</f>
        <v>95.837999999999994</v>
      </c>
      <c r="H38" s="76">
        <f>g_transfers!B38</f>
        <v>62.450349430299049</v>
      </c>
      <c r="I38">
        <f>tax_receipts!C38</f>
        <v>178.66968</v>
      </c>
      <c r="J38">
        <f>tax_receipts!F38</f>
        <v>46.205108257342019</v>
      </c>
      <c r="K38" s="148">
        <f>J38*tax_receipts!G38/(tax_receipts!G38+tax_receipts!H38)</f>
        <v>12.909524229093432</v>
      </c>
      <c r="L38" s="148">
        <f t="shared" si="0"/>
        <v>33.295584028248584</v>
      </c>
      <c r="M38">
        <f>debt!B38</f>
        <v>4825.1000000000004</v>
      </c>
      <c r="N38">
        <f>debt!C38</f>
        <v>11413.1</v>
      </c>
      <c r="O38">
        <f>debt!D38</f>
        <v>2777.8</v>
      </c>
      <c r="P38">
        <f>real_exchange_rate!B38</f>
        <v>92.866464862758392</v>
      </c>
    </row>
    <row r="39" spans="1:16" x14ac:dyDescent="0.35">
      <c r="A39" s="61">
        <v>37653</v>
      </c>
      <c r="B39" s="54">
        <v>1.1852631578947368</v>
      </c>
      <c r="C39" s="81">
        <f>oilprice!B39</f>
        <v>30.95</v>
      </c>
      <c r="D39" s="81">
        <f>EMBI!B39</f>
        <v>1525.3157894736801</v>
      </c>
      <c r="E39" s="76">
        <f>g_consumption!B39</f>
        <v>61.6</v>
      </c>
      <c r="F39" s="76">
        <f>g_wages!B39</f>
        <v>153.4</v>
      </c>
      <c r="G39" s="76">
        <f>g_fbkf!B39</f>
        <v>82.213999999999999</v>
      </c>
      <c r="H39" s="76">
        <f>g_transfers!B39</f>
        <v>76.611419316358848</v>
      </c>
      <c r="I39">
        <f>tax_receipts!C39</f>
        <v>132.5016</v>
      </c>
      <c r="J39">
        <f>tax_receipts!F39</f>
        <v>29.924871061182962</v>
      </c>
      <c r="K39" s="148">
        <f>J39*tax_receipts!G39/(tax_receipts!G39+tax_receipts!H39)</f>
        <v>17.446232787700566</v>
      </c>
      <c r="L39" s="148">
        <f t="shared" si="0"/>
        <v>12.478638273482396</v>
      </c>
      <c r="M39">
        <f>debt!B39</f>
        <v>4985</v>
      </c>
      <c r="N39">
        <f>debt!C39</f>
        <v>11323.4</v>
      </c>
      <c r="O39">
        <f>debt!D39</f>
        <v>2821.1</v>
      </c>
      <c r="P39">
        <f>real_exchange_rate!B39</f>
        <v>92.752492854112816</v>
      </c>
    </row>
    <row r="40" spans="1:16" x14ac:dyDescent="0.35">
      <c r="A40" s="61">
        <v>37681</v>
      </c>
      <c r="B40" s="54">
        <v>1.1509523809523809</v>
      </c>
      <c r="C40" s="81">
        <f>oilprice!B40</f>
        <v>28.66</v>
      </c>
      <c r="D40" s="81">
        <f>EMBI!B40</f>
        <v>1450.19047619047</v>
      </c>
      <c r="E40" s="76">
        <f>g_consumption!B40</f>
        <v>67.975173500143967</v>
      </c>
      <c r="F40" s="76">
        <f>g_wages!B40</f>
        <v>210.4</v>
      </c>
      <c r="G40" s="76">
        <f>g_fbkf!B40</f>
        <v>68.430999999999997</v>
      </c>
      <c r="H40" s="76">
        <f>g_transfers!B40</f>
        <v>77.169971905721695</v>
      </c>
      <c r="I40">
        <f>tax_receipts!C40</f>
        <v>132.33197000000001</v>
      </c>
      <c r="J40">
        <f>tax_receipts!F40</f>
        <v>43.636330661303511</v>
      </c>
      <c r="K40" s="148">
        <f>J40*tax_receipts!G40/(tax_receipts!G40+tax_receipts!H40)</f>
        <v>38.666584109619038</v>
      </c>
      <c r="L40" s="148">
        <f t="shared" si="0"/>
        <v>4.969746551684473</v>
      </c>
      <c r="M40">
        <f>debt!B40</f>
        <v>4961</v>
      </c>
      <c r="N40">
        <f>debt!C40</f>
        <v>11238.9</v>
      </c>
      <c r="O40">
        <f>debt!D40</f>
        <v>2825.9</v>
      </c>
      <c r="P40">
        <f>real_exchange_rate!B40</f>
        <v>93.07368669665945</v>
      </c>
    </row>
    <row r="41" spans="1:16" x14ac:dyDescent="0.35">
      <c r="A41" s="61">
        <v>37712</v>
      </c>
      <c r="B41" s="54">
        <v>1.1523809523809525</v>
      </c>
      <c r="C41" s="81">
        <f>oilprice!B41</f>
        <v>22.41</v>
      </c>
      <c r="D41" s="81">
        <f>EMBI!B41</f>
        <v>1225.38095238095</v>
      </c>
      <c r="E41" s="76">
        <f>g_consumption!B41</f>
        <v>82.77</v>
      </c>
      <c r="F41" s="76">
        <f>g_wages!B41</f>
        <v>168.81</v>
      </c>
      <c r="G41" s="76">
        <f>g_fbkf!B41</f>
        <v>99.635000000000005</v>
      </c>
      <c r="H41" s="76">
        <f>g_transfers!B41</f>
        <v>86.444000000000003</v>
      </c>
      <c r="I41">
        <f>tax_receipts!C41</f>
        <v>133.72703000000001</v>
      </c>
      <c r="J41">
        <f>tax_receipts!F41</f>
        <v>140.9491828448852</v>
      </c>
      <c r="K41" s="148">
        <f>J41*tax_receipts!G41/(tax_receipts!G41+tax_receipts!H41)</f>
        <v>2.8087768420322288</v>
      </c>
      <c r="L41" s="148">
        <f t="shared" si="0"/>
        <v>138.14040600285298</v>
      </c>
      <c r="M41">
        <f>debt!B41</f>
        <v>5111.8</v>
      </c>
      <c r="N41">
        <f>debt!C41</f>
        <v>11207.9</v>
      </c>
      <c r="O41">
        <f>debt!D41</f>
        <v>2854.6</v>
      </c>
      <c r="P41">
        <f>real_exchange_rate!B41</f>
        <v>93.001159054794087</v>
      </c>
    </row>
    <row r="42" spans="1:16" x14ac:dyDescent="0.35">
      <c r="A42" s="61">
        <v>37742</v>
      </c>
      <c r="B42" s="54">
        <v>1.088095238095238</v>
      </c>
      <c r="C42" s="81">
        <f>oilprice!B42</f>
        <v>24.03</v>
      </c>
      <c r="D42" s="81">
        <f>EMBI!B42</f>
        <v>1108.4761904761899</v>
      </c>
      <c r="E42" s="76">
        <f>g_consumption!B42</f>
        <v>77.904606658220544</v>
      </c>
      <c r="F42" s="76">
        <f>g_wages!B42</f>
        <v>184.8</v>
      </c>
      <c r="G42" s="76">
        <f>g_fbkf!B42</f>
        <v>93.516337777725539</v>
      </c>
      <c r="H42" s="76">
        <f>g_transfers!B42</f>
        <v>78.351397721196165</v>
      </c>
      <c r="I42">
        <f>tax_receipts!C42</f>
        <v>145.22692000000001</v>
      </c>
      <c r="J42">
        <f>tax_receipts!F42</f>
        <v>37.724712451063176</v>
      </c>
      <c r="K42" s="148">
        <f>J42*tax_receipts!G42/(tax_receipts!G42+tax_receipts!H42)</f>
        <v>14.701491488104425</v>
      </c>
      <c r="L42" s="148">
        <f t="shared" si="0"/>
        <v>23.023220962958753</v>
      </c>
      <c r="M42">
        <f>debt!B42</f>
        <v>4571.2</v>
      </c>
      <c r="N42">
        <f>debt!C42</f>
        <v>11303.9</v>
      </c>
      <c r="O42">
        <f>debt!D42</f>
        <v>2839.6</v>
      </c>
      <c r="P42">
        <f>real_exchange_rate!B42</f>
        <v>95.042294118719497</v>
      </c>
    </row>
    <row r="43" spans="1:16" x14ac:dyDescent="0.35">
      <c r="A43" s="61">
        <v>37773</v>
      </c>
      <c r="B43" s="54">
        <v>0.93619047619047624</v>
      </c>
      <c r="C43" s="81">
        <f>oilprice!B43</f>
        <v>25.38</v>
      </c>
      <c r="D43" s="81">
        <f>EMBI!B43</f>
        <v>1105.0952380952299</v>
      </c>
      <c r="E43" s="76">
        <f>g_consumption!B43</f>
        <v>84.585891215540286</v>
      </c>
      <c r="F43" s="76">
        <f>g_wages!B43</f>
        <v>178.4</v>
      </c>
      <c r="G43" s="76">
        <f>g_fbkf!B43</f>
        <v>116.67511302349907</v>
      </c>
      <c r="H43" s="76">
        <f>g_transfers!B43</f>
        <v>88.404943811443374</v>
      </c>
      <c r="I43">
        <f>tax_receipts!C43</f>
        <v>150.43227000000002</v>
      </c>
      <c r="J43">
        <f>tax_receipts!F43</f>
        <v>35.801885211830772</v>
      </c>
      <c r="K43" s="148">
        <f>J43*tax_receipts!G43/(tax_receipts!G43+tax_receipts!H43)</f>
        <v>7.7098140424086159</v>
      </c>
      <c r="L43" s="148">
        <f t="shared" si="0"/>
        <v>28.092071169422155</v>
      </c>
      <c r="M43">
        <f>debt!B43</f>
        <v>5187.7</v>
      </c>
      <c r="N43">
        <f>debt!C43</f>
        <v>11238.9</v>
      </c>
      <c r="O43">
        <f>debt!D43</f>
        <v>2900.6</v>
      </c>
      <c r="P43">
        <f>real_exchange_rate!B43</f>
        <v>95.581070886862236</v>
      </c>
    </row>
    <row r="44" spans="1:16" x14ac:dyDescent="0.35">
      <c r="A44" s="61">
        <v>37803</v>
      </c>
      <c r="B44" s="54">
        <v>0.92045454545454541</v>
      </c>
      <c r="C44" s="81">
        <f>oilprice!B44</f>
        <v>24.89</v>
      </c>
      <c r="D44" s="81">
        <f>EMBI!B44</f>
        <v>1172.27272727272</v>
      </c>
      <c r="E44" s="76">
        <f>g_consumption!B44</f>
        <v>94.8</v>
      </c>
      <c r="F44" s="76">
        <f>g_wages!B44</f>
        <v>174</v>
      </c>
      <c r="G44" s="76">
        <f>g_fbkf!B44</f>
        <v>115.11687959595011</v>
      </c>
      <c r="H44" s="76">
        <f>g_transfers!B44</f>
        <v>104.16666666666667</v>
      </c>
      <c r="I44">
        <f>tax_receipts!C44</f>
        <v>147.6335</v>
      </c>
      <c r="J44">
        <f>tax_receipts!F44</f>
        <v>63.852453826772916</v>
      </c>
      <c r="K44" s="148">
        <f>J44*tax_receipts!G44/(tax_receipts!G44+tax_receipts!H44)</f>
        <v>19.159641116940865</v>
      </c>
      <c r="L44" s="148">
        <f t="shared" si="0"/>
        <v>44.692812709832054</v>
      </c>
      <c r="M44">
        <f>debt!B44</f>
        <v>5189.8</v>
      </c>
      <c r="N44">
        <f>debt!C44</f>
        <v>11191.8</v>
      </c>
      <c r="O44">
        <f>debt!D44</f>
        <v>2892.2</v>
      </c>
      <c r="P44">
        <f>real_exchange_rate!B44</f>
        <v>95.000849751939285</v>
      </c>
    </row>
    <row r="45" spans="1:16" x14ac:dyDescent="0.35">
      <c r="A45" s="61">
        <v>37834</v>
      </c>
      <c r="B45" s="54">
        <v>0.96904761904761905</v>
      </c>
      <c r="C45" s="81">
        <f>oilprice!B45</f>
        <v>26.16</v>
      </c>
      <c r="D45" s="81">
        <f>EMBI!B45</f>
        <v>1162.25</v>
      </c>
      <c r="E45" s="76">
        <f>g_consumption!B45</f>
        <v>79</v>
      </c>
      <c r="F45" s="76">
        <f>g_wages!B45</f>
        <v>176.9</v>
      </c>
      <c r="G45" s="76">
        <f>g_fbkf!B45</f>
        <v>133.17279932658352</v>
      </c>
      <c r="H45" s="76">
        <f>g_transfers!B45</f>
        <v>90.06</v>
      </c>
      <c r="I45">
        <f>tax_receipts!C45</f>
        <v>145.14363999999998</v>
      </c>
      <c r="J45">
        <f>tax_receipts!F45</f>
        <v>31.656264649891682</v>
      </c>
      <c r="K45" s="148">
        <f>J45*tax_receipts!G45/(tax_receipts!G45+tax_receipts!H45)</f>
        <v>9.7170183476418828</v>
      </c>
      <c r="L45" s="148">
        <f t="shared" si="0"/>
        <v>21.939246302249799</v>
      </c>
      <c r="M45">
        <f>debt!B45</f>
        <v>5264.3</v>
      </c>
      <c r="N45">
        <f>debt!C45</f>
        <v>11191.1</v>
      </c>
      <c r="O45">
        <f>debt!D45</f>
        <v>2908.4</v>
      </c>
      <c r="P45">
        <f>real_exchange_rate!B45</f>
        <v>94.565683900747061</v>
      </c>
    </row>
    <row r="46" spans="1:16" x14ac:dyDescent="0.35">
      <c r="A46" s="61">
        <v>37865</v>
      </c>
      <c r="B46" s="54">
        <v>0.95523809523809522</v>
      </c>
      <c r="C46" s="81">
        <f>oilprice!B46</f>
        <v>23.06</v>
      </c>
      <c r="D46" s="81">
        <f>EMBI!B46</f>
        <v>1105.8571428571399</v>
      </c>
      <c r="E46" s="76">
        <f>g_consumption!B46</f>
        <v>91.789999999999992</v>
      </c>
      <c r="F46" s="76">
        <f>g_wages!B46</f>
        <v>208.3</v>
      </c>
      <c r="G46" s="76">
        <f>g_fbkf!B46</f>
        <v>172.44200000000001</v>
      </c>
      <c r="H46" s="76">
        <f>g_transfers!B46</f>
        <v>122.51069606351035</v>
      </c>
      <c r="I46">
        <f>tax_receipts!C46</f>
        <v>134.4948</v>
      </c>
      <c r="J46">
        <f>tax_receipts!F46</f>
        <v>58.257365643977934</v>
      </c>
      <c r="K46" s="148">
        <f>J46*tax_receipts!G46/(tax_receipts!G46+tax_receipts!H46)</f>
        <v>24.437586691610054</v>
      </c>
      <c r="L46" s="148">
        <f t="shared" si="0"/>
        <v>33.819778952367884</v>
      </c>
      <c r="M46">
        <f>debt!B46</f>
        <v>5093.8999999999996</v>
      </c>
      <c r="N46">
        <f>debt!C46</f>
        <v>11363.4</v>
      </c>
      <c r="O46">
        <f>debt!D46</f>
        <v>2976.8</v>
      </c>
      <c r="P46">
        <f>real_exchange_rate!B46</f>
        <v>94.78326682634318</v>
      </c>
    </row>
    <row r="47" spans="1:16" x14ac:dyDescent="0.35">
      <c r="A47" s="61">
        <v>37895</v>
      </c>
      <c r="B47" s="54">
        <v>0.94181818181818178</v>
      </c>
      <c r="C47" s="81">
        <f>oilprice!B47</f>
        <v>24.22</v>
      </c>
      <c r="D47" s="81">
        <f>EMBI!B47</f>
        <v>1030.5</v>
      </c>
      <c r="E47" s="76">
        <f>g_consumption!B47</f>
        <v>95.17</v>
      </c>
      <c r="F47" s="76">
        <f>g_wages!B47</f>
        <v>168.6</v>
      </c>
      <c r="G47" s="76">
        <f>g_fbkf!B47</f>
        <v>127.54479932658352</v>
      </c>
      <c r="H47" s="76">
        <f>g_transfers!B47</f>
        <v>86.65727428556103</v>
      </c>
      <c r="I47">
        <f>tax_receipts!C47</f>
        <v>161.24277999999998</v>
      </c>
      <c r="J47">
        <f>tax_receipts!F47</f>
        <v>35.564006255764994</v>
      </c>
      <c r="K47" s="148">
        <f>J47*tax_receipts!G47/(tax_receipts!G47+tax_receipts!H47)</f>
        <v>10.958116723598014</v>
      </c>
      <c r="L47" s="148">
        <f t="shared" si="0"/>
        <v>24.60588953216698</v>
      </c>
      <c r="M47">
        <f>debt!B47</f>
        <v>5134.8999999999996</v>
      </c>
      <c r="N47">
        <f>debt!C47</f>
        <v>11444.7</v>
      </c>
      <c r="O47">
        <f>debt!D47</f>
        <v>3008.3</v>
      </c>
      <c r="P47">
        <f>real_exchange_rate!B47</f>
        <v>96.27526403043079</v>
      </c>
    </row>
    <row r="48" spans="1:16" x14ac:dyDescent="0.35">
      <c r="A48" s="61">
        <v>37926</v>
      </c>
      <c r="B48" s="54">
        <v>0.95222222222222219</v>
      </c>
      <c r="C48" s="81">
        <f>oilprice!B48</f>
        <v>24.64</v>
      </c>
      <c r="D48" s="81">
        <f>EMBI!B48</f>
        <v>941.77777777777703</v>
      </c>
      <c r="E48" s="76">
        <f>g_consumption!B48</f>
        <v>78.149999999999991</v>
      </c>
      <c r="F48" s="76">
        <f>g_wages!B48</f>
        <v>212.3</v>
      </c>
      <c r="G48" s="76">
        <f>g_fbkf!B48</f>
        <v>141.00479932658351</v>
      </c>
      <c r="H48" s="76">
        <f>g_transfers!B48</f>
        <v>83.258574407641504</v>
      </c>
      <c r="I48">
        <f>tax_receipts!C48</f>
        <v>146.99091999999996</v>
      </c>
      <c r="J48">
        <f>tax_receipts!F48</f>
        <v>32.812953523873858</v>
      </c>
      <c r="K48" s="148">
        <f>J48*tax_receipts!G48/(tax_receipts!G48+tax_receipts!H48)</f>
        <v>13.017754425291319</v>
      </c>
      <c r="L48" s="148">
        <f t="shared" si="0"/>
        <v>19.79519909858254</v>
      </c>
      <c r="M48">
        <f>debt!B48</f>
        <v>5304.4</v>
      </c>
      <c r="N48">
        <f>debt!C48</f>
        <v>11465.8</v>
      </c>
      <c r="O48">
        <f>debt!D48</f>
        <v>3027.2</v>
      </c>
      <c r="P48">
        <f>real_exchange_rate!B48</f>
        <v>96.088764379919837</v>
      </c>
    </row>
    <row r="49" spans="1:17" x14ac:dyDescent="0.35">
      <c r="A49" s="61">
        <v>37956</v>
      </c>
      <c r="B49" s="54">
        <v>0.91454545454545455</v>
      </c>
      <c r="C49" s="81">
        <f>oilprice!B49</f>
        <v>26.1</v>
      </c>
      <c r="D49" s="81">
        <f>EMBI!B49</f>
        <v>840.36363636363603</v>
      </c>
      <c r="E49" s="76">
        <f>g_consumption!B49</f>
        <v>81.542000000000002</v>
      </c>
      <c r="F49" s="76">
        <f>g_wages!B49</f>
        <v>303.51</v>
      </c>
      <c r="G49" s="76">
        <f>g_fbkf!B49</f>
        <v>142.47079932658349</v>
      </c>
      <c r="H49" s="76">
        <f>g_transfers!B49</f>
        <v>113.23333333333333</v>
      </c>
      <c r="I49">
        <f>tax_receipts!C49</f>
        <v>155.26783</v>
      </c>
      <c r="J49">
        <f>tax_receipts!F49</f>
        <v>35.373268180663395</v>
      </c>
      <c r="K49" s="148">
        <f>J49*tax_receipts!G49/(tax_receipts!G49+tax_receipts!H49)</f>
        <v>8.06763116816051</v>
      </c>
      <c r="L49" s="148">
        <f t="shared" si="0"/>
        <v>27.305637012502885</v>
      </c>
      <c r="M49">
        <f>debt!B49</f>
        <v>5101.8999999999996</v>
      </c>
      <c r="N49">
        <f>debt!C49</f>
        <v>11493.2</v>
      </c>
      <c r="O49">
        <f>debt!D49</f>
        <v>3016.2</v>
      </c>
      <c r="P49">
        <f>real_exchange_rate!B49</f>
        <v>97.601483767397553</v>
      </c>
    </row>
    <row r="50" spans="1:17" x14ac:dyDescent="0.35">
      <c r="A50" s="61">
        <v>37987</v>
      </c>
      <c r="B50" s="54">
        <v>0.90049999999999997</v>
      </c>
      <c r="C50" s="81">
        <f>oilprice!B50</f>
        <v>26.91</v>
      </c>
      <c r="D50" s="81">
        <f>EMBI!B50</f>
        <v>724.36842105263099</v>
      </c>
      <c r="E50" s="76">
        <f>g_consumption!B50</f>
        <v>68.809364240000008</v>
      </c>
      <c r="F50" s="76">
        <f>g_wages!B50</f>
        <v>183.50193499999997</v>
      </c>
      <c r="G50" s="76">
        <f>g_fbkf!B50</f>
        <v>44.500285580000003</v>
      </c>
      <c r="H50" s="76">
        <f>g_transfers!B50</f>
        <v>90.885416860000021</v>
      </c>
      <c r="I50">
        <f>tax_receipts!C50</f>
        <v>177.39052662444973</v>
      </c>
      <c r="J50">
        <f>tax_receipts!F50</f>
        <v>61.678287725213792</v>
      </c>
      <c r="K50" s="148">
        <f>J50*tax_receipts!G50/(tax_receipts!G50+tax_receipts!H50)</f>
        <v>29.214397890305992</v>
      </c>
      <c r="L50" s="148">
        <f t="shared" si="0"/>
        <v>32.463889834907803</v>
      </c>
      <c r="M50">
        <f>debt!B50</f>
        <v>5534.3</v>
      </c>
      <c r="N50">
        <f>debt!C50</f>
        <v>11471.1</v>
      </c>
      <c r="O50">
        <f>debt!D50</f>
        <v>2965.9</v>
      </c>
      <c r="P50">
        <f>real_exchange_rate!B50</f>
        <v>98.886259137584105</v>
      </c>
      <c r="Q50" s="209">
        <v>15728.453</v>
      </c>
    </row>
    <row r="51" spans="1:17" x14ac:dyDescent="0.35">
      <c r="A51" s="61">
        <v>38018</v>
      </c>
      <c r="B51" s="54">
        <v>0.94473684210526321</v>
      </c>
      <c r="C51" s="81">
        <f>oilprice!B51</f>
        <v>26.91</v>
      </c>
      <c r="D51" s="81">
        <f>EMBI!B51</f>
        <v>746</v>
      </c>
      <c r="E51" s="76">
        <f>g_consumption!B51</f>
        <v>75.029730819999997</v>
      </c>
      <c r="F51" s="76">
        <f>g_wages!B51</f>
        <v>214.61629686999999</v>
      </c>
      <c r="G51" s="76">
        <f>g_fbkf!B51</f>
        <v>100.87669033333333</v>
      </c>
      <c r="H51" s="76">
        <f>g_transfers!B51</f>
        <v>96.719843036666674</v>
      </c>
      <c r="I51">
        <f>tax_receipts!C51</f>
        <v>129.74246341854601</v>
      </c>
      <c r="J51">
        <f>tax_receipts!F51</f>
        <v>32.637169831720016</v>
      </c>
      <c r="K51" s="148">
        <f>J51*tax_receipts!G51/(tax_receipts!G51+tax_receipts!H51)</f>
        <v>19.812754272366501</v>
      </c>
      <c r="L51" s="148">
        <f t="shared" si="0"/>
        <v>12.824415559353515</v>
      </c>
      <c r="M51">
        <f>debt!B51</f>
        <v>5461.4</v>
      </c>
      <c r="N51">
        <f>debt!C51</f>
        <v>11393.2</v>
      </c>
      <c r="O51">
        <f>debt!D51</f>
        <v>3056.6</v>
      </c>
      <c r="P51">
        <f>real_exchange_rate!B51</f>
        <v>98.192065994015564</v>
      </c>
      <c r="Q51" s="209">
        <v>15163.05</v>
      </c>
    </row>
    <row r="52" spans="1:17" x14ac:dyDescent="0.35">
      <c r="A52" s="61">
        <v>38047</v>
      </c>
      <c r="B52" s="54">
        <v>0.95347826086956522</v>
      </c>
      <c r="C52" s="81">
        <f>oilprice!B52</f>
        <v>26.28</v>
      </c>
      <c r="D52" s="81">
        <f>EMBI!B52</f>
        <v>723.59090909090901</v>
      </c>
      <c r="E52" s="76">
        <f>g_consumption!B52</f>
        <v>73.66260720999999</v>
      </c>
      <c r="F52" s="76">
        <f>g_wages!B52</f>
        <v>218.068004</v>
      </c>
      <c r="G52" s="76">
        <f>g_fbkf!B52</f>
        <v>150.03440029333336</v>
      </c>
      <c r="H52" s="76">
        <f>g_transfers!B52</f>
        <v>98.224714246666679</v>
      </c>
      <c r="I52">
        <f>tax_receipts!C52</f>
        <v>158.58707551085033</v>
      </c>
      <c r="J52">
        <f>tax_receipts!F52</f>
        <v>49.567963146275204</v>
      </c>
      <c r="K52" s="148">
        <f>J52*tax_receipts!G52/(tax_receipts!G52+tax_receipts!H52)</f>
        <v>41.576215638865762</v>
      </c>
      <c r="L52" s="148">
        <f t="shared" si="0"/>
        <v>7.9917475074094426</v>
      </c>
      <c r="M52">
        <f>debt!B52</f>
        <v>5656.4</v>
      </c>
      <c r="N52">
        <f>debt!C52</f>
        <v>11369.6</v>
      </c>
      <c r="O52">
        <f>debt!D52</f>
        <v>3159.7</v>
      </c>
      <c r="P52">
        <f>real_exchange_rate!B52</f>
        <v>97.342456475021237</v>
      </c>
      <c r="Q52" s="209">
        <v>15210.939</v>
      </c>
    </row>
    <row r="53" spans="1:17" x14ac:dyDescent="0.35">
      <c r="A53" s="61">
        <v>38078</v>
      </c>
      <c r="B53" s="54">
        <v>0.95809523809523811</v>
      </c>
      <c r="C53" s="81">
        <f>oilprice!B53</f>
        <v>26.96</v>
      </c>
      <c r="D53" s="81">
        <f>EMBI!B53</f>
        <v>762.95238095238096</v>
      </c>
      <c r="E53" s="76">
        <f>g_consumption!B53</f>
        <v>82.760616999999982</v>
      </c>
      <c r="F53" s="76">
        <f>g_wages!B53</f>
        <v>209.56601425999997</v>
      </c>
      <c r="G53" s="76">
        <f>g_fbkf!B53</f>
        <v>134.70646359333332</v>
      </c>
      <c r="H53" s="76">
        <f>g_transfers!B53</f>
        <v>122.5888909</v>
      </c>
      <c r="I53">
        <f>tax_receipts!C53</f>
        <v>158.89900389824689</v>
      </c>
      <c r="J53">
        <f>tax_receipts!F53</f>
        <v>176.16476477595143</v>
      </c>
      <c r="K53" s="148">
        <f>J53*tax_receipts!G53/(tax_receipts!G53+tax_receipts!H53)</f>
        <v>1.5709460949956413</v>
      </c>
      <c r="L53" s="148">
        <f t="shared" si="0"/>
        <v>174.59381868095579</v>
      </c>
      <c r="M53">
        <f>debt!B53</f>
        <v>5612</v>
      </c>
      <c r="N53">
        <f>debt!C53</f>
        <v>11218.3</v>
      </c>
      <c r="O53">
        <f>debt!D53</f>
        <v>3230.1</v>
      </c>
      <c r="P53">
        <f>real_exchange_rate!B53</f>
        <v>96.762235340098272</v>
      </c>
      <c r="Q53" s="209">
        <v>15992.683999999999</v>
      </c>
    </row>
    <row r="54" spans="1:17" x14ac:dyDescent="0.35">
      <c r="A54" s="61">
        <v>38108</v>
      </c>
      <c r="B54" s="54">
        <v>1.0395000000000001</v>
      </c>
      <c r="C54" s="81">
        <f>oilprice!B54</f>
        <v>31.19</v>
      </c>
      <c r="D54" s="81">
        <f>EMBI!B54</f>
        <v>920.5</v>
      </c>
      <c r="E54" s="76">
        <f>g_consumption!B54</f>
        <v>83.440751900000009</v>
      </c>
      <c r="F54" s="76">
        <f>g_wages!B54</f>
        <v>218.31842279999998</v>
      </c>
      <c r="G54" s="76">
        <f>g_fbkf!B54</f>
        <v>146.64899982333333</v>
      </c>
      <c r="H54" s="76">
        <f>g_transfers!B54</f>
        <v>109.39675237666665</v>
      </c>
      <c r="I54">
        <f>tax_receipts!C54</f>
        <v>157.17880256988474</v>
      </c>
      <c r="J54">
        <f>tax_receipts!F54</f>
        <v>40.013234707410049</v>
      </c>
      <c r="K54" s="148">
        <f>J54*tax_receipts!G54/(tax_receipts!G54+tax_receipts!H54)</f>
        <v>10.863037513210436</v>
      </c>
      <c r="L54" s="148">
        <f t="shared" si="0"/>
        <v>29.150197194199613</v>
      </c>
      <c r="M54">
        <f>debt!B54</f>
        <v>5013.3</v>
      </c>
      <c r="N54">
        <f>debt!C54</f>
        <v>11236.3</v>
      </c>
      <c r="O54">
        <f>debt!D54</f>
        <v>3249.6</v>
      </c>
      <c r="P54">
        <f>real_exchange_rate!B54</f>
        <v>96.472124772636789</v>
      </c>
      <c r="Q54" s="209">
        <v>16404.330000000002</v>
      </c>
    </row>
    <row r="55" spans="1:17" x14ac:dyDescent="0.35">
      <c r="A55" s="61">
        <v>38139</v>
      </c>
      <c r="B55" s="54">
        <v>1.2880952380952382</v>
      </c>
      <c r="C55" s="81">
        <f>oilprice!B55</f>
        <v>29.86</v>
      </c>
      <c r="D55" s="81">
        <f>EMBI!B55</f>
        <v>886.09090909090901</v>
      </c>
      <c r="E55" s="76">
        <f>g_consumption!B55</f>
        <v>86.025000000000006</v>
      </c>
      <c r="F55" s="76">
        <f>g_wages!B55</f>
        <v>197.38619444444444</v>
      </c>
      <c r="G55" s="76">
        <f>g_fbkf!B55</f>
        <v>141.81351212333334</v>
      </c>
      <c r="H55" s="76">
        <f>g_transfers!B55</f>
        <v>125.55173504666665</v>
      </c>
      <c r="I55">
        <f>tax_receipts!C55</f>
        <v>157.17637768506074</v>
      </c>
      <c r="J55">
        <f>tax_receipts!F55</f>
        <v>35.306511537745877</v>
      </c>
      <c r="K55" s="148">
        <f>J55*tax_receipts!G55/(tax_receipts!G55+tax_receipts!H55)</f>
        <v>13.622886475241684</v>
      </c>
      <c r="L55" s="148">
        <f t="shared" si="0"/>
        <v>21.683625062504191</v>
      </c>
      <c r="M55">
        <f>debt!B55</f>
        <v>5389.5</v>
      </c>
      <c r="N55">
        <f>debt!C55</f>
        <v>11165.1</v>
      </c>
      <c r="O55">
        <f>debt!D55</f>
        <v>3270.9</v>
      </c>
      <c r="P55">
        <f>real_exchange_rate!B55</f>
        <v>97.601483767397553</v>
      </c>
      <c r="Q55" s="209">
        <v>16127.135999999999</v>
      </c>
    </row>
    <row r="56" spans="1:17" x14ac:dyDescent="0.35">
      <c r="A56" s="61">
        <v>38169</v>
      </c>
      <c r="B56" s="54">
        <v>1.3576190476190475</v>
      </c>
      <c r="C56" s="81">
        <f>oilprice!B56</f>
        <v>31.29</v>
      </c>
      <c r="D56" s="81">
        <f>EMBI!B56</f>
        <v>921.61904761904702</v>
      </c>
      <c r="E56" s="76">
        <f>g_consumption!B56</f>
        <v>88.356999999999999</v>
      </c>
      <c r="F56" s="76">
        <f>g_wages!B56</f>
        <v>217.97659544999999</v>
      </c>
      <c r="G56" s="76">
        <f>g_fbkf!B56</f>
        <v>109.84181281000001</v>
      </c>
      <c r="H56" s="76">
        <f>g_transfers!B56</f>
        <v>112.18546957</v>
      </c>
      <c r="I56">
        <f>tax_receipts!C56</f>
        <v>158.66888117104628</v>
      </c>
      <c r="J56">
        <f>tax_receipts!F56</f>
        <v>77.432545382456894</v>
      </c>
      <c r="K56" s="148">
        <f>J56*tax_receipts!G56/(tax_receipts!G56+tax_receipts!H56)</f>
        <v>25.655206336177518</v>
      </c>
      <c r="L56" s="148">
        <f t="shared" si="0"/>
        <v>51.77733904627938</v>
      </c>
      <c r="M56">
        <f>debt!B56</f>
        <v>5318.7</v>
      </c>
      <c r="N56">
        <f>debt!C56</f>
        <v>11090.7</v>
      </c>
      <c r="O56">
        <f>debt!D56</f>
        <v>3325.4</v>
      </c>
      <c r="P56">
        <f>real_exchange_rate!B56</f>
        <v>98.78264822063359</v>
      </c>
      <c r="Q56" s="209">
        <v>16451.144</v>
      </c>
    </row>
    <row r="57" spans="1:17" x14ac:dyDescent="0.35">
      <c r="A57" s="61">
        <v>38200</v>
      </c>
      <c r="B57" s="54">
        <v>1.5031818181818182</v>
      </c>
      <c r="C57" s="81">
        <f>oilprice!B57</f>
        <v>34.049999999999997</v>
      </c>
      <c r="D57" s="81">
        <f>EMBI!B57</f>
        <v>836.13636363636294</v>
      </c>
      <c r="E57" s="76">
        <f>g_consumption!B57</f>
        <v>91.747</v>
      </c>
      <c r="F57" s="76">
        <f>g_wages!B57</f>
        <v>210.3767</v>
      </c>
      <c r="G57" s="76">
        <f>g_fbkf!B57</f>
        <v>113.16002736999999</v>
      </c>
      <c r="H57" s="76">
        <f>g_transfers!B57</f>
        <v>134.88115760000002</v>
      </c>
      <c r="I57">
        <f>tax_receipts!C57</f>
        <v>162.0658376697254</v>
      </c>
      <c r="J57">
        <f>tax_receipts!F57</f>
        <v>39.392742104403645</v>
      </c>
      <c r="K57" s="148">
        <f>J57*tax_receipts!G57/(tax_receipts!G57+tax_receipts!H57)</f>
        <v>12.894473908475598</v>
      </c>
      <c r="L57" s="148">
        <f t="shared" si="0"/>
        <v>26.498268195928048</v>
      </c>
      <c r="M57">
        <f>debt!B57</f>
        <v>5432.9</v>
      </c>
      <c r="N57">
        <f>debt!C57</f>
        <v>11028.4</v>
      </c>
      <c r="O57">
        <f>debt!D57</f>
        <v>3480.1</v>
      </c>
      <c r="P57">
        <f>real_exchange_rate!B57</f>
        <v>98.927703504364331</v>
      </c>
      <c r="Q57" s="209">
        <v>16474.525999999998</v>
      </c>
    </row>
    <row r="58" spans="1:17" x14ac:dyDescent="0.35">
      <c r="A58" s="61">
        <v>38231</v>
      </c>
      <c r="B58" s="54">
        <v>1.6814285714285715</v>
      </c>
      <c r="C58" s="81">
        <f>oilprice!B58</f>
        <v>32.520000000000003</v>
      </c>
      <c r="D58" s="81">
        <f>EMBI!B58</f>
        <v>801.76190476190402</v>
      </c>
      <c r="E58" s="76">
        <f>g_consumption!B58</f>
        <v>87.894999999999996</v>
      </c>
      <c r="F58" s="76">
        <f>g_wages!B58</f>
        <v>219.09900000000002</v>
      </c>
      <c r="G58" s="76">
        <f>g_fbkf!B58</f>
        <v>118.36217962000001</v>
      </c>
      <c r="H58" s="76">
        <f>g_transfers!B58</f>
        <v>138.8586970806787</v>
      </c>
      <c r="I58">
        <f>tax_receipts!C58</f>
        <v>146.16420883607972</v>
      </c>
      <c r="J58">
        <f>tax_receipts!F58</f>
        <v>71.718163054090851</v>
      </c>
      <c r="K58" s="148">
        <f>J58*tax_receipts!G58/(tax_receipts!G58+tax_receipts!H58)</f>
        <v>19.673466071947939</v>
      </c>
      <c r="L58" s="148">
        <f t="shared" si="0"/>
        <v>52.044696982142909</v>
      </c>
      <c r="M58">
        <f>debt!B58</f>
        <v>5804</v>
      </c>
      <c r="N58">
        <f>debt!C58</f>
        <v>11072</v>
      </c>
      <c r="O58">
        <f>debt!D58</f>
        <v>3491.2</v>
      </c>
      <c r="P58">
        <f>real_exchange_rate!B58</f>
        <v>99.373230447251601</v>
      </c>
      <c r="Q58" s="209">
        <v>15662.468000000001</v>
      </c>
    </row>
    <row r="59" spans="1:17" x14ac:dyDescent="0.35">
      <c r="A59" s="61">
        <v>38261</v>
      </c>
      <c r="B59" s="54">
        <v>1.7945</v>
      </c>
      <c r="C59" s="81">
        <f>oilprice!B59</f>
        <v>37.18</v>
      </c>
      <c r="D59" s="81">
        <f>EMBI!B59</f>
        <v>731.05</v>
      </c>
      <c r="E59" s="76">
        <f>g_consumption!B59</f>
        <v>80.73</v>
      </c>
      <c r="F59" s="76">
        <f>g_wages!B59</f>
        <v>200.53899999999996</v>
      </c>
      <c r="G59" s="76">
        <f>g_fbkf!B59</f>
        <v>137.47890860835483</v>
      </c>
      <c r="H59" s="76">
        <f>g_transfers!B59</f>
        <v>118.06563905333331</v>
      </c>
      <c r="I59">
        <f>tax_receipts!C59</f>
        <v>170.95050043255168</v>
      </c>
      <c r="J59">
        <f>tax_receipts!F59</f>
        <v>39.14394777302418</v>
      </c>
      <c r="K59" s="148">
        <f>J59*tax_receipts!G59/(tax_receipts!G59+tax_receipts!H59)</f>
        <v>3.7944019994245228</v>
      </c>
      <c r="L59" s="148">
        <f t="shared" si="0"/>
        <v>35.349545773599658</v>
      </c>
      <c r="M59">
        <f>debt!B59</f>
        <v>5849.1</v>
      </c>
      <c r="N59">
        <f>debt!C59</f>
        <v>11045.3</v>
      </c>
      <c r="O59">
        <f>debt!D59</f>
        <v>3624.2</v>
      </c>
      <c r="P59">
        <f>real_exchange_rate!B59</f>
        <v>100.12959014099047</v>
      </c>
      <c r="Q59" s="209">
        <v>16401.195</v>
      </c>
    </row>
    <row r="60" spans="1:17" x14ac:dyDescent="0.35">
      <c r="A60" s="61">
        <v>38292</v>
      </c>
      <c r="B60" s="54">
        <v>2.1074999999999999</v>
      </c>
      <c r="C60" s="81">
        <f>oilprice!B60</f>
        <v>30.58</v>
      </c>
      <c r="D60" s="81">
        <f>EMBI!B60</f>
        <v>721.95</v>
      </c>
      <c r="E60" s="76">
        <f>g_consumption!B60</f>
        <v>76.502999999999986</v>
      </c>
      <c r="F60" s="76">
        <f>g_wages!B60</f>
        <v>204.63044444444444</v>
      </c>
      <c r="G60" s="76">
        <f>g_fbkf!B60</f>
        <v>103.92968560835483</v>
      </c>
      <c r="H60" s="76">
        <f>g_transfers!B60</f>
        <v>138.01434499999999</v>
      </c>
      <c r="I60">
        <f>tax_receipts!C60</f>
        <v>170.22556071224295</v>
      </c>
      <c r="J60">
        <f>tax_receipts!F60</f>
        <v>40.903656524978665</v>
      </c>
      <c r="K60" s="148">
        <f>J60*tax_receipts!G60/(tax_receipts!G60+tax_receipts!H60)</f>
        <v>7.0681121552805157</v>
      </c>
      <c r="L60" s="148">
        <f t="shared" si="0"/>
        <v>33.835544369698148</v>
      </c>
      <c r="M60">
        <f>debt!B60</f>
        <v>6157.4</v>
      </c>
      <c r="N60">
        <f>debt!C60</f>
        <v>11051.8</v>
      </c>
      <c r="O60">
        <f>debt!D60</f>
        <v>3570.1</v>
      </c>
      <c r="P60">
        <f>real_exchange_rate!B60</f>
        <v>101.50761533643251</v>
      </c>
      <c r="Q60" s="209">
        <v>16010.75599</v>
      </c>
    </row>
    <row r="61" spans="1:17" x14ac:dyDescent="0.35">
      <c r="A61" s="61">
        <v>38322</v>
      </c>
      <c r="B61" s="54">
        <v>2.2227272727272727</v>
      </c>
      <c r="C61" s="81">
        <f>oilprice!B61</f>
        <v>25.67</v>
      </c>
      <c r="D61" s="81">
        <f>EMBI!B61</f>
        <v>710.59090909090901</v>
      </c>
      <c r="E61" s="76">
        <f>g_consumption!B61</f>
        <v>138.29711111111112</v>
      </c>
      <c r="F61" s="76">
        <f>g_wages!B61</f>
        <v>291.94300000000004</v>
      </c>
      <c r="G61" s="76">
        <f>g_fbkf!B61</f>
        <v>191.56597760835484</v>
      </c>
      <c r="H61" s="76">
        <f>g_transfers!B61</f>
        <v>184.11227</v>
      </c>
      <c r="I61">
        <f>tax_receipts!C61</f>
        <v>174.69513228896494</v>
      </c>
      <c r="J61">
        <f>tax_receipts!F61</f>
        <v>37.972340118328631</v>
      </c>
      <c r="K61" s="148">
        <f>J61*tax_receipts!G61/(tax_receipts!G61+tax_receipts!H61)</f>
        <v>21.195000030975692</v>
      </c>
      <c r="L61" s="148">
        <f t="shared" si="0"/>
        <v>16.77734008735294</v>
      </c>
      <c r="M61">
        <f>debt!B61</f>
        <v>5948.5</v>
      </c>
      <c r="N61">
        <f>debt!C61</f>
        <v>11061.6</v>
      </c>
      <c r="O61">
        <f>debt!D61</f>
        <v>3489.1</v>
      </c>
      <c r="P61">
        <f>real_exchange_rate!B61</f>
        <v>103.09286236577559</v>
      </c>
      <c r="Q61" s="209">
        <v>16688.45276</v>
      </c>
    </row>
    <row r="62" spans="1:17" x14ac:dyDescent="0.35">
      <c r="A62" s="61">
        <v>38353</v>
      </c>
      <c r="B62" s="54">
        <v>2.371</v>
      </c>
      <c r="C62" s="81">
        <f>oilprice!B62</f>
        <v>29.06</v>
      </c>
      <c r="D62" s="81">
        <f>EMBI!B62</f>
        <v>682.3</v>
      </c>
      <c r="E62" s="76">
        <f>g_consumption!B62</f>
        <v>82.760687959999998</v>
      </c>
      <c r="F62" s="76">
        <f>g_wages!B62</f>
        <v>208.22020487</v>
      </c>
      <c r="G62" s="76">
        <f>g_fbkf!B62</f>
        <v>111.215416</v>
      </c>
      <c r="H62" s="76">
        <f>g_transfers!B62</f>
        <v>125.8551356530749</v>
      </c>
      <c r="I62">
        <f>tax_receipts!C62</f>
        <v>209.44290000000001</v>
      </c>
      <c r="J62">
        <f>tax_receipts!F62</f>
        <v>63.136634725260052</v>
      </c>
      <c r="K62" s="148">
        <f>J62*tax_receipts!G62/(tax_receipts!G62+tax_receipts!H62)</f>
        <v>42.825774150503683</v>
      </c>
      <c r="L62" s="148">
        <f t="shared" si="0"/>
        <v>20.310860574756369</v>
      </c>
      <c r="M62">
        <f>debt!B62</f>
        <v>6310.0110000000004</v>
      </c>
      <c r="N62">
        <f>debt!C62</f>
        <v>10933.045000000002</v>
      </c>
      <c r="O62">
        <f>debt!D62</f>
        <v>3650.4</v>
      </c>
      <c r="P62">
        <f>real_exchange_rate!B62</f>
        <v>102.96713102530963</v>
      </c>
      <c r="Q62" s="210">
        <v>16485.281000000003</v>
      </c>
    </row>
    <row r="63" spans="1:17" x14ac:dyDescent="0.35">
      <c r="A63" s="61">
        <v>38384</v>
      </c>
      <c r="B63" s="54">
        <v>2.5794736842105261</v>
      </c>
      <c r="C63" s="81">
        <f>oilprice!B63</f>
        <v>32</v>
      </c>
      <c r="D63" s="81">
        <f>EMBI!B63</f>
        <v>638.36842105263099</v>
      </c>
      <c r="E63" s="76">
        <f>g_consumption!B63</f>
        <v>78.929292679999989</v>
      </c>
      <c r="F63" s="76">
        <f>g_wages!B63</f>
        <v>221.91069335999998</v>
      </c>
      <c r="G63" s="76">
        <f>g_fbkf!B63</f>
        <v>135.17703370999999</v>
      </c>
      <c r="H63" s="76">
        <f>g_transfers!B63</f>
        <v>130.70659647666665</v>
      </c>
      <c r="I63">
        <f>tax_receipts!C63</f>
        <v>158.49299999999999</v>
      </c>
      <c r="J63">
        <f>tax_receipts!F63</f>
        <v>35.339668800130397</v>
      </c>
      <c r="K63" s="148">
        <f>J63*tax_receipts!G63/(tax_receipts!G63+tax_receipts!H63)</f>
        <v>16.940557349275878</v>
      </c>
      <c r="L63" s="148">
        <f t="shared" si="0"/>
        <v>18.399111450854519</v>
      </c>
      <c r="M63">
        <f>debt!B63</f>
        <v>6335.1240000000007</v>
      </c>
      <c r="N63">
        <f>debt!C63</f>
        <v>10877.936000000002</v>
      </c>
      <c r="O63">
        <f>debt!D63</f>
        <v>3738.2</v>
      </c>
      <c r="P63">
        <f>real_exchange_rate!B63</f>
        <v>102.97238802595891</v>
      </c>
      <c r="Q63" s="210">
        <v>15044.733250000001</v>
      </c>
    </row>
    <row r="64" spans="1:17" x14ac:dyDescent="0.35">
      <c r="A64" s="61">
        <v>38412</v>
      </c>
      <c r="B64" s="54">
        <v>2.7959090909090909</v>
      </c>
      <c r="C64" s="81">
        <f>oilprice!B64</f>
        <v>38.89</v>
      </c>
      <c r="D64" s="81">
        <f>EMBI!B64</f>
        <v>632.5</v>
      </c>
      <c r="E64" s="76">
        <f>g_consumption!B64</f>
        <v>88.029156720000003</v>
      </c>
      <c r="F64" s="76">
        <f>g_wages!B64</f>
        <v>254.99293352000001</v>
      </c>
      <c r="G64" s="76">
        <f>g_fbkf!B64</f>
        <v>157.78552055</v>
      </c>
      <c r="H64" s="76">
        <f>g_transfers!B64</f>
        <v>121.33760097000001</v>
      </c>
      <c r="I64">
        <f>tax_receipts!C64</f>
        <v>164.16299999999998</v>
      </c>
      <c r="J64">
        <f>tax_receipts!F64</f>
        <v>48.702122116756087</v>
      </c>
      <c r="K64" s="148">
        <f>J64*tax_receipts!G64/(tax_receipts!G64+tax_receipts!H64)</f>
        <v>43.596483999241194</v>
      </c>
      <c r="L64" s="148">
        <f t="shared" si="0"/>
        <v>5.1056381175148928</v>
      </c>
      <c r="M64">
        <f>debt!B64</f>
        <v>6259.5500000000011</v>
      </c>
      <c r="N64">
        <f>debt!C64</f>
        <v>10860.507000000001</v>
      </c>
      <c r="O64">
        <f>debt!D64</f>
        <v>3810.9</v>
      </c>
      <c r="P64">
        <f>real_exchange_rate!B64</f>
        <v>103.46221291587737</v>
      </c>
      <c r="Q64" s="210">
        <v>16366.927489999998</v>
      </c>
    </row>
    <row r="65" spans="1:17" x14ac:dyDescent="0.35">
      <c r="A65" s="61">
        <v>38443</v>
      </c>
      <c r="B65" s="54">
        <v>2.8366666666666669</v>
      </c>
      <c r="C65" s="81">
        <f>oilprice!B65</f>
        <v>38.39</v>
      </c>
      <c r="D65" s="81">
        <f>EMBI!B65</f>
        <v>737.85714285714198</v>
      </c>
      <c r="E65" s="76">
        <f>g_consumption!B65</f>
        <v>80.550351179999993</v>
      </c>
      <c r="F65" s="76">
        <f>g_wages!B65</f>
        <v>215.36045777000004</v>
      </c>
      <c r="G65" s="76">
        <f>g_fbkf!B65</f>
        <v>147.51551840666667</v>
      </c>
      <c r="H65" s="76">
        <f>g_transfers!B65</f>
        <v>125.73755133</v>
      </c>
      <c r="I65">
        <f>tax_receipts!C65</f>
        <v>171.9</v>
      </c>
      <c r="J65">
        <f>tax_receipts!F65</f>
        <v>303.62250659266959</v>
      </c>
      <c r="K65" s="148">
        <f>J65*tax_receipts!G65/(tax_receipts!G65+tax_receipts!H65)</f>
        <v>1.4096149300965437</v>
      </c>
      <c r="L65" s="148">
        <f t="shared" si="0"/>
        <v>302.21289166257304</v>
      </c>
      <c r="M65">
        <f>debt!B65</f>
        <v>6296.0920000000006</v>
      </c>
      <c r="N65">
        <f>debt!C65</f>
        <v>10768.296</v>
      </c>
      <c r="O65">
        <f>debt!D65</f>
        <v>3875.9</v>
      </c>
      <c r="P65">
        <f>real_exchange_rate!B65</f>
        <v>102.39221385656199</v>
      </c>
      <c r="Q65" s="210">
        <v>15679.79478</v>
      </c>
    </row>
    <row r="66" spans="1:17" x14ac:dyDescent="0.35">
      <c r="A66" s="61">
        <v>38473</v>
      </c>
      <c r="B66" s="54">
        <v>2.901904761904762</v>
      </c>
      <c r="C66" s="81">
        <f>oilprice!B66</f>
        <v>35.950000000000003</v>
      </c>
      <c r="D66" s="81">
        <f>EMBI!B66</f>
        <v>835.33333333333303</v>
      </c>
      <c r="E66" s="76">
        <f>g_consumption!B66</f>
        <v>95.018587020000012</v>
      </c>
      <c r="F66" s="76">
        <f>g_wages!B66</f>
        <v>231.07757533999995</v>
      </c>
      <c r="G66" s="76">
        <f>g_fbkf!B66</f>
        <v>152.83853396587801</v>
      </c>
      <c r="H66" s="76">
        <f>g_transfers!B66</f>
        <v>153.92161708583333</v>
      </c>
      <c r="I66">
        <f>tax_receipts!C66</f>
        <v>184.40269000000001</v>
      </c>
      <c r="J66">
        <f>tax_receipts!F66</f>
        <v>46.183165659160657</v>
      </c>
      <c r="K66" s="148">
        <f>J66*tax_receipts!G66/(tax_receipts!G66+tax_receipts!H66)</f>
        <v>8.0517746761468292</v>
      </c>
      <c r="L66" s="148">
        <f t="shared" si="0"/>
        <v>38.13139098301383</v>
      </c>
      <c r="M66">
        <f>debt!B66</f>
        <v>5870.2940000000008</v>
      </c>
      <c r="N66">
        <f>debt!C66</f>
        <v>10655.107</v>
      </c>
      <c r="O66">
        <f>debt!D66</f>
        <v>3854.4</v>
      </c>
      <c r="P66">
        <f>real_exchange_rate!B66</f>
        <v>102.21656412060281</v>
      </c>
      <c r="Q66" s="210">
        <v>16312.911521239999</v>
      </c>
    </row>
    <row r="67" spans="1:17" x14ac:dyDescent="0.35">
      <c r="A67" s="61">
        <v>38504</v>
      </c>
      <c r="B67" s="54">
        <v>3.0363636363636366</v>
      </c>
      <c r="C67" s="81">
        <f>oilprice!B67</f>
        <v>42.26</v>
      </c>
      <c r="D67" s="81">
        <f>EMBI!B67</f>
        <v>819.09090909090901</v>
      </c>
      <c r="E67" s="76">
        <f>g_consumption!B67</f>
        <v>92.02137664</v>
      </c>
      <c r="F67" s="76">
        <f>g_wages!B67</f>
        <v>226.13381237000002</v>
      </c>
      <c r="G67" s="76">
        <f>g_fbkf!B67</f>
        <v>89.484400285878024</v>
      </c>
      <c r="H67" s="76">
        <f>g_transfers!B67</f>
        <v>126.89085273583333</v>
      </c>
      <c r="I67">
        <f>tax_receipts!C67</f>
        <v>177.02803</v>
      </c>
      <c r="J67">
        <f>tax_receipts!F67</f>
        <v>39.357593874762777</v>
      </c>
      <c r="K67" s="148">
        <f>J67*tax_receipts!G67/(tax_receipts!G67+tax_receipts!H67)</f>
        <v>14.570101036569953</v>
      </c>
      <c r="L67" s="148">
        <f t="shared" ref="L67:L130" si="1">J67-K67</f>
        <v>24.787492838192826</v>
      </c>
      <c r="M67">
        <f>debt!B67</f>
        <v>6031.6840000000002</v>
      </c>
      <c r="N67">
        <f>debt!C67</f>
        <v>10538.092999999999</v>
      </c>
      <c r="O67">
        <f>debt!D67</f>
        <v>3879.1</v>
      </c>
      <c r="P67">
        <f>real_exchange_rate!B67</f>
        <v>101.20189081935369</v>
      </c>
      <c r="Q67" s="210">
        <v>16435.687270000002</v>
      </c>
    </row>
    <row r="68" spans="1:17" x14ac:dyDescent="0.35">
      <c r="A68" s="61">
        <v>38534</v>
      </c>
      <c r="B68" s="54">
        <v>3.2875000000000001</v>
      </c>
      <c r="C68" s="81">
        <f>oilprice!B68</f>
        <v>46</v>
      </c>
      <c r="D68" s="81">
        <f>EMBI!B68</f>
        <v>759</v>
      </c>
      <c r="E68" s="76">
        <f>g_consumption!B68</f>
        <v>93.658079199999989</v>
      </c>
      <c r="F68" s="76">
        <f>g_wages!B68</f>
        <v>230.47523180000005</v>
      </c>
      <c r="G68" s="76">
        <f>g_fbkf!B68</f>
        <v>115.76165786172029</v>
      </c>
      <c r="H68" s="76">
        <f>g_transfers!B68</f>
        <v>184.72106455583332</v>
      </c>
      <c r="I68">
        <f>tax_receipts!C68</f>
        <v>185.88908999999998</v>
      </c>
      <c r="J68">
        <f>tax_receipts!F68</f>
        <v>111.73991297530495</v>
      </c>
      <c r="K68" s="148">
        <f>J68*tax_receipts!G68/(tax_receipts!G68+tax_receipts!H68)</f>
        <v>13.99947381276802</v>
      </c>
      <c r="L68" s="148">
        <f t="shared" si="1"/>
        <v>97.74043916253693</v>
      </c>
      <c r="M68">
        <f>debt!B68</f>
        <v>6133.6490000000013</v>
      </c>
      <c r="N68">
        <f>debt!C68</f>
        <v>10448.133000000002</v>
      </c>
      <c r="O68">
        <f>debt!D68</f>
        <v>3807.1</v>
      </c>
      <c r="P68">
        <f>real_exchange_rate!B68</f>
        <v>101.21043498755887</v>
      </c>
      <c r="Q68" s="210">
        <v>16976.809000000001</v>
      </c>
    </row>
    <row r="69" spans="1:17" x14ac:dyDescent="0.35">
      <c r="A69" s="61">
        <v>38565</v>
      </c>
      <c r="B69" s="54">
        <v>3.5182608695652173</v>
      </c>
      <c r="C69" s="81">
        <f>oilprice!B69</f>
        <v>51.66</v>
      </c>
      <c r="D69" s="81">
        <f>EMBI!B69</f>
        <v>714.13043478260795</v>
      </c>
      <c r="E69" s="76">
        <f>g_consumption!B69</f>
        <v>99.042989689999999</v>
      </c>
      <c r="F69" s="76">
        <f>g_wages!B69</f>
        <v>251.07468642000003</v>
      </c>
      <c r="G69" s="76">
        <f>g_fbkf!B69</f>
        <v>151.89471489508938</v>
      </c>
      <c r="H69" s="76">
        <f>g_transfers!B69</f>
        <v>144.19529818583334</v>
      </c>
      <c r="I69">
        <f>tax_receipts!C69</f>
        <v>183.06020000000001</v>
      </c>
      <c r="J69">
        <f>tax_receipts!F69</f>
        <v>42.935055731760599</v>
      </c>
      <c r="K69" s="148">
        <f>J69*tax_receipts!G69/(tax_receipts!G69+tax_receipts!H69)</f>
        <v>16.707814907992368</v>
      </c>
      <c r="L69" s="148">
        <f t="shared" si="1"/>
        <v>26.227240823768231</v>
      </c>
      <c r="M69">
        <f>debt!B69</f>
        <v>6278.5830000000005</v>
      </c>
      <c r="N69">
        <f>debt!C69</f>
        <v>10447.805</v>
      </c>
      <c r="O69">
        <f>debt!D69</f>
        <v>3919</v>
      </c>
      <c r="P69">
        <f>real_exchange_rate!B69</f>
        <v>102.54007585478591</v>
      </c>
      <c r="Q69" s="210">
        <v>14788.46161</v>
      </c>
    </row>
    <row r="70" spans="1:17" x14ac:dyDescent="0.35">
      <c r="A70" s="61">
        <v>38596</v>
      </c>
      <c r="B70" s="54">
        <v>3.4942857142857142</v>
      </c>
      <c r="C70" s="81">
        <f>oilprice!B70</f>
        <v>50.34</v>
      </c>
      <c r="D70" s="81">
        <f>EMBI!B70</f>
        <v>682.23809523809496</v>
      </c>
      <c r="E70" s="76">
        <f>g_consumption!B70</f>
        <v>101.06336398000001</v>
      </c>
      <c r="F70" s="76">
        <f>g_wages!B70</f>
        <v>233.50499883000001</v>
      </c>
      <c r="G70" s="76">
        <f>g_fbkf!B70</f>
        <v>179.27074345666665</v>
      </c>
      <c r="H70" s="76">
        <f>g_transfers!B70</f>
        <v>434.2744792767167</v>
      </c>
      <c r="I70">
        <f>tax_receipts!C70</f>
        <v>189.93773000000002</v>
      </c>
      <c r="J70">
        <f>tax_receipts!F70</f>
        <v>103.15262615656351</v>
      </c>
      <c r="K70" s="148">
        <f>J70*tax_receipts!G70/(tax_receipts!G70+tax_receipts!H70)</f>
        <v>37.760228596722527</v>
      </c>
      <c r="L70" s="148">
        <f t="shared" si="1"/>
        <v>65.392397559840987</v>
      </c>
      <c r="M70">
        <f>debt!B70</f>
        <v>6349.2310000000016</v>
      </c>
      <c r="N70">
        <f>debt!C70</f>
        <v>10394.889000000001</v>
      </c>
      <c r="O70">
        <f>debt!D70</f>
        <v>3926.1</v>
      </c>
      <c r="P70">
        <f>real_exchange_rate!B70</f>
        <v>102.5985137052005</v>
      </c>
      <c r="Q70" s="210">
        <v>16251.39964</v>
      </c>
    </row>
    <row r="71" spans="1:17" x14ac:dyDescent="0.35">
      <c r="A71" s="61">
        <v>38626</v>
      </c>
      <c r="B71" s="54">
        <v>3.7925</v>
      </c>
      <c r="C71" s="81">
        <f>oilprice!B71</f>
        <v>45.43</v>
      </c>
      <c r="D71" s="81">
        <f>EMBI!B71</f>
        <v>682.6</v>
      </c>
      <c r="E71" s="76">
        <f>g_consumption!B71</f>
        <v>97.735314639999984</v>
      </c>
      <c r="F71" s="76">
        <f>g_wages!B71</f>
        <v>215.27355555555553</v>
      </c>
      <c r="G71" s="76">
        <f>g_fbkf!B71</f>
        <v>121.34638392508936</v>
      </c>
      <c r="H71" s="76">
        <f>g_transfers!B71</f>
        <v>239.75922572583335</v>
      </c>
      <c r="I71">
        <f>tax_receipts!C71</f>
        <v>204.11283</v>
      </c>
      <c r="J71">
        <f>tax_receipts!F71</f>
        <v>41.608152631070105</v>
      </c>
      <c r="K71" s="148">
        <f>J71*tax_receipts!G71/(tax_receipts!G71+tax_receipts!H71)</f>
        <v>11.597317978834212</v>
      </c>
      <c r="L71" s="148">
        <f t="shared" si="1"/>
        <v>30.010834652235893</v>
      </c>
      <c r="M71">
        <f>debt!B71</f>
        <v>6247.4100000000008</v>
      </c>
      <c r="N71">
        <f>debt!C71</f>
        <v>10336.244000000001</v>
      </c>
      <c r="O71">
        <f>debt!D71</f>
        <v>3854.5</v>
      </c>
      <c r="P71">
        <f>real_exchange_rate!B71</f>
        <v>101.6065447338834</v>
      </c>
      <c r="Q71" s="210">
        <v>16563.484329999999</v>
      </c>
    </row>
    <row r="72" spans="1:17" x14ac:dyDescent="0.35">
      <c r="A72" s="61">
        <v>38657</v>
      </c>
      <c r="B72" s="54">
        <v>3.9744999999999999</v>
      </c>
      <c r="C72" s="81">
        <f>oilprice!B72</f>
        <v>40.33</v>
      </c>
      <c r="D72" s="81">
        <f>EMBI!B72</f>
        <v>651.04999999999995</v>
      </c>
      <c r="E72" s="76">
        <f>g_consumption!B72</f>
        <v>95.846209939999994</v>
      </c>
      <c r="F72" s="76">
        <f>g_wages!B72</f>
        <v>225.11626701000006</v>
      </c>
      <c r="G72" s="76">
        <f>g_fbkf!B72</f>
        <v>164.31457892508936</v>
      </c>
      <c r="H72" s="76">
        <f>g_transfers!B72</f>
        <v>158.66170115583333</v>
      </c>
      <c r="I72">
        <f>tax_receipts!C72</f>
        <v>183.6884</v>
      </c>
      <c r="J72">
        <f>tax_receipts!F72</f>
        <v>43.339528387453527</v>
      </c>
      <c r="K72" s="148">
        <f>J72*tax_receipts!G72/(tax_receipts!G72+tax_receipts!H72)</f>
        <v>10.740512551518062</v>
      </c>
      <c r="L72" s="148">
        <f t="shared" si="1"/>
        <v>32.599015835935461</v>
      </c>
      <c r="M72">
        <f>debt!B72</f>
        <v>6300.8820000000005</v>
      </c>
      <c r="N72">
        <f>debt!C72</f>
        <v>10211.271999999999</v>
      </c>
      <c r="O72">
        <f>debt!D72</f>
        <v>3817.1</v>
      </c>
      <c r="P72">
        <f>real_exchange_rate!B72</f>
        <v>100.62056287493486</v>
      </c>
      <c r="Q72" s="210">
        <v>16058.31885</v>
      </c>
    </row>
    <row r="73" spans="1:17" x14ac:dyDescent="0.35">
      <c r="A73" s="61">
        <v>38687</v>
      </c>
      <c r="B73" s="54">
        <v>3.9709523809523808</v>
      </c>
      <c r="C73" s="81">
        <f>oilprice!B73</f>
        <v>42.76</v>
      </c>
      <c r="D73" s="81">
        <f>EMBI!B73</f>
        <v>645.45454545454504</v>
      </c>
      <c r="E73" s="76">
        <f>g_consumption!B73</f>
        <v>132.99724258000001</v>
      </c>
      <c r="F73" s="76">
        <f>g_wages!B73</f>
        <v>393.66574045333329</v>
      </c>
      <c r="G73" s="76">
        <f>g_fbkf!B73</f>
        <v>291.21020265508946</v>
      </c>
      <c r="H73" s="76">
        <f>g_transfers!B73</f>
        <v>251.72277914916668</v>
      </c>
      <c r="I73">
        <f>tax_receipts!C73</f>
        <v>183.38910000000001</v>
      </c>
      <c r="J73">
        <f>tax_receipts!F73</f>
        <v>57.43611259202472</v>
      </c>
      <c r="K73" s="148">
        <f>J73*tax_receipts!G73/(tax_receipts!G73+tax_receipts!H73)</f>
        <v>7.6935859562358804</v>
      </c>
      <c r="L73" s="148">
        <f t="shared" si="1"/>
        <v>49.742526635788842</v>
      </c>
      <c r="M73">
        <f>debt!B73</f>
        <v>6386.677999999999</v>
      </c>
      <c r="N73">
        <f>debt!C73</f>
        <v>10851.012999999999</v>
      </c>
      <c r="O73">
        <f>debt!D73</f>
        <v>3686.3</v>
      </c>
      <c r="P73">
        <f>real_exchange_rate!B73</f>
        <v>100.41864108396661</v>
      </c>
      <c r="Q73" s="210">
        <v>17207.888780000001</v>
      </c>
    </row>
    <row r="74" spans="1:17" x14ac:dyDescent="0.35">
      <c r="A74" s="61">
        <v>38718</v>
      </c>
      <c r="B74" s="54">
        <v>4.3360000000000003</v>
      </c>
      <c r="C74" s="81">
        <f>oilprice!B74</f>
        <v>46.71</v>
      </c>
      <c r="D74" s="81">
        <f>EMBI!B74</f>
        <v>623.22727272727195</v>
      </c>
      <c r="E74" s="76">
        <f>g_consumption!B74</f>
        <v>96.254102669999995</v>
      </c>
      <c r="F74" s="76">
        <f>g_wages!B74</f>
        <v>221.64678569</v>
      </c>
      <c r="G74" s="76">
        <f>g_fbkf!B74</f>
        <v>85.333407293333323</v>
      </c>
      <c r="H74" s="76">
        <f>g_transfers!B74</f>
        <v>151.04491190557491</v>
      </c>
      <c r="I74">
        <f>tax_receipts!C74</f>
        <v>226.32275999999999</v>
      </c>
      <c r="J74">
        <f>tax_receipts!F74</f>
        <v>77.779138432009532</v>
      </c>
      <c r="K74" s="148">
        <f>J74*tax_receipts!G74/(tax_receipts!G74+tax_receipts!H74)</f>
        <v>45.17953026148723</v>
      </c>
      <c r="L74" s="148">
        <f t="shared" si="1"/>
        <v>32.599608170522302</v>
      </c>
      <c r="M74">
        <f>debt!B74</f>
        <v>6539.2169999999987</v>
      </c>
      <c r="N74">
        <f>debt!C74</f>
        <v>10804.783000000001</v>
      </c>
      <c r="O74">
        <f>debt!D74</f>
        <v>3544.8726689500018</v>
      </c>
      <c r="P74">
        <f>real_exchange_rate!B74</f>
        <v>101.14849932485433</v>
      </c>
      <c r="Q74" s="210">
        <v>17325.003270000001</v>
      </c>
    </row>
    <row r="75" spans="1:17" x14ac:dyDescent="0.35">
      <c r="A75" s="61">
        <v>38749</v>
      </c>
      <c r="B75" s="54">
        <v>4.5394736842105265</v>
      </c>
      <c r="C75" s="81">
        <f>oilprice!B75</f>
        <v>45.1</v>
      </c>
      <c r="D75" s="81">
        <f>EMBI!B75</f>
        <v>568.52631578947296</v>
      </c>
      <c r="E75" s="76">
        <f>g_consumption!B75</f>
        <v>93.975387300000008</v>
      </c>
      <c r="F75" s="76">
        <f>g_wages!B75</f>
        <v>230.47602815999997</v>
      </c>
      <c r="G75" s="76">
        <f>g_fbkf!B75</f>
        <v>98.192333333333323</v>
      </c>
      <c r="H75" s="76">
        <f>g_transfers!B75</f>
        <v>176.60038370250001</v>
      </c>
      <c r="I75">
        <f>tax_receipts!C75</f>
        <v>147.01679999999999</v>
      </c>
      <c r="J75">
        <f>tax_receipts!F75</f>
        <v>31.637068741924679</v>
      </c>
      <c r="K75" s="148">
        <f>J75*tax_receipts!G75/(tax_receipts!G75+tax_receipts!H75)</f>
        <v>22.090583005104193</v>
      </c>
      <c r="L75" s="148">
        <f t="shared" si="1"/>
        <v>9.5464857368204861</v>
      </c>
      <c r="M75">
        <f>debt!B75</f>
        <v>6300.985999999999</v>
      </c>
      <c r="N75">
        <f>debt!C75</f>
        <v>10840.046999999999</v>
      </c>
      <c r="O75">
        <f>debt!D75</f>
        <v>3578.1736689500017</v>
      </c>
      <c r="P75">
        <f>real_exchange_rate!B75</f>
        <v>100.44759645222891</v>
      </c>
      <c r="Q75" s="210">
        <v>15432.74871</v>
      </c>
    </row>
    <row r="76" spans="1:17" x14ac:dyDescent="0.35">
      <c r="A76" s="61">
        <v>38777</v>
      </c>
      <c r="B76" s="54">
        <v>4.6278260869565218</v>
      </c>
      <c r="C76" s="81">
        <f>oilprice!B76</f>
        <v>46.8</v>
      </c>
      <c r="D76" s="81">
        <f>EMBI!B76</f>
        <v>560.17391304347802</v>
      </c>
      <c r="E76" s="76">
        <f>g_consumption!B76</f>
        <v>135.52340513999999</v>
      </c>
      <c r="F76" s="76">
        <f>g_wages!B76</f>
        <v>255.98728174999999</v>
      </c>
      <c r="G76" s="76">
        <f>g_fbkf!B76</f>
        <v>216.8479389966667</v>
      </c>
      <c r="H76" s="76">
        <f>g_transfers!B76</f>
        <v>236.54913699250005</v>
      </c>
      <c r="I76">
        <f>tax_receipts!C76</f>
        <v>210.92715000000001</v>
      </c>
      <c r="J76">
        <f>tax_receipts!F76</f>
        <v>58.429983707620416</v>
      </c>
      <c r="K76" s="148">
        <f>J76*tax_receipts!G76/(tax_receipts!G76+tax_receipts!H76)</f>
        <v>52.186067020102385</v>
      </c>
      <c r="L76" s="148">
        <f t="shared" si="1"/>
        <v>6.2439166875180305</v>
      </c>
      <c r="M76">
        <f>debt!B76</f>
        <v>6348.6129999999994</v>
      </c>
      <c r="N76">
        <f>debt!C76</f>
        <v>11234.585999999999</v>
      </c>
      <c r="O76">
        <f>debt!D76</f>
        <v>3828.7256689500023</v>
      </c>
      <c r="P76">
        <f>real_exchange_rate!B76</f>
        <v>100.32052852347886</v>
      </c>
      <c r="Q76" s="210">
        <v>16378.747540000002</v>
      </c>
    </row>
    <row r="77" spans="1:17" x14ac:dyDescent="0.35">
      <c r="A77" s="61">
        <v>38808</v>
      </c>
      <c r="B77" s="54">
        <v>4.7215789473684211</v>
      </c>
      <c r="C77" s="81">
        <f>oilprice!B77</f>
        <v>54.67</v>
      </c>
      <c r="D77" s="81">
        <f>EMBI!B77</f>
        <v>513.4</v>
      </c>
      <c r="E77" s="76">
        <f>g_consumption!B77</f>
        <v>114.84744302000001</v>
      </c>
      <c r="F77" s="76">
        <f>g_wages!B77</f>
        <v>246.50075496999997</v>
      </c>
      <c r="G77" s="76">
        <f>g_fbkf!B77</f>
        <v>115.97863272666666</v>
      </c>
      <c r="H77" s="76">
        <f>g_transfers!B77</f>
        <v>183.15444620138891</v>
      </c>
      <c r="I77">
        <f>tax_receipts!C77</f>
        <v>199.87985</v>
      </c>
      <c r="J77">
        <f>tax_receipts!F77</f>
        <v>354.20966527170003</v>
      </c>
      <c r="K77" s="148">
        <f>J77*tax_receipts!G77/(tax_receipts!G77+tax_receipts!H77)</f>
        <v>1.6057348337660828</v>
      </c>
      <c r="L77" s="148">
        <f t="shared" si="1"/>
        <v>352.60393043793397</v>
      </c>
      <c r="M77">
        <f>debt!B77</f>
        <v>6517.2599999999984</v>
      </c>
      <c r="N77">
        <f>debt!C77</f>
        <v>11251.293</v>
      </c>
      <c r="O77">
        <f>debt!D77</f>
        <v>3759.5146689500016</v>
      </c>
      <c r="P77">
        <f>real_exchange_rate!B77</f>
        <v>101.07942684168991</v>
      </c>
      <c r="Q77" s="210">
        <v>16379.385279999999</v>
      </c>
    </row>
    <row r="78" spans="1:17" x14ac:dyDescent="0.35">
      <c r="A78" s="61">
        <v>38838</v>
      </c>
      <c r="B78" s="54">
        <v>4.836363636363636</v>
      </c>
      <c r="C78" s="81">
        <f>oilprice!B78</f>
        <v>57.15</v>
      </c>
      <c r="D78" s="81">
        <f>EMBI!B78</f>
        <v>489</v>
      </c>
      <c r="E78" s="76">
        <f>g_consumption!B78</f>
        <v>122.53574263</v>
      </c>
      <c r="F78" s="76">
        <f>g_wages!B78</f>
        <v>239.49183378999999</v>
      </c>
      <c r="G78" s="76">
        <f>g_fbkf!B78</f>
        <v>145.20574031254472</v>
      </c>
      <c r="H78" s="76">
        <f>g_transfers!B78</f>
        <v>180.85365284138891</v>
      </c>
      <c r="I78">
        <f>tax_receipts!C78</f>
        <v>205.00925999999998</v>
      </c>
      <c r="J78">
        <f>tax_receipts!F78</f>
        <v>81.225166548281464</v>
      </c>
      <c r="K78" s="148">
        <f>J78*tax_receipts!G78/(tax_receipts!G78+tax_receipts!H78)</f>
        <v>16.496864645247726</v>
      </c>
      <c r="L78" s="148">
        <f t="shared" si="1"/>
        <v>64.728301903033739</v>
      </c>
      <c r="M78">
        <f>debt!B78</f>
        <v>6412.8229999999985</v>
      </c>
      <c r="N78">
        <f>debt!C78</f>
        <v>10502.025999999998</v>
      </c>
      <c r="O78">
        <f>debt!D78</f>
        <v>3743.5696689500019</v>
      </c>
      <c r="P78">
        <f>real_exchange_rate!B78</f>
        <v>102.83165492480707</v>
      </c>
      <c r="Q78" s="210">
        <v>16947.221580000001</v>
      </c>
    </row>
    <row r="79" spans="1:17" x14ac:dyDescent="0.35">
      <c r="A79" s="61">
        <v>38869</v>
      </c>
      <c r="B79" s="54">
        <v>4.9177272727272729</v>
      </c>
      <c r="C79" s="81">
        <f>oilprice!B79</f>
        <v>58.16</v>
      </c>
      <c r="D79" s="81">
        <f>EMBI!B79</f>
        <v>517.27272727272702</v>
      </c>
      <c r="E79" s="76">
        <f>g_consumption!B79</f>
        <v>130.81547956</v>
      </c>
      <c r="F79" s="76">
        <f>g_wages!B79</f>
        <v>249.75524624000002</v>
      </c>
      <c r="G79" s="76">
        <f>g_fbkf!B79</f>
        <v>184.22679635254468</v>
      </c>
      <c r="H79" s="76">
        <f>g_transfers!B79</f>
        <v>179.18418970974722</v>
      </c>
      <c r="I79">
        <f>tax_receipts!C79</f>
        <v>212.73704999999998</v>
      </c>
      <c r="J79">
        <f>tax_receipts!F79</f>
        <v>44.368842364700143</v>
      </c>
      <c r="K79" s="148">
        <f>J79*tax_receipts!G79/(tax_receipts!G79+tax_receipts!H79)</f>
        <v>15.366941274008221</v>
      </c>
      <c r="L79" s="148">
        <f t="shared" si="1"/>
        <v>29.001901090691923</v>
      </c>
      <c r="M79">
        <f>debt!B79</f>
        <v>6494.445999999999</v>
      </c>
      <c r="N79">
        <f>debt!C79</f>
        <v>10402.148999999999</v>
      </c>
      <c r="O79">
        <f>debt!D79</f>
        <v>3629.4986689500015</v>
      </c>
      <c r="P79">
        <f>real_exchange_rate!B79</f>
        <v>101.89819230890456</v>
      </c>
      <c r="Q79" s="210">
        <v>16073.293799999999</v>
      </c>
    </row>
    <row r="80" spans="1:17" x14ac:dyDescent="0.35">
      <c r="A80" s="61">
        <v>38899</v>
      </c>
      <c r="B80" s="54">
        <v>5.0765000000000002</v>
      </c>
      <c r="C80" s="81">
        <f>oilprice!B80</f>
        <v>61.26</v>
      </c>
      <c r="D80" s="81">
        <f>EMBI!B80</f>
        <v>503.47619047619003</v>
      </c>
      <c r="E80" s="76">
        <f>g_consumption!B80</f>
        <v>115.14943833000001</v>
      </c>
      <c r="F80" s="76">
        <f>g_wages!B80</f>
        <v>254.94816018</v>
      </c>
      <c r="G80" s="76">
        <f>g_fbkf!B80</f>
        <v>122.67458764505362</v>
      </c>
      <c r="H80" s="76">
        <f>g_transfers!B80</f>
        <v>205.99529088138888</v>
      </c>
      <c r="I80">
        <f>tax_receipts!C80</f>
        <v>207.13217</v>
      </c>
      <c r="J80">
        <f>tax_receipts!F80</f>
        <v>112.6881293451008</v>
      </c>
      <c r="K80" s="148">
        <f>J80*tax_receipts!G80/(tax_receipts!G80+tax_receipts!H80)</f>
        <v>16.363422430259007</v>
      </c>
      <c r="L80" s="148">
        <f t="shared" si="1"/>
        <v>96.324706914841798</v>
      </c>
      <c r="M80">
        <f>debt!B80</f>
        <v>6518.2409999999991</v>
      </c>
      <c r="N80">
        <f>debt!C80</f>
        <v>10371.397999999999</v>
      </c>
      <c r="O80">
        <f>debt!D80</f>
        <v>3530.5096689500019</v>
      </c>
      <c r="P80">
        <f>real_exchange_rate!B80</f>
        <v>102.41634874613788</v>
      </c>
      <c r="Q80" s="210">
        <v>16829.995200000001</v>
      </c>
    </row>
    <row r="81" spans="1:17" x14ac:dyDescent="0.35">
      <c r="A81" s="61">
        <v>38930</v>
      </c>
      <c r="B81" s="54">
        <v>5.0904347826086953</v>
      </c>
      <c r="C81" s="81">
        <f>oilprice!B81</f>
        <v>59.29</v>
      </c>
      <c r="D81" s="81">
        <f>EMBI!B81</f>
        <v>494.39130434782601</v>
      </c>
      <c r="E81" s="76">
        <f>g_consumption!B81</f>
        <v>119.86177857999999</v>
      </c>
      <c r="F81" s="76">
        <f>g_wages!B81</f>
        <v>261.06712625999995</v>
      </c>
      <c r="G81" s="76">
        <f>g_fbkf!B81</f>
        <v>151.98212047175605</v>
      </c>
      <c r="H81" s="76">
        <f>g_transfers!B81</f>
        <v>158.52126290138892</v>
      </c>
      <c r="I81">
        <f>tax_receipts!C81</f>
        <v>220.07653999999999</v>
      </c>
      <c r="J81">
        <f>tax_receipts!F81</f>
        <v>45.678381550334798</v>
      </c>
      <c r="K81" s="148">
        <f>J81*tax_receipts!G81/(tax_receipts!G81+tax_receipts!H81)</f>
        <v>18.720156205792403</v>
      </c>
      <c r="L81" s="148">
        <f t="shared" si="1"/>
        <v>26.958225344542395</v>
      </c>
      <c r="M81">
        <f>debt!B81</f>
        <v>6656.1669999999995</v>
      </c>
      <c r="N81">
        <f>debt!C81</f>
        <v>10276.947999999999</v>
      </c>
      <c r="O81">
        <f>debt!D81</f>
        <v>3521.4436689500026</v>
      </c>
      <c r="P81">
        <f>real_exchange_rate!B81</f>
        <v>103.37332807244492</v>
      </c>
      <c r="Q81" s="210">
        <v>16870.438989999999</v>
      </c>
    </row>
    <row r="82" spans="1:17" x14ac:dyDescent="0.35">
      <c r="A82" s="61">
        <v>38961</v>
      </c>
      <c r="B82" s="54">
        <v>4.93</v>
      </c>
      <c r="C82" s="81">
        <f>oilprice!B82</f>
        <v>49.34</v>
      </c>
      <c r="D82" s="81">
        <f>EMBI!B82</f>
        <v>577.90476190476102</v>
      </c>
      <c r="E82" s="76">
        <f>g_consumption!B82</f>
        <v>122.92816451</v>
      </c>
      <c r="F82" s="76">
        <f>g_wages!B82</f>
        <v>255.80415740999999</v>
      </c>
      <c r="G82" s="76">
        <f>g_fbkf!B82</f>
        <v>134.68697289333335</v>
      </c>
      <c r="H82" s="76">
        <f>g_transfers!B82</f>
        <v>243.71067395810564</v>
      </c>
      <c r="I82">
        <f>tax_receipts!C82</f>
        <v>220.49563000000001</v>
      </c>
      <c r="J82">
        <f>tax_receipts!F82</f>
        <v>103.72071027571533</v>
      </c>
      <c r="K82" s="148">
        <f>J82*tax_receipts!G82/(tax_receipts!G82+tax_receipts!H82)</f>
        <v>49.118671355854758</v>
      </c>
      <c r="L82" s="148">
        <f t="shared" si="1"/>
        <v>54.602038919860576</v>
      </c>
      <c r="M82">
        <f>debt!B82</f>
        <v>6704.7920000000004</v>
      </c>
      <c r="N82">
        <f>debt!C82</f>
        <v>10247.182999999999</v>
      </c>
      <c r="O82">
        <f>debt!D82</f>
        <v>3284.628668950003</v>
      </c>
      <c r="P82">
        <f>real_exchange_rate!B82</f>
        <v>102.38829186941445</v>
      </c>
      <c r="Q82" s="210">
        <v>15999.889640000001</v>
      </c>
    </row>
    <row r="83" spans="1:17" x14ac:dyDescent="0.35">
      <c r="A83" s="61">
        <v>38991</v>
      </c>
      <c r="B83" s="54">
        <v>5.0461904761904766</v>
      </c>
      <c r="C83" s="81">
        <f>oilprice!B83</f>
        <v>45.02</v>
      </c>
      <c r="D83" s="81">
        <f>EMBI!B83</f>
        <v>562.36363636363603</v>
      </c>
      <c r="E83" s="76">
        <f>g_consumption!B83</f>
        <v>133.16949857</v>
      </c>
      <c r="F83" s="76">
        <f>g_wages!B83</f>
        <v>253.61102147999998</v>
      </c>
      <c r="G83" s="76">
        <f>g_fbkf!B83</f>
        <v>134.22636773175603</v>
      </c>
      <c r="H83" s="76">
        <f>g_transfers!B83</f>
        <v>216.31834895138888</v>
      </c>
      <c r="I83">
        <f>tax_receipts!C83</f>
        <v>204.10744</v>
      </c>
      <c r="J83">
        <f>tax_receipts!F83</f>
        <v>47.746326518151001</v>
      </c>
      <c r="K83" s="148">
        <f>J83*tax_receipts!G83/(tax_receipts!G83+tax_receipts!H83)</f>
        <v>18.405965621541856</v>
      </c>
      <c r="L83" s="148">
        <f t="shared" si="1"/>
        <v>29.340360896609145</v>
      </c>
      <c r="M83">
        <f>debt!B83</f>
        <v>6783.811999999999</v>
      </c>
      <c r="N83">
        <f>debt!C83</f>
        <v>10328.251</v>
      </c>
      <c r="O83">
        <f>debt!D83</f>
        <v>3392.9886689500026</v>
      </c>
      <c r="P83">
        <f>real_exchange_rate!B83</f>
        <v>101.71941625953086</v>
      </c>
      <c r="Q83" s="210">
        <v>16094.57826</v>
      </c>
    </row>
    <row r="84" spans="1:17" x14ac:dyDescent="0.35">
      <c r="A84" s="61">
        <v>39022</v>
      </c>
      <c r="B84" s="54">
        <v>5.0733333333333333</v>
      </c>
      <c r="C84" s="81">
        <f>oilprice!B84</f>
        <v>43.96</v>
      </c>
      <c r="D84" s="81">
        <f>EMBI!B84</f>
        <v>528.625</v>
      </c>
      <c r="E84" s="76">
        <f>g_consumption!B84</f>
        <v>125.937608</v>
      </c>
      <c r="F84" s="76">
        <f>g_wages!B84</f>
        <v>249.11430680000001</v>
      </c>
      <c r="G84" s="76">
        <f>g_fbkf!B84</f>
        <v>263.75489952175599</v>
      </c>
      <c r="H84" s="76">
        <f>g_transfers!B84</f>
        <v>195.23812914692789</v>
      </c>
      <c r="I84">
        <f>tax_receipts!C84</f>
        <v>227.93715999999998</v>
      </c>
      <c r="J84">
        <f>tax_receipts!F84</f>
        <v>47.232068482833682</v>
      </c>
      <c r="K84" s="148">
        <f>J84*tax_receipts!G84/(tax_receipts!G84+tax_receipts!H84)</f>
        <v>25.454427028474107</v>
      </c>
      <c r="L84" s="148">
        <f t="shared" si="1"/>
        <v>21.777641454359575</v>
      </c>
      <c r="M84">
        <f>debt!B84</f>
        <v>7027.7729999999974</v>
      </c>
      <c r="N84">
        <f>debt!C84</f>
        <v>10312.526999999998</v>
      </c>
      <c r="O84">
        <f>debt!D84</f>
        <v>3377.7856689500027</v>
      </c>
      <c r="P84">
        <f>real_exchange_rate!B84</f>
        <v>102.5322318565853</v>
      </c>
      <c r="Q84" s="210">
        <v>15343.402529999999</v>
      </c>
    </row>
    <row r="85" spans="1:17" x14ac:dyDescent="0.35">
      <c r="A85" s="61">
        <v>39052</v>
      </c>
      <c r="B85" s="54">
        <v>4.9729999999999999</v>
      </c>
      <c r="C85" s="81">
        <f>oilprice!B85</f>
        <v>45.83</v>
      </c>
      <c r="D85" s="81">
        <f>EMBI!B85</f>
        <v>730.28571428571399</v>
      </c>
      <c r="E85" s="76">
        <f>g_consumption!B85</f>
        <v>195.78000751989998</v>
      </c>
      <c r="F85" s="76">
        <f>g_wages!B85</f>
        <v>443.48346081</v>
      </c>
      <c r="G85" s="76">
        <f>g_fbkf!B85</f>
        <v>246.87538112508935</v>
      </c>
      <c r="H85" s="76">
        <f>g_transfers!B85</f>
        <v>292.48911339249997</v>
      </c>
      <c r="I85">
        <f>tax_receipts!C85</f>
        <v>203.94328999999999</v>
      </c>
      <c r="J85">
        <f>tax_receipts!F85</f>
        <v>63.2951072289788</v>
      </c>
      <c r="K85" s="148">
        <f>J85*tax_receipts!G85/(tax_receipts!G85+tax_receipts!H85)</f>
        <v>30.545298120862768</v>
      </c>
      <c r="L85" s="148">
        <f t="shared" si="1"/>
        <v>32.749809108116033</v>
      </c>
      <c r="M85">
        <f>debt!B85</f>
        <v>6884.1359999999986</v>
      </c>
      <c r="N85">
        <f>debt!C85</f>
        <v>10215.672999999999</v>
      </c>
      <c r="O85">
        <f>debt!D85</f>
        <v>3277.6356689500026</v>
      </c>
      <c r="P85">
        <f>real_exchange_rate!B85</f>
        <v>103.7019722113947</v>
      </c>
      <c r="Q85" s="210">
        <v>15977.200570000001</v>
      </c>
    </row>
    <row r="86" spans="1:17" x14ac:dyDescent="0.35">
      <c r="A86" s="61">
        <v>39083</v>
      </c>
      <c r="B86" s="54">
        <v>5.1052380952380956</v>
      </c>
      <c r="C86" s="81">
        <f>oilprice!B86</f>
        <v>40.22</v>
      </c>
      <c r="D86" s="81">
        <f>EMBI!B86</f>
        <v>900.63636363636294</v>
      </c>
      <c r="E86" s="76">
        <f>g_consumption!B86</f>
        <v>99.985639629999994</v>
      </c>
      <c r="F86" s="76">
        <f>g_wages!B86</f>
        <v>245.21823676</v>
      </c>
      <c r="G86" s="76">
        <f>g_fbkf!B86</f>
        <v>126.93971759583334</v>
      </c>
      <c r="H86" s="76">
        <f>g_transfers!B86</f>
        <v>114.11789161999998</v>
      </c>
      <c r="I86">
        <f>tax_receipts!C86</f>
        <v>264.22412666666668</v>
      </c>
      <c r="J86">
        <f>tax_receipts!F86</f>
        <v>80.330763156504574</v>
      </c>
      <c r="K86" s="148">
        <f>J86*tax_receipts!G86/(tax_receipts!G86+tax_receipts!H86)</f>
        <v>48.498960945078132</v>
      </c>
      <c r="L86" s="148">
        <f t="shared" si="1"/>
        <v>31.831802211426442</v>
      </c>
      <c r="M86">
        <f>debt!B86</f>
        <v>6858.9599999999991</v>
      </c>
      <c r="N86">
        <f>debt!C86</f>
        <v>10172.418999999998</v>
      </c>
      <c r="O86">
        <f>debt!D86</f>
        <v>3254.8889815600023</v>
      </c>
      <c r="P86">
        <f>real_exchange_rate!B86</f>
        <v>102.77272341829546</v>
      </c>
      <c r="Q86" s="210">
        <v>16029.772669999998</v>
      </c>
    </row>
    <row r="87" spans="1:17" x14ac:dyDescent="0.35">
      <c r="A87" s="61">
        <v>39114</v>
      </c>
      <c r="B87" s="54">
        <v>5.1631578947368419</v>
      </c>
      <c r="C87" s="81">
        <f>oilprice!B87</f>
        <v>46.29</v>
      </c>
      <c r="D87" s="81">
        <f>EMBI!B87</f>
        <v>744.65</v>
      </c>
      <c r="E87" s="76">
        <f>g_consumption!B87</f>
        <v>101.31423146</v>
      </c>
      <c r="F87" s="76">
        <f>g_wages!B87</f>
        <v>294.88852392000001</v>
      </c>
      <c r="G87" s="76">
        <f>g_fbkf!B87</f>
        <v>105.16301779583334</v>
      </c>
      <c r="H87" s="76">
        <f>g_transfers!B87</f>
        <v>136.65154858583332</v>
      </c>
      <c r="I87">
        <f>tax_receipts!C87</f>
        <v>189.00357</v>
      </c>
      <c r="J87">
        <f>tax_receipts!F87</f>
        <v>44.936583042172202</v>
      </c>
      <c r="K87" s="148">
        <f>J87*tax_receipts!G87/(tax_receipts!G87+tax_receipts!H87)</f>
        <v>30.47138559479572</v>
      </c>
      <c r="L87" s="148">
        <f t="shared" si="1"/>
        <v>14.465197447376482</v>
      </c>
      <c r="M87">
        <f>debt!B87</f>
        <v>6876.2059999999983</v>
      </c>
      <c r="N87">
        <f>debt!C87</f>
        <v>10483.447999999999</v>
      </c>
      <c r="O87">
        <f>debt!D87</f>
        <v>3304.0459815600025</v>
      </c>
      <c r="P87">
        <f>real_exchange_rate!B87</f>
        <v>103.35557105839038</v>
      </c>
      <c r="Q87" s="210">
        <v>14202.41741</v>
      </c>
    </row>
    <row r="88" spans="1:17" x14ac:dyDescent="0.35">
      <c r="A88" s="61">
        <v>39142</v>
      </c>
      <c r="B88" s="54">
        <v>5.08</v>
      </c>
      <c r="C88" s="81">
        <f>oilprice!B88</f>
        <v>48.37</v>
      </c>
      <c r="D88" s="81">
        <f>EMBI!B88</f>
        <v>695.04545454545405</v>
      </c>
      <c r="E88" s="76">
        <f>g_consumption!B88</f>
        <v>95.037895710000001</v>
      </c>
      <c r="F88" s="76">
        <f>g_wages!B88</f>
        <v>268.58574014000004</v>
      </c>
      <c r="G88" s="76">
        <f>g_fbkf!B88</f>
        <v>285.92681287554609</v>
      </c>
      <c r="H88" s="76">
        <f>g_transfers!B88</f>
        <v>161.96068372583335</v>
      </c>
      <c r="I88">
        <f>tax_receipts!C88</f>
        <v>194.51587999999998</v>
      </c>
      <c r="J88">
        <f>tax_receipts!F88</f>
        <v>63.976135321863275</v>
      </c>
      <c r="K88" s="148">
        <f>J88*tax_receipts!G88/(tax_receipts!G88+tax_receipts!H88)</f>
        <v>56.316159216471711</v>
      </c>
      <c r="L88" s="148">
        <f t="shared" si="1"/>
        <v>7.6599761053915643</v>
      </c>
      <c r="M88">
        <f>debt!B88</f>
        <v>6979.9759999999987</v>
      </c>
      <c r="N88">
        <f>debt!C88</f>
        <v>10379.413</v>
      </c>
      <c r="O88">
        <f>debt!D88</f>
        <v>3213.7889815600024</v>
      </c>
      <c r="P88">
        <f>real_exchange_rate!B88</f>
        <v>104.53061382765546</v>
      </c>
      <c r="Q88" s="210">
        <v>14944.472019999999</v>
      </c>
    </row>
    <row r="89" spans="1:17" x14ac:dyDescent="0.35">
      <c r="A89" s="61">
        <v>39173</v>
      </c>
      <c r="B89" s="54">
        <v>5.0066666666666668</v>
      </c>
      <c r="C89" s="81">
        <f>oilprice!B89</f>
        <v>52.41</v>
      </c>
      <c r="D89" s="81">
        <f>EMBI!B89</f>
        <v>612.142857142857</v>
      </c>
      <c r="E89" s="76">
        <f>g_consumption!B89</f>
        <v>116.41495722000002</v>
      </c>
      <c r="F89" s="76">
        <f>g_wages!B89</f>
        <v>285.63020448000003</v>
      </c>
      <c r="G89" s="76">
        <f>g_fbkf!B89</f>
        <v>206.20348809583334</v>
      </c>
      <c r="H89" s="76">
        <f>g_transfers!B89</f>
        <v>168.49287034629165</v>
      </c>
      <c r="I89">
        <f>tax_receipts!C89</f>
        <v>205.70681000000002</v>
      </c>
      <c r="J89">
        <f>tax_receipts!F89</f>
        <v>339.63694965029049</v>
      </c>
      <c r="K89" s="148">
        <f>J89*tax_receipts!G89/(tax_receipts!G89+tax_receipts!H89)</f>
        <v>2.4098276223728785</v>
      </c>
      <c r="L89" s="148">
        <f t="shared" si="1"/>
        <v>337.22712202791763</v>
      </c>
      <c r="M89">
        <f>debt!B89</f>
        <v>7039.2539999999981</v>
      </c>
      <c r="N89">
        <f>debt!C89</f>
        <v>10306.784</v>
      </c>
      <c r="O89">
        <f>debt!D89</f>
        <v>3013.8809815600025</v>
      </c>
      <c r="P89">
        <f>real_exchange_rate!B89</f>
        <v>105.97051099537322</v>
      </c>
      <c r="Q89" s="210">
        <v>15061.70716</v>
      </c>
    </row>
    <row r="90" spans="1:17" x14ac:dyDescent="0.35">
      <c r="A90" s="61">
        <v>39203</v>
      </c>
      <c r="B90" s="54">
        <v>4.8677272727272731</v>
      </c>
      <c r="C90" s="81">
        <f>oilprice!B90</f>
        <v>53.78</v>
      </c>
      <c r="D90" s="81">
        <f>EMBI!B90</f>
        <v>624.56521739130403</v>
      </c>
      <c r="E90" s="76">
        <f>g_consumption!B90</f>
        <v>105.94355825</v>
      </c>
      <c r="F90" s="76">
        <f>g_wages!B90</f>
        <v>287.31806245999996</v>
      </c>
      <c r="G90" s="76">
        <f>g_fbkf!B90</f>
        <v>245.64903229171136</v>
      </c>
      <c r="H90" s="76">
        <f>g_transfers!B90</f>
        <v>179.02555085555557</v>
      </c>
      <c r="I90">
        <f>tax_receipts!C90</f>
        <v>214.26552000000001</v>
      </c>
      <c r="J90">
        <f>tax_receipts!F90</f>
        <v>77.527946971760628</v>
      </c>
      <c r="K90" s="148">
        <f>J90*tax_receipts!G90/(tax_receipts!G90+tax_receipts!H90)</f>
        <v>14.89975829654523</v>
      </c>
      <c r="L90" s="148">
        <f t="shared" si="1"/>
        <v>62.628188675215398</v>
      </c>
      <c r="M90">
        <f>debt!B90</f>
        <v>7038.3869999999997</v>
      </c>
      <c r="N90">
        <f>debt!C90</f>
        <v>10355.175000000001</v>
      </c>
      <c r="O90">
        <f>debt!D90</f>
        <v>2863.5369815600029</v>
      </c>
      <c r="P90">
        <f>real_exchange_rate!B90</f>
        <v>107.1568332392923</v>
      </c>
      <c r="Q90" s="210">
        <v>15862.39327</v>
      </c>
    </row>
    <row r="91" spans="1:17" x14ac:dyDescent="0.35">
      <c r="A91" s="61">
        <v>39234</v>
      </c>
      <c r="B91" s="54">
        <v>4.7419047619047623</v>
      </c>
      <c r="C91" s="81">
        <f>oilprice!B91</f>
        <v>56.94</v>
      </c>
      <c r="D91" s="81">
        <f>EMBI!B91</f>
        <v>629.85714285714198</v>
      </c>
      <c r="E91" s="76">
        <f>g_consumption!B91</f>
        <v>108.01586938</v>
      </c>
      <c r="F91" s="76">
        <f>g_wages!B91</f>
        <v>274.40755220000005</v>
      </c>
      <c r="G91" s="76">
        <f>g_fbkf!B91</f>
        <v>257.62590904471131</v>
      </c>
      <c r="H91" s="76">
        <f>g_transfers!B91</f>
        <v>182.85320541018058</v>
      </c>
      <c r="I91">
        <f>tax_receipts!C91</f>
        <v>212.43723999999997</v>
      </c>
      <c r="J91">
        <f>tax_receipts!F91</f>
        <v>48.42488557780581</v>
      </c>
      <c r="K91" s="148">
        <f>J91*tax_receipts!G91/(tax_receipts!G91+tax_receipts!H91)</f>
        <v>15.822714728281285</v>
      </c>
      <c r="L91" s="148">
        <f t="shared" si="1"/>
        <v>32.602170849524526</v>
      </c>
      <c r="M91">
        <f>debt!B91</f>
        <v>7178.9649999999992</v>
      </c>
      <c r="N91">
        <f>debt!C91</f>
        <v>10369.189999999999</v>
      </c>
      <c r="O91">
        <f>debt!D91</f>
        <v>2880.0029815600028</v>
      </c>
      <c r="P91">
        <f>real_exchange_rate!B91</f>
        <v>107.06335195133518</v>
      </c>
      <c r="Q91" s="210">
        <v>15439.005140000001</v>
      </c>
    </row>
    <row r="92" spans="1:17" x14ac:dyDescent="0.35">
      <c r="A92" s="61">
        <v>39264</v>
      </c>
      <c r="B92" s="54">
        <v>4.9609523809523806</v>
      </c>
      <c r="C92" s="81">
        <f>oilprice!B92</f>
        <v>63.73</v>
      </c>
      <c r="D92" s="81">
        <f>EMBI!B92</f>
        <v>714</v>
      </c>
      <c r="E92" s="76">
        <f>g_consumption!B92</f>
        <v>184.83897785000002</v>
      </c>
      <c r="F92" s="76">
        <f>g_wages!B92</f>
        <v>332.30186488999999</v>
      </c>
      <c r="G92" s="76">
        <f>g_fbkf!B92</f>
        <v>266.68454602755367</v>
      </c>
      <c r="H92" s="76">
        <f>g_transfers!B92</f>
        <v>156.31143698018056</v>
      </c>
      <c r="I92">
        <f>tax_receipts!C92</f>
        <v>217.88958</v>
      </c>
      <c r="J92">
        <f>tax_receipts!F92</f>
        <v>135.82537593144815</v>
      </c>
      <c r="K92" s="148">
        <f>J92*tax_receipts!G92/(tax_receipts!G92+tax_receipts!H92)</f>
        <v>46.277808022910278</v>
      </c>
      <c r="L92" s="148">
        <f t="shared" si="1"/>
        <v>89.547567908537872</v>
      </c>
      <c r="M92">
        <f>debt!B92</f>
        <v>7274.7880000000005</v>
      </c>
      <c r="N92">
        <f>debt!C92</f>
        <v>10383.156999999997</v>
      </c>
      <c r="O92">
        <f>debt!D92</f>
        <v>2969.1119815600027</v>
      </c>
      <c r="P92">
        <f>real_exchange_rate!B92</f>
        <v>107.37784369467197</v>
      </c>
      <c r="Q92" s="210">
        <v>15799.54084</v>
      </c>
    </row>
    <row r="93" spans="1:17" x14ac:dyDescent="0.35">
      <c r="A93" s="61">
        <v>39295</v>
      </c>
      <c r="B93" s="54">
        <v>4.3169565217391304</v>
      </c>
      <c r="C93" s="81">
        <f>oilprice!B93</f>
        <v>61.22</v>
      </c>
      <c r="D93" s="81">
        <f>EMBI!B93</f>
        <v>701.78260869565202</v>
      </c>
      <c r="E93" s="76">
        <f>g_consumption!B93</f>
        <v>126.37345374</v>
      </c>
      <c r="F93" s="76">
        <f>g_wages!B93</f>
        <v>319.33903022800007</v>
      </c>
      <c r="G93" s="76">
        <f>g_fbkf!B93</f>
        <v>295.10539782175607</v>
      </c>
      <c r="H93" s="76">
        <f>g_transfers!B93</f>
        <v>369.09644250618055</v>
      </c>
      <c r="I93">
        <f>tax_receipts!C93</f>
        <v>242.53980999999999</v>
      </c>
      <c r="J93">
        <f>tax_receipts!F93</f>
        <v>73.03418697411422</v>
      </c>
      <c r="K93" s="148">
        <f>J93*tax_receipts!G93/(tax_receipts!G93+tax_receipts!H93)</f>
        <v>24.930360640107633</v>
      </c>
      <c r="L93" s="148">
        <f t="shared" si="1"/>
        <v>48.103826334006584</v>
      </c>
      <c r="M93">
        <f>debt!B93</f>
        <v>7387.4529999999986</v>
      </c>
      <c r="N93">
        <f>debt!C93</f>
        <v>10357.796999999999</v>
      </c>
      <c r="O93">
        <f>debt!D93</f>
        <v>3038.1729815600029</v>
      </c>
      <c r="P93">
        <f>real_exchange_rate!B93</f>
        <v>106.62747665756788</v>
      </c>
      <c r="Q93" s="210">
        <v>15756.262699999999</v>
      </c>
    </row>
    <row r="94" spans="1:17" x14ac:dyDescent="0.35">
      <c r="A94" s="61">
        <v>39326</v>
      </c>
      <c r="B94" s="54">
        <v>3.9942105263157894</v>
      </c>
      <c r="C94" s="81">
        <f>oilprice!B94</f>
        <v>64.680000000000007</v>
      </c>
      <c r="D94" s="81">
        <f>EMBI!B94</f>
        <v>659.95</v>
      </c>
      <c r="E94" s="76">
        <f>g_consumption!B94</f>
        <v>119.66119115999999</v>
      </c>
      <c r="F94" s="76">
        <f>g_wages!B94</f>
        <v>307.37916452999997</v>
      </c>
      <c r="G94" s="76">
        <f>g_fbkf!B94</f>
        <v>326.25899491333331</v>
      </c>
      <c r="H94" s="76">
        <f>g_transfers!B94</f>
        <v>254.60561032689728</v>
      </c>
      <c r="I94">
        <f>tax_receipts!C94</f>
        <v>244.33858999999998</v>
      </c>
      <c r="J94">
        <f>tax_receipts!F94</f>
        <v>152.29469942658059</v>
      </c>
      <c r="K94" s="148">
        <f>J94*tax_receipts!G94/(tax_receipts!G94+tax_receipts!H94)</f>
        <v>50.024964892766533</v>
      </c>
      <c r="L94" s="148">
        <f t="shared" si="1"/>
        <v>102.26973453381406</v>
      </c>
      <c r="M94">
        <f>debt!B94</f>
        <v>7368.5969999999988</v>
      </c>
      <c r="N94">
        <f>debt!C94</f>
        <v>10349.483</v>
      </c>
      <c r="O94">
        <f>debt!D94</f>
        <v>3066.2329815600033</v>
      </c>
      <c r="P94">
        <f>real_exchange_rate!B94</f>
        <v>106.88963083498345</v>
      </c>
      <c r="Q94" s="210">
        <v>15505.839189999999</v>
      </c>
    </row>
    <row r="95" spans="1:17" x14ac:dyDescent="0.35">
      <c r="A95" s="61">
        <v>39356</v>
      </c>
      <c r="B95" s="54">
        <v>4.0027272727272729</v>
      </c>
      <c r="C95" s="81">
        <f>oilprice!B95</f>
        <v>71.36</v>
      </c>
      <c r="D95" s="81">
        <f>EMBI!B95</f>
        <v>599.08695652173901</v>
      </c>
      <c r="E95" s="76">
        <f>g_consumption!B95</f>
        <v>138.50538098999999</v>
      </c>
      <c r="F95" s="76">
        <f>g_wages!B95</f>
        <v>324.20108720999997</v>
      </c>
      <c r="G95" s="76">
        <f>g_fbkf!B95</f>
        <v>281.23113396092265</v>
      </c>
      <c r="H95" s="76">
        <f>g_transfers!B95</f>
        <v>313.77568212018059</v>
      </c>
      <c r="I95">
        <f>tax_receipts!C95</f>
        <v>231.79163</v>
      </c>
      <c r="J95">
        <f>tax_receipts!F95</f>
        <v>76.20578711599147</v>
      </c>
      <c r="K95" s="148">
        <f>J95*tax_receipts!G95/(tax_receipts!G95+tax_receipts!H95)</f>
        <v>32.218968740872555</v>
      </c>
      <c r="L95" s="148">
        <f t="shared" si="1"/>
        <v>43.986818375118915</v>
      </c>
      <c r="M95">
        <f>debt!B95</f>
        <v>7369.869999999999</v>
      </c>
      <c r="N95">
        <f>debt!C95</f>
        <v>10379.51</v>
      </c>
      <c r="O95">
        <f>debt!D95</f>
        <v>3114.4689815600032</v>
      </c>
      <c r="P95">
        <f>real_exchange_rate!B95</f>
        <v>108.59545640664875</v>
      </c>
      <c r="Q95" s="210">
        <v>15921.16689</v>
      </c>
    </row>
    <row r="96" spans="1:17" x14ac:dyDescent="0.35">
      <c r="A96" s="61">
        <v>39387</v>
      </c>
      <c r="B96" s="54">
        <v>3.3544999999999998</v>
      </c>
      <c r="C96" s="81">
        <f>oilprice!B96</f>
        <v>79.81</v>
      </c>
      <c r="D96" s="81">
        <f>EMBI!B96</f>
        <v>618.18181818181802</v>
      </c>
      <c r="E96" s="76">
        <f>g_consumption!B96</f>
        <v>137.06694562908334</v>
      </c>
      <c r="F96" s="76">
        <f>g_wages!B96</f>
        <v>274.2238513018039</v>
      </c>
      <c r="G96" s="76">
        <f>g_fbkf!B96</f>
        <v>273.2987670309227</v>
      </c>
      <c r="H96" s="76">
        <f>g_transfers!B96</f>
        <v>390.47435003183068</v>
      </c>
      <c r="I96">
        <f>tax_receipts!C96</f>
        <v>257.11797000000001</v>
      </c>
      <c r="J96">
        <f>tax_receipts!F96</f>
        <v>78.952236085699852</v>
      </c>
      <c r="K96" s="148">
        <f>J96*tax_receipts!G96/(tax_receipts!G96+tax_receipts!H96)</f>
        <v>29.057379448306506</v>
      </c>
      <c r="L96" s="148">
        <f t="shared" si="1"/>
        <v>49.894856637393346</v>
      </c>
      <c r="M96">
        <f>debt!B96</f>
        <v>6918.1880000000001</v>
      </c>
      <c r="N96">
        <f>debt!C96</f>
        <v>10357.311</v>
      </c>
      <c r="O96">
        <f>debt!D96</f>
        <v>3148.5919815600032</v>
      </c>
      <c r="P96">
        <f>real_exchange_rate!B96</f>
        <v>109.74319169814483</v>
      </c>
      <c r="Q96" s="210">
        <v>15541.256509999999</v>
      </c>
    </row>
    <row r="97" spans="1:17" x14ac:dyDescent="0.35">
      <c r="A97" s="61">
        <v>39417</v>
      </c>
      <c r="B97" s="54">
        <v>3.0665</v>
      </c>
      <c r="C97" s="81">
        <f>oilprice!B97</f>
        <v>77.209999999999894</v>
      </c>
      <c r="D97" s="81">
        <f>EMBI!B97</f>
        <v>604.90476190476102</v>
      </c>
      <c r="E97" s="76">
        <f>g_consumption!B97</f>
        <v>243.06234573908333</v>
      </c>
      <c r="F97" s="76">
        <f>g_wages!B97</f>
        <v>479.08134106913639</v>
      </c>
      <c r="G97" s="76">
        <f>g_fbkf!B97</f>
        <v>441.58063176425605</v>
      </c>
      <c r="H97" s="76">
        <f>g_transfers!B97</f>
        <v>403.26674145611116</v>
      </c>
      <c r="I97">
        <f>tax_receipts!C97</f>
        <v>254.7449</v>
      </c>
      <c r="J97">
        <f>tax_receipts!F97</f>
        <v>96.87098421942342</v>
      </c>
      <c r="K97" s="148">
        <f>J97*tax_receipts!G97/(tax_receipts!G97+tax_receipts!H97)</f>
        <v>37.304913367752079</v>
      </c>
      <c r="L97" s="148">
        <f t="shared" si="1"/>
        <v>59.566070851671341</v>
      </c>
      <c r="M97">
        <f>debt!B97</f>
        <v>6839.3560000000007</v>
      </c>
      <c r="N97">
        <f>debt!C97</f>
        <v>10633.373</v>
      </c>
      <c r="O97">
        <f>debt!D97</f>
        <v>3240.081981560003</v>
      </c>
      <c r="P97">
        <f>real_exchange_rate!B97</f>
        <v>109.28402846208594</v>
      </c>
      <c r="Q97" s="210">
        <v>16483.313399999999</v>
      </c>
    </row>
    <row r="98" spans="1:17" x14ac:dyDescent="0.35">
      <c r="A98" s="61">
        <v>39448</v>
      </c>
      <c r="B98" s="54">
        <v>2.82</v>
      </c>
      <c r="C98" s="81">
        <f>oilprice!B98</f>
        <v>77</v>
      </c>
      <c r="D98" s="81">
        <f>EMBI!B98</f>
        <v>633.95652173913004</v>
      </c>
      <c r="E98" s="76">
        <f>g_consumption!B98</f>
        <v>104.98897095999997</v>
      </c>
      <c r="F98" s="76">
        <f>g_wages!B98</f>
        <v>277.08424510999993</v>
      </c>
      <c r="G98" s="76">
        <f>g_fbkf!B98</f>
        <v>272.09566106993856</v>
      </c>
      <c r="H98" s="76">
        <f>g_transfers!B98</f>
        <v>340.34499075873447</v>
      </c>
      <c r="I98">
        <f>tax_receipts!C98</f>
        <v>349.7835</v>
      </c>
      <c r="J98">
        <f>tax_receipts!F98</f>
        <v>166.51224155049499</v>
      </c>
      <c r="K98" s="148">
        <f>J98*tax_receipts!G98/(tax_receipts!G98+tax_receipts!H98)</f>
        <v>79.637143844032948</v>
      </c>
      <c r="L98" s="148">
        <f t="shared" si="1"/>
        <v>86.875097706462043</v>
      </c>
      <c r="M98">
        <f>debt!B98</f>
        <v>7018.0790000000006</v>
      </c>
      <c r="N98">
        <f>debt!C98</f>
        <v>10451.919</v>
      </c>
      <c r="O98">
        <f>debt!D98</f>
        <v>3183.4519815600033</v>
      </c>
      <c r="P98">
        <f>real_exchange_rate!B98</f>
        <v>109.36386366122467</v>
      </c>
      <c r="Q98" s="209">
        <v>16128.65093</v>
      </c>
    </row>
    <row r="99" spans="1:17" x14ac:dyDescent="0.35">
      <c r="A99" s="61">
        <v>39479</v>
      </c>
      <c r="B99" s="54">
        <v>2.1739999999999999</v>
      </c>
      <c r="C99" s="81">
        <f>oilprice!B99</f>
        <v>80.34</v>
      </c>
      <c r="D99" s="81">
        <f>EMBI!B99</f>
        <v>640.04761904761904</v>
      </c>
      <c r="E99" s="76">
        <f>g_consumption!B99</f>
        <v>96.063589120000003</v>
      </c>
      <c r="F99" s="76">
        <f>g_wages!B99</f>
        <v>346.67021641999997</v>
      </c>
      <c r="G99" s="76">
        <f>g_fbkf!B99</f>
        <v>209.33255088677154</v>
      </c>
      <c r="H99" s="76">
        <f>g_transfers!B99</f>
        <v>384.21210635300292</v>
      </c>
      <c r="I99">
        <f>tax_receipts!C99</f>
        <v>195.87870000000001</v>
      </c>
      <c r="J99">
        <f>tax_receipts!F99</f>
        <v>106.95375226337001</v>
      </c>
      <c r="K99" s="148">
        <f>J99*tax_receipts!G99/(tax_receipts!G99+tax_receipts!H99)</f>
        <v>78.815599831651113</v>
      </c>
      <c r="L99" s="148">
        <f t="shared" si="1"/>
        <v>28.138152431718893</v>
      </c>
      <c r="M99">
        <f>debt!B99</f>
        <v>6971.5819999999994</v>
      </c>
      <c r="N99">
        <f>debt!C99</f>
        <v>10445.585999999999</v>
      </c>
      <c r="O99">
        <f>debt!D99</f>
        <v>3147.5529815600034</v>
      </c>
      <c r="P99">
        <f>real_exchange_rate!B99</f>
        <v>109.52074675637071</v>
      </c>
      <c r="Q99" s="209">
        <v>15041.068800000001</v>
      </c>
    </row>
    <row r="100" spans="1:17" x14ac:dyDescent="0.35">
      <c r="A100" s="61">
        <v>39508</v>
      </c>
      <c r="B100" s="54">
        <v>1.2835000000000001</v>
      </c>
      <c r="C100" s="81">
        <f>oilprice!B100</f>
        <v>88.02</v>
      </c>
      <c r="D100" s="81">
        <f>EMBI!B100</f>
        <v>668.52380952380895</v>
      </c>
      <c r="E100" s="76">
        <f>g_consumption!B100</f>
        <v>131.17222385800017</v>
      </c>
      <c r="F100" s="76">
        <f>g_wages!B100</f>
        <v>370.36835866004321</v>
      </c>
      <c r="G100" s="76">
        <f>g_fbkf!B100</f>
        <v>417.77597358243986</v>
      </c>
      <c r="H100" s="76">
        <f>g_transfers!B100</f>
        <v>498.8073373504364</v>
      </c>
      <c r="I100">
        <f>tax_receipts!C100</f>
        <v>247.8287</v>
      </c>
      <c r="J100">
        <f>tax_receipts!F100</f>
        <v>150.56012996000001</v>
      </c>
      <c r="K100" s="148">
        <f>J100*tax_receipts!G100/(tax_receipts!G100+tax_receipts!H100)</f>
        <v>137.05059234931866</v>
      </c>
      <c r="L100" s="148">
        <f t="shared" si="1"/>
        <v>13.509537610681349</v>
      </c>
      <c r="M100">
        <f>debt!B100</f>
        <v>6735.148000000001</v>
      </c>
      <c r="N100">
        <f>debt!C100</f>
        <v>10392.182999999999</v>
      </c>
      <c r="O100">
        <f>debt!D100</f>
        <v>3088.6409815600036</v>
      </c>
      <c r="P100">
        <f>real_exchange_rate!B100</f>
        <v>111.21030494490743</v>
      </c>
      <c r="Q100" s="209">
        <v>15746.48271</v>
      </c>
    </row>
    <row r="101" spans="1:17" x14ac:dyDescent="0.35">
      <c r="A101" s="61">
        <v>39539</v>
      </c>
      <c r="B101" s="54">
        <v>1.3118181818181818</v>
      </c>
      <c r="C101" s="81">
        <f>oilprice!B101</f>
        <v>94.25</v>
      </c>
      <c r="D101" s="81">
        <f>EMBI!B101</f>
        <v>601.86363636363603</v>
      </c>
      <c r="E101" s="76">
        <f>g_consumption!B101</f>
        <v>168.76794286635754</v>
      </c>
      <c r="F101" s="76">
        <f>g_wages!B101</f>
        <v>406.46501129875662</v>
      </c>
      <c r="G101" s="76">
        <f>g_fbkf!B101</f>
        <v>450.07531677876318</v>
      </c>
      <c r="H101" s="76">
        <f>g_transfers!B101</f>
        <v>577.91987473144388</v>
      </c>
      <c r="I101">
        <f>tax_receipts!C101</f>
        <v>233.97460000000001</v>
      </c>
      <c r="J101">
        <f>tax_receipts!F101</f>
        <v>518.89909999999998</v>
      </c>
      <c r="K101" s="148">
        <f>J101*tax_receipts!G101/(tax_receipts!G101+tax_receipts!H101)</f>
        <v>6.0245947243905116</v>
      </c>
      <c r="L101" s="148">
        <f t="shared" si="1"/>
        <v>512.87450527560941</v>
      </c>
      <c r="M101">
        <f>debt!B101</f>
        <v>6878.0910000000003</v>
      </c>
      <c r="N101">
        <f>debt!C101</f>
        <v>10296.33</v>
      </c>
      <c r="O101">
        <f>debt!D101</f>
        <v>3050.7169815600037</v>
      </c>
      <c r="P101">
        <f>real_exchange_rate!B101</f>
        <v>110.65064574787266</v>
      </c>
      <c r="Q101" s="209">
        <v>15308.306669999998</v>
      </c>
    </row>
    <row r="102" spans="1:17" x14ac:dyDescent="0.35">
      <c r="A102" s="61">
        <v>39569</v>
      </c>
      <c r="B102" s="54">
        <v>1.7642857142857142</v>
      </c>
      <c r="C102" s="81">
        <f>oilprice!B102</f>
        <v>106.68</v>
      </c>
      <c r="D102" s="81">
        <f>EMBI!B102</f>
        <v>561.72727272727195</v>
      </c>
      <c r="E102" s="76">
        <f>g_consumption!B102</f>
        <v>156.18244220543838</v>
      </c>
      <c r="F102" s="76">
        <f>g_wages!B102</f>
        <v>289.47865503188888</v>
      </c>
      <c r="G102" s="76">
        <f>g_fbkf!B102</f>
        <v>475.75145321015191</v>
      </c>
      <c r="H102" s="76">
        <f>g_transfers!B102</f>
        <v>673.26830859026268</v>
      </c>
      <c r="I102">
        <f>tax_receipts!C102</f>
        <v>259.45580000000001</v>
      </c>
      <c r="J102">
        <f>tax_receipts!F102</f>
        <v>154.608578604</v>
      </c>
      <c r="K102" s="148">
        <f>J102*tax_receipts!G102/(tax_receipts!G102+tax_receipts!H102)</f>
        <v>40.577885623821579</v>
      </c>
      <c r="L102" s="148">
        <f t="shared" si="1"/>
        <v>114.03069298017843</v>
      </c>
      <c r="M102">
        <f>debt!B102</f>
        <v>6891.9250000000011</v>
      </c>
      <c r="N102">
        <f>debt!C102</f>
        <v>10134.933999999997</v>
      </c>
      <c r="O102">
        <f>debt!D102</f>
        <v>3061.9069815600042</v>
      </c>
      <c r="P102">
        <f>real_exchange_rate!B102</f>
        <v>109.78575428815562</v>
      </c>
      <c r="Q102" s="209">
        <v>15467.09476</v>
      </c>
    </row>
    <row r="103" spans="1:17" x14ac:dyDescent="0.35">
      <c r="A103" s="61">
        <v>39600</v>
      </c>
      <c r="B103" s="54">
        <v>1.8904761904761904</v>
      </c>
      <c r="C103" s="81">
        <f>oilprice!B103</f>
        <v>117.36</v>
      </c>
      <c r="D103" s="81">
        <f>EMBI!B103</f>
        <v>566.95238095238096</v>
      </c>
      <c r="E103" s="76">
        <f>g_consumption!B103</f>
        <v>154.55652560030072</v>
      </c>
      <c r="F103" s="76">
        <f>g_wages!B103</f>
        <v>383.62346911425232</v>
      </c>
      <c r="G103" s="76">
        <f>g_fbkf!B103</f>
        <v>420.24253582287429</v>
      </c>
      <c r="H103" s="76">
        <f>g_transfers!B103</f>
        <v>606.18187268041902</v>
      </c>
      <c r="I103">
        <f>tax_receipts!C103</f>
        <v>253.56719999999999</v>
      </c>
      <c r="J103">
        <f>tax_receipts!F103</f>
        <v>104.79683330500001</v>
      </c>
      <c r="K103" s="148">
        <f>J103*tax_receipts!G103/(tax_receipts!G103+tax_receipts!H103)</f>
        <v>30.839525615088245</v>
      </c>
      <c r="L103" s="148">
        <f t="shared" si="1"/>
        <v>73.957307689911758</v>
      </c>
      <c r="M103">
        <f>debt!B103</f>
        <v>6730.9680000000017</v>
      </c>
      <c r="N103">
        <f>debt!C103</f>
        <v>10081.232</v>
      </c>
      <c r="O103">
        <f>debt!D103</f>
        <v>3038.307981560004</v>
      </c>
      <c r="P103">
        <f>real_exchange_rate!B103</f>
        <v>109.99583024067397</v>
      </c>
      <c r="Q103" s="209">
        <v>14844.378840000001</v>
      </c>
    </row>
    <row r="104" spans="1:17" x14ac:dyDescent="0.35">
      <c r="A104" s="61">
        <v>39630</v>
      </c>
      <c r="B104" s="54">
        <v>1.655</v>
      </c>
      <c r="C104" s="81">
        <f>oilprice!B104</f>
        <v>114.37</v>
      </c>
      <c r="D104" s="81">
        <f>EMBI!B104</f>
        <v>662.65217391304304</v>
      </c>
      <c r="E104" s="76">
        <f>g_consumption!B104</f>
        <v>195.15897419240008</v>
      </c>
      <c r="F104" s="76">
        <f>g_wages!B104</f>
        <v>464.51857078636937</v>
      </c>
      <c r="G104" s="76">
        <f>g_fbkf!B104</f>
        <v>613.44621310294031</v>
      </c>
      <c r="H104" s="76">
        <f>g_transfers!B104</f>
        <v>781.87339633363058</v>
      </c>
      <c r="I104">
        <f>tax_receipts!C104</f>
        <v>276.01009999999997</v>
      </c>
      <c r="J104">
        <f>tax_receipts!F104</f>
        <v>273.37744556169002</v>
      </c>
      <c r="K104" s="148">
        <f>J104*tax_receipts!G104/(tax_receipts!G104+tax_receipts!H104)</f>
        <v>80.997645086444606</v>
      </c>
      <c r="L104" s="148">
        <f t="shared" si="1"/>
        <v>192.37980047524542</v>
      </c>
      <c r="M104">
        <f>debt!B104</f>
        <v>6712.152000000001</v>
      </c>
      <c r="N104">
        <f>debt!C104</f>
        <v>10094.484999999999</v>
      </c>
      <c r="O104">
        <f>debt!D104</f>
        <v>2995.066981560004</v>
      </c>
      <c r="P104">
        <f>real_exchange_rate!B104</f>
        <v>109.92257269316458</v>
      </c>
      <c r="Q104" s="209">
        <v>15448.03404</v>
      </c>
    </row>
    <row r="105" spans="1:17" x14ac:dyDescent="0.35">
      <c r="A105" s="61">
        <v>39661</v>
      </c>
      <c r="B105" s="54">
        <v>1.7528571428571429</v>
      </c>
      <c r="C105" s="81">
        <f>oilprice!B105</f>
        <v>99.65</v>
      </c>
      <c r="D105" s="81">
        <f>EMBI!B105</f>
        <v>699.85714285714198</v>
      </c>
      <c r="E105" s="76">
        <f>g_consumption!B105</f>
        <v>190.1876197162222</v>
      </c>
      <c r="F105" s="76">
        <f>g_wages!B105</f>
        <v>459.45362557573696</v>
      </c>
      <c r="G105" s="76">
        <f>g_fbkf!B105</f>
        <v>707.5180703429171</v>
      </c>
      <c r="H105" s="76">
        <f>g_transfers!B105</f>
        <v>614.70735004750213</v>
      </c>
      <c r="I105">
        <f>tax_receipts!C105</f>
        <v>301.15801999999996</v>
      </c>
      <c r="J105">
        <f>tax_receipts!F105</f>
        <v>121.89</v>
      </c>
      <c r="K105" s="148">
        <f>J105*tax_receipts!G105/(tax_receipts!G105+tax_receipts!H105)</f>
        <v>22.613240638554281</v>
      </c>
      <c r="L105" s="148">
        <f t="shared" si="1"/>
        <v>99.276759361445727</v>
      </c>
      <c r="M105">
        <f>debt!B105</f>
        <v>6947.3350000000009</v>
      </c>
      <c r="N105">
        <f>debt!C105</f>
        <v>10030.141999999998</v>
      </c>
      <c r="O105">
        <f>debt!D105</f>
        <v>2963.7559815600039</v>
      </c>
      <c r="P105">
        <f>real_exchange_rate!B105</f>
        <v>107.61972562009321</v>
      </c>
      <c r="Q105" s="209">
        <v>15598.575213</v>
      </c>
    </row>
    <row r="106" spans="1:17" x14ac:dyDescent="0.35">
      <c r="A106" s="61">
        <v>39692</v>
      </c>
      <c r="B106" s="54">
        <v>1.1466666666666667</v>
      </c>
      <c r="C106" s="81">
        <f>oilprice!B106</f>
        <v>88.68</v>
      </c>
      <c r="D106" s="81">
        <f>EMBI!B106</f>
        <v>880.09090909090901</v>
      </c>
      <c r="E106" s="76">
        <f>g_consumption!B106</f>
        <v>199.08647205147312</v>
      </c>
      <c r="F106" s="76">
        <f>g_wages!B106</f>
        <v>280.18599567004355</v>
      </c>
      <c r="G106" s="76">
        <f>g_fbkf!B106</f>
        <v>662.9962019489235</v>
      </c>
      <c r="H106" s="76">
        <f>g_transfers!B106</f>
        <v>632.34054413794377</v>
      </c>
      <c r="I106">
        <f>tax_receipts!C106</f>
        <v>312.79377999999997</v>
      </c>
      <c r="J106">
        <f>tax_receipts!F106</f>
        <v>279.131632244</v>
      </c>
      <c r="K106" s="148">
        <f>J106*tax_receipts!G106/(tax_receipts!G106+tax_receipts!H106)</f>
        <v>65.232138808349191</v>
      </c>
      <c r="L106" s="148">
        <f t="shared" si="1"/>
        <v>213.89949343565081</v>
      </c>
      <c r="M106">
        <f>debt!B106</f>
        <v>6988.5670000000009</v>
      </c>
      <c r="N106">
        <f>debt!C106</f>
        <v>10012.795999999997</v>
      </c>
      <c r="O106">
        <f>debt!D106</f>
        <v>2967.3319815600039</v>
      </c>
      <c r="P106">
        <f>real_exchange_rate!B106</f>
        <v>104.25430719802365</v>
      </c>
      <c r="Q106" s="209">
        <v>14954.90741</v>
      </c>
    </row>
    <row r="107" spans="1:17" x14ac:dyDescent="0.35">
      <c r="A107" s="61">
        <v>39722</v>
      </c>
      <c r="B107" s="54">
        <v>0.68590909090909091</v>
      </c>
      <c r="C107" s="81">
        <f>oilprice!B107</f>
        <v>63.78</v>
      </c>
      <c r="D107" s="81">
        <f>EMBI!B107</f>
        <v>1966.6521739130401</v>
      </c>
      <c r="E107" s="76">
        <f>g_consumption!B107</f>
        <v>204.07253760657505</v>
      </c>
      <c r="F107" s="76">
        <f>g_wages!B107</f>
        <v>498.62869954771713</v>
      </c>
      <c r="G107" s="76">
        <f>g_fbkf!B107</f>
        <v>660.27198475040086</v>
      </c>
      <c r="H107" s="76">
        <f>g_transfers!B107</f>
        <v>715.83874452150019</v>
      </c>
      <c r="I107">
        <f>tax_receipts!C107</f>
        <v>270.34890999999999</v>
      </c>
      <c r="J107">
        <f>tax_receipts!F107</f>
        <v>238.83079988899999</v>
      </c>
      <c r="K107" s="148">
        <f>J107*tax_receipts!G107/(tax_receipts!G107+tax_receipts!H107)</f>
        <v>10.996567065976139</v>
      </c>
      <c r="L107" s="148">
        <f t="shared" si="1"/>
        <v>227.83423282302385</v>
      </c>
      <c r="M107">
        <f>debt!B107</f>
        <v>6983.7280000000001</v>
      </c>
      <c r="N107">
        <f>debt!C107</f>
        <v>9936.744999999999</v>
      </c>
      <c r="O107">
        <f>debt!D107</f>
        <v>2972.1319815600041</v>
      </c>
      <c r="P107">
        <f>real_exchange_rate!B107</f>
        <v>99.772984292765869</v>
      </c>
      <c r="Q107" s="209">
        <v>15403.091269999999</v>
      </c>
    </row>
    <row r="108" spans="1:17" x14ac:dyDescent="0.35">
      <c r="A108" s="61">
        <v>39753</v>
      </c>
      <c r="B108" s="54">
        <v>0.19388888888888889</v>
      </c>
      <c r="C108" s="81">
        <f>oilprice!B108</f>
        <v>44.04</v>
      </c>
      <c r="D108" s="81">
        <f>EMBI!B108</f>
        <v>3703.7</v>
      </c>
      <c r="E108" s="76">
        <f>g_consumption!B108</f>
        <v>183.01136301747019</v>
      </c>
      <c r="F108" s="76">
        <f>g_wages!B108</f>
        <v>311.92226321398027</v>
      </c>
      <c r="G108" s="76">
        <f>g_fbkf!B108</f>
        <v>774.16413428618876</v>
      </c>
      <c r="H108" s="76">
        <f>g_transfers!B108</f>
        <v>606.98223128271331</v>
      </c>
      <c r="I108">
        <f>tax_receipts!C108</f>
        <v>315.50440000000003</v>
      </c>
      <c r="J108">
        <f>tax_receipts!F108</f>
        <v>135.58633768000001</v>
      </c>
      <c r="K108" s="148">
        <f>J108*tax_receipts!G108/(tax_receipts!G108+tax_receipts!H108)</f>
        <v>44.283361606799794</v>
      </c>
      <c r="L108" s="148">
        <f t="shared" si="1"/>
        <v>91.302976073200227</v>
      </c>
      <c r="M108">
        <f>debt!B108</f>
        <v>6914.1239999999998</v>
      </c>
      <c r="N108">
        <f>debt!C108</f>
        <v>9984.5669999999973</v>
      </c>
      <c r="O108">
        <f>debt!D108</f>
        <v>2972.9839815600044</v>
      </c>
      <c r="P108">
        <f>real_exchange_rate!B108</f>
        <v>97.656928287481136</v>
      </c>
      <c r="Q108" s="209">
        <v>15049.86627</v>
      </c>
    </row>
    <row r="109" spans="1:17" x14ac:dyDescent="0.35">
      <c r="A109" s="61">
        <v>39783</v>
      </c>
      <c r="B109" s="54">
        <v>3.4090909090909088E-2</v>
      </c>
      <c r="C109" s="81">
        <f>oilprice!B109</f>
        <v>26.09</v>
      </c>
      <c r="D109" s="81">
        <f>EMBI!B109</f>
        <v>4259.5217391304304</v>
      </c>
      <c r="E109" s="76">
        <f>g_consumption!B109</f>
        <v>303.65853352196234</v>
      </c>
      <c r="F109" s="76">
        <f>g_wages!B109</f>
        <v>781.26826929722449</v>
      </c>
      <c r="G109" s="76">
        <f>g_fbkf!B109</f>
        <v>1266.0413668040626</v>
      </c>
      <c r="H109" s="76">
        <f>g_transfers!B109</f>
        <v>666.64825859046937</v>
      </c>
      <c r="I109">
        <f>tax_receipts!C109</f>
        <v>294.04910000000001</v>
      </c>
      <c r="J109">
        <f>tax_receipts!F109</f>
        <v>118.05</v>
      </c>
      <c r="K109" s="148">
        <f>J109*tax_receipts!G109/(tax_receipts!G109+tax_receipts!H109)</f>
        <v>15.422038386401468</v>
      </c>
      <c r="L109" s="148">
        <f t="shared" si="1"/>
        <v>102.62796161359853</v>
      </c>
      <c r="M109">
        <f>debt!B109</f>
        <v>6692.0320000000011</v>
      </c>
      <c r="N109">
        <f>debt!C109</f>
        <v>10089.946999999998</v>
      </c>
      <c r="O109">
        <f>debt!D109</f>
        <v>3645.4169815600039</v>
      </c>
      <c r="P109">
        <f>real_exchange_rate!B109</f>
        <v>98.829476356190341</v>
      </c>
      <c r="Q109" s="209">
        <v>15736.917083</v>
      </c>
    </row>
    <row r="110" spans="1:17" x14ac:dyDescent="0.35">
      <c r="A110" s="61">
        <v>39814</v>
      </c>
      <c r="B110" s="54">
        <v>0.1295</v>
      </c>
      <c r="C110" s="81">
        <f>oilprice!B110</f>
        <v>26.79</v>
      </c>
      <c r="D110" s="81">
        <f>EMBI!B110</f>
        <v>3931.3636363636301</v>
      </c>
      <c r="E110" s="76">
        <f>g_consumption!B110</f>
        <v>115.67130517513743</v>
      </c>
      <c r="F110" s="76">
        <f>g_wages!B110</f>
        <v>322.57853161999992</v>
      </c>
      <c r="G110" s="76">
        <f>g_fbkf!B110</f>
        <v>280.32279465081615</v>
      </c>
      <c r="H110" s="76">
        <f>g_transfers!B110</f>
        <v>400.26971144214195</v>
      </c>
      <c r="I110">
        <f>tax_receipts!C110</f>
        <v>374.32157556000004</v>
      </c>
      <c r="J110">
        <f>tax_receipts!F110</f>
        <v>173.19129999999998</v>
      </c>
      <c r="K110" s="148">
        <f>J110*tax_receipts!G110/(tax_receipts!G110+tax_receipts!H110)</f>
        <v>50.600410590708819</v>
      </c>
      <c r="L110" s="148">
        <f t="shared" si="1"/>
        <v>122.59088940929117</v>
      </c>
      <c r="M110">
        <f>debt!B110</f>
        <v>6891.3020000000006</v>
      </c>
      <c r="N110">
        <f>debt!C110</f>
        <v>9994.5019999999986</v>
      </c>
      <c r="O110">
        <f>debt!D110</f>
        <v>3617.3629815600043</v>
      </c>
      <c r="P110">
        <f>real_exchange_rate!B110</f>
        <v>97.715455776043143</v>
      </c>
      <c r="Q110" s="209">
        <v>15608.860250000002</v>
      </c>
    </row>
    <row r="111" spans="1:17" x14ac:dyDescent="0.35">
      <c r="A111" s="61">
        <v>39845</v>
      </c>
      <c r="B111" s="54">
        <v>0.29526315789473684</v>
      </c>
      <c r="C111" s="81">
        <f>oilprice!B111</f>
        <v>26.65</v>
      </c>
      <c r="D111" s="81">
        <f>EMBI!B111</f>
        <v>3624.95</v>
      </c>
      <c r="E111" s="76">
        <f>g_consumption!B111</f>
        <v>125.65799893437162</v>
      </c>
      <c r="F111" s="76">
        <f>g_wages!B111</f>
        <v>474.01509976999995</v>
      </c>
      <c r="G111" s="76">
        <f>g_fbkf!B111</f>
        <v>352.94763004464789</v>
      </c>
      <c r="H111" s="76">
        <f>g_transfers!B111</f>
        <v>372.40826946981679</v>
      </c>
      <c r="I111">
        <f>tax_receipts!C111</f>
        <v>235.00198671000001</v>
      </c>
      <c r="J111">
        <f>tax_receipts!F111</f>
        <v>89.045900000000003</v>
      </c>
      <c r="K111" s="148">
        <f>J111*tax_receipts!G111/(tax_receipts!G111+tax_receipts!H111)</f>
        <v>49.445155678895823</v>
      </c>
      <c r="L111" s="148">
        <f t="shared" si="1"/>
        <v>39.60074432110418</v>
      </c>
      <c r="M111">
        <f>debt!B111</f>
        <v>6846.4970000000003</v>
      </c>
      <c r="N111">
        <f>debt!C111</f>
        <v>10062.248</v>
      </c>
      <c r="O111">
        <f>debt!D111</f>
        <v>4133.8199815600046</v>
      </c>
      <c r="P111">
        <f>real_exchange_rate!B111</f>
        <v>95.632876345337522</v>
      </c>
      <c r="Q111" s="209">
        <v>13948.903920000001</v>
      </c>
    </row>
    <row r="112" spans="1:17" x14ac:dyDescent="0.35">
      <c r="A112" s="61">
        <v>39873</v>
      </c>
      <c r="B112" s="54">
        <v>0.21590909090909091</v>
      </c>
      <c r="C112" s="81">
        <f>oilprice!B112</f>
        <v>36.299999999999997</v>
      </c>
      <c r="D112" s="81">
        <f>EMBI!B112</f>
        <v>3534.4090909090901</v>
      </c>
      <c r="E112" s="76">
        <f>g_consumption!B112</f>
        <v>140.36298313495831</v>
      </c>
      <c r="F112" s="76">
        <f>g_wages!B112</f>
        <v>573.53734027004316</v>
      </c>
      <c r="G112" s="76">
        <f>g_fbkf!B112</f>
        <v>559.96583790591831</v>
      </c>
      <c r="H112" s="76">
        <f>g_transfers!B112</f>
        <v>459.90994466684504</v>
      </c>
      <c r="I112">
        <f>tax_receipts!C112</f>
        <v>301.72818447999998</v>
      </c>
      <c r="J112">
        <f>tax_receipts!F112</f>
        <v>162.37729999999999</v>
      </c>
      <c r="K112" s="148">
        <f>J112*tax_receipts!G112/(tax_receipts!G112+tax_receipts!H112)</f>
        <v>148.90491690264395</v>
      </c>
      <c r="L112" s="148">
        <f t="shared" si="1"/>
        <v>13.472383097356044</v>
      </c>
      <c r="M112">
        <f>debt!B112</f>
        <v>6826.768</v>
      </c>
      <c r="N112">
        <f>debt!C112</f>
        <v>10045.130999999999</v>
      </c>
      <c r="O112">
        <f>debt!D112</f>
        <v>4133.7089815600048</v>
      </c>
      <c r="P112">
        <f>real_exchange_rate!B112</f>
        <v>94.389545341931182</v>
      </c>
      <c r="Q112" s="209">
        <v>15414.135340000001</v>
      </c>
    </row>
    <row r="113" spans="1:17" x14ac:dyDescent="0.35">
      <c r="A113" s="61">
        <v>39904</v>
      </c>
      <c r="B113" s="54">
        <v>0.15809523809523809</v>
      </c>
      <c r="C113" s="81">
        <f>oilprice!B113</f>
        <v>39.96</v>
      </c>
      <c r="D113" s="81">
        <f>EMBI!B113</f>
        <v>3417.1363636363599</v>
      </c>
      <c r="E113" s="76">
        <f>g_consumption!B113</f>
        <v>195.64827677886737</v>
      </c>
      <c r="F113" s="76">
        <f>g_wages!B113</f>
        <v>454.5830531985485</v>
      </c>
      <c r="G113" s="76">
        <f>g_fbkf!B113</f>
        <v>578.26782216932077</v>
      </c>
      <c r="H113" s="76">
        <f>g_transfers!B113</f>
        <v>493.50462045493123</v>
      </c>
      <c r="I113">
        <f>tax_receipts!C113</f>
        <v>264.25989762</v>
      </c>
      <c r="J113">
        <f>tax_receipts!F113</f>
        <v>701.64359999999999</v>
      </c>
      <c r="K113" s="148">
        <f>J113*tax_receipts!G113/(tax_receipts!G113+tax_receipts!H113)</f>
        <v>6.3209256743829361</v>
      </c>
      <c r="L113" s="148">
        <f t="shared" si="1"/>
        <v>695.32267432561707</v>
      </c>
      <c r="M113">
        <f>debt!B113</f>
        <v>6971.1489999999994</v>
      </c>
      <c r="N113">
        <f>debt!C113</f>
        <v>10048.083999999999</v>
      </c>
      <c r="O113">
        <f>debt!D113</f>
        <v>3049.6199815600044</v>
      </c>
      <c r="P113">
        <f>real_exchange_rate!B113</f>
        <v>95.663959620422688</v>
      </c>
      <c r="Q113" s="209">
        <v>14855.328968</v>
      </c>
    </row>
    <row r="114" spans="1:17" x14ac:dyDescent="0.35">
      <c r="A114" s="61">
        <v>39934</v>
      </c>
      <c r="B114" s="54">
        <v>0.17699999999999999</v>
      </c>
      <c r="C114" s="81">
        <f>oilprice!B114</f>
        <v>49.56</v>
      </c>
      <c r="D114" s="81">
        <f>EMBI!B114</f>
        <v>3335.482</v>
      </c>
      <c r="E114" s="76">
        <f>g_consumption!B114</f>
        <v>135.81988773142945</v>
      </c>
      <c r="F114" s="76">
        <f>g_wages!B114</f>
        <v>423.19475416780739</v>
      </c>
      <c r="G114" s="76">
        <f>g_fbkf!B114</f>
        <v>307.97988388069768</v>
      </c>
      <c r="H114" s="76">
        <f>g_transfers!B114</f>
        <v>461.82546621317249</v>
      </c>
      <c r="I114">
        <f>tax_receipts!C114</f>
        <v>267.71700782999994</v>
      </c>
      <c r="J114">
        <f>tax_receipts!F114</f>
        <v>163.15300000000002</v>
      </c>
      <c r="K114" s="148">
        <f>J114*tax_receipts!G114/(tax_receipts!G114+tax_receipts!H114)</f>
        <v>22.615699680236084</v>
      </c>
      <c r="L114" s="148">
        <f t="shared" si="1"/>
        <v>140.53730031976394</v>
      </c>
      <c r="M114">
        <f>debt!B114</f>
        <v>7091.3279999999995</v>
      </c>
      <c r="N114">
        <f>debt!C114</f>
        <v>10124.383</v>
      </c>
      <c r="O114">
        <f>debt!D114</f>
        <v>3049.6339815600045</v>
      </c>
      <c r="P114">
        <f>real_exchange_rate!B114</f>
        <v>97.684372500957991</v>
      </c>
      <c r="Q114" s="209">
        <v>15236.874589999999</v>
      </c>
    </row>
    <row r="115" spans="1:17" x14ac:dyDescent="0.35">
      <c r="A115" s="61">
        <v>39965</v>
      </c>
      <c r="B115" s="54">
        <v>0.17863636363636365</v>
      </c>
      <c r="C115" s="81">
        <f>oilprice!B115</f>
        <v>62.78</v>
      </c>
      <c r="D115" s="81">
        <f>EMBI!B115</f>
        <v>2727.4090909090901</v>
      </c>
      <c r="E115" s="76">
        <f>g_consumption!B115</f>
        <v>151.53385479704434</v>
      </c>
      <c r="F115" s="76">
        <f>g_wages!B115</f>
        <v>431.51668939629701</v>
      </c>
      <c r="G115" s="76">
        <f>g_fbkf!B115</f>
        <v>493.84150141639896</v>
      </c>
      <c r="H115" s="76">
        <f>g_transfers!B115</f>
        <v>335.32936344991163</v>
      </c>
      <c r="I115">
        <f>tax_receipts!C115</f>
        <v>266.89695911430505</v>
      </c>
      <c r="J115">
        <f>tax_receipts!F115</f>
        <v>113.55840000000001</v>
      </c>
      <c r="K115" s="148">
        <f>J115*tax_receipts!G115/(tax_receipts!G115+tax_receipts!H115)</f>
        <v>20.301458639886981</v>
      </c>
      <c r="L115" s="148">
        <f t="shared" si="1"/>
        <v>93.256941360113018</v>
      </c>
      <c r="M115">
        <f>debt!B115</f>
        <v>6744.1590000000006</v>
      </c>
      <c r="N115">
        <f>debt!C115</f>
        <v>7014.998999999998</v>
      </c>
      <c r="O115">
        <f>debt!D115</f>
        <v>3019.2109815600047</v>
      </c>
      <c r="P115">
        <f>real_exchange_rate!B115</f>
        <v>99.870562848614128</v>
      </c>
      <c r="Q115" s="209">
        <v>14744.53991</v>
      </c>
    </row>
    <row r="116" spans="1:17" x14ac:dyDescent="0.35">
      <c r="A116" s="61">
        <v>39995</v>
      </c>
      <c r="B116" s="54">
        <v>0.18363636363636363</v>
      </c>
      <c r="C116" s="81">
        <f>oilprice!B116</f>
        <v>56.38</v>
      </c>
      <c r="D116" s="81">
        <f>EMBI!B116</f>
        <v>1263.8181818181799</v>
      </c>
      <c r="E116" s="76">
        <f>g_consumption!B116</f>
        <v>170.96705846912599</v>
      </c>
      <c r="F116" s="76">
        <f>g_wages!B116</f>
        <v>536.31493952551068</v>
      </c>
      <c r="G116" s="76">
        <f>g_fbkf!B116</f>
        <v>435.52884626483018</v>
      </c>
      <c r="H116" s="76">
        <f>g_transfers!B116</f>
        <v>337.92168476077842</v>
      </c>
      <c r="I116">
        <f>tax_receipts!C116</f>
        <v>277.48007315756695</v>
      </c>
      <c r="J116">
        <f>tax_receipts!F116</f>
        <v>292.2319</v>
      </c>
      <c r="K116" s="148">
        <f>J116*tax_receipts!G116/(tax_receipts!G116+tax_receipts!H116)</f>
        <v>44.815560759433836</v>
      </c>
      <c r="L116" s="148">
        <f t="shared" si="1"/>
        <v>247.41633924056617</v>
      </c>
      <c r="M116">
        <f>debt!B116</f>
        <v>6709.9680000000017</v>
      </c>
      <c r="N116">
        <f>debt!C116</f>
        <v>7503.820999999999</v>
      </c>
      <c r="O116">
        <f>debt!D116</f>
        <v>3000.6179815600044</v>
      </c>
      <c r="P116">
        <f>real_exchange_rate!B116</f>
        <v>100.50258944201236</v>
      </c>
      <c r="Q116" s="209">
        <v>14978.65562</v>
      </c>
    </row>
    <row r="117" spans="1:17" x14ac:dyDescent="0.35">
      <c r="A117" s="61">
        <v>40026</v>
      </c>
      <c r="B117" s="54">
        <v>0.17190476190476189</v>
      </c>
      <c r="C117" s="81">
        <f>oilprice!B117</f>
        <v>63.63</v>
      </c>
      <c r="D117" s="81">
        <f>EMBI!B117</f>
        <v>1130.80952380952</v>
      </c>
      <c r="E117" s="76">
        <f>g_consumption!B117</f>
        <v>145.27280066790016</v>
      </c>
      <c r="F117" s="76">
        <f>g_wages!B117</f>
        <v>476.28634580196871</v>
      </c>
      <c r="G117" s="76">
        <f>g_fbkf!B117</f>
        <v>473.33326855921416</v>
      </c>
      <c r="H117" s="76">
        <f>g_transfers!B117</f>
        <v>418.60283041936918</v>
      </c>
      <c r="I117">
        <f>tax_receipts!C117</f>
        <v>262.33979386580376</v>
      </c>
      <c r="J117">
        <f>tax_receipts!F117</f>
        <v>127.8486</v>
      </c>
      <c r="K117" s="148">
        <f>J117*tax_receipts!G117/(tax_receipts!G117+tax_receipts!H117)</f>
        <v>20.598069461376387</v>
      </c>
      <c r="L117" s="148">
        <f t="shared" si="1"/>
        <v>107.25053053862362</v>
      </c>
      <c r="M117">
        <f>debt!B117</f>
        <v>6542.652000000001</v>
      </c>
      <c r="N117">
        <f>debt!C117</f>
        <v>7493.9029999999984</v>
      </c>
      <c r="O117">
        <f>debt!D117</f>
        <v>2967.9579815600046</v>
      </c>
      <c r="P117">
        <f>real_exchange_rate!B117</f>
        <v>101.62158734507805</v>
      </c>
      <c r="Q117" s="209">
        <v>14775.87299</v>
      </c>
    </row>
    <row r="118" spans="1:17" x14ac:dyDescent="0.35">
      <c r="A118" s="61">
        <v>40057</v>
      </c>
      <c r="B118" s="54">
        <v>0.12333333333333334</v>
      </c>
      <c r="C118" s="81">
        <f>oilprice!B118</f>
        <v>64.099999999999994</v>
      </c>
      <c r="D118" s="81">
        <f>EMBI!B118</f>
        <v>1019.9523809523801</v>
      </c>
      <c r="E118" s="76">
        <f>g_consumption!B118</f>
        <v>131.51101972308618</v>
      </c>
      <c r="F118" s="76">
        <f>g_wages!B118</f>
        <v>433.93050255014867</v>
      </c>
      <c r="G118" s="76">
        <f>g_fbkf!B118</f>
        <v>562.97411791279433</v>
      </c>
      <c r="H118" s="76">
        <f>g_transfers!B118</f>
        <v>457.03440561370445</v>
      </c>
      <c r="I118">
        <f>tax_receipts!C118</f>
        <v>285.43086775573272</v>
      </c>
      <c r="J118">
        <f>tax_receipts!F118</f>
        <v>275.28019999999998</v>
      </c>
      <c r="K118" s="148">
        <f>J118*tax_receipts!G118/(tax_receipts!G118+tax_receipts!H118)</f>
        <v>26.530108779784072</v>
      </c>
      <c r="L118" s="148">
        <f t="shared" si="1"/>
        <v>248.75009122021589</v>
      </c>
      <c r="M118">
        <f>debt!B118</f>
        <v>6429.6380000000008</v>
      </c>
      <c r="N118">
        <f>debt!C118</f>
        <v>7517.8509999999987</v>
      </c>
      <c r="O118">
        <f>debt!D118</f>
        <v>2968.7509815600047</v>
      </c>
      <c r="P118">
        <f>real_exchange_rate!B118</f>
        <v>102.01530882949005</v>
      </c>
      <c r="Q118" s="209">
        <v>14256.401709999998</v>
      </c>
    </row>
    <row r="119" spans="1:17" x14ac:dyDescent="0.35">
      <c r="A119" s="61">
        <v>40087</v>
      </c>
      <c r="B119" s="54">
        <v>7.4285714285714288E-2</v>
      </c>
      <c r="C119" s="81">
        <f>oilprice!B119</f>
        <v>69.05</v>
      </c>
      <c r="D119" s="81">
        <f>EMBI!B119</f>
        <v>853.19047619047603</v>
      </c>
      <c r="E119" s="76">
        <f>g_consumption!B119</f>
        <v>164.11980992383505</v>
      </c>
      <c r="F119" s="76">
        <f>g_wages!B119</f>
        <v>493.94622010638562</v>
      </c>
      <c r="G119" s="76">
        <f>g_fbkf!B119</f>
        <v>651.11468824229337</v>
      </c>
      <c r="H119" s="76">
        <f>g_transfers!B119</f>
        <v>649.95951160758966</v>
      </c>
      <c r="I119">
        <f>tax_receipts!C119</f>
        <v>290.82821955236261</v>
      </c>
      <c r="J119">
        <f>tax_receipts!F119</f>
        <v>132.827</v>
      </c>
      <c r="K119" s="148">
        <f>J119*tax_receipts!G119/(tax_receipts!G119+tax_receipts!H119)</f>
        <v>23.015141627510314</v>
      </c>
      <c r="L119" s="148">
        <f t="shared" si="1"/>
        <v>109.81185837248968</v>
      </c>
      <c r="M119">
        <f>debt!B119</f>
        <v>6586.9419999999982</v>
      </c>
      <c r="N119">
        <f>debt!C119</f>
        <v>7521.1109999999971</v>
      </c>
      <c r="O119">
        <f>debt!D119</f>
        <v>2872.6739815600049</v>
      </c>
      <c r="P119">
        <f>real_exchange_rate!B119</f>
        <v>103.14466782425083</v>
      </c>
      <c r="Q119" s="209">
        <v>14718.116870000002</v>
      </c>
    </row>
    <row r="120" spans="1:17" x14ac:dyDescent="0.35">
      <c r="A120" s="61">
        <v>40118</v>
      </c>
      <c r="B120" s="54">
        <v>5.2105263157894738E-2</v>
      </c>
      <c r="C120" s="81">
        <f>oilprice!B120</f>
        <v>70.45</v>
      </c>
      <c r="D120" s="81">
        <f>EMBI!B120</f>
        <v>821.89473684210498</v>
      </c>
      <c r="E120" s="76">
        <f>g_consumption!B120</f>
        <v>150.12999612389098</v>
      </c>
      <c r="F120" s="76">
        <f>g_wages!B120</f>
        <v>397.39015233537486</v>
      </c>
      <c r="G120" s="76">
        <f>g_fbkf!B120</f>
        <v>693.89268655310889</v>
      </c>
      <c r="H120" s="76">
        <f>g_transfers!B120</f>
        <v>594.27486199805389</v>
      </c>
      <c r="I120">
        <f>tax_receipts!C120</f>
        <v>316.20734783100409</v>
      </c>
      <c r="J120">
        <f>tax_receipts!F120</f>
        <v>164.2285</v>
      </c>
      <c r="K120" s="148">
        <f>J120*tax_receipts!G120/(tax_receipts!G120+tax_receipts!H120)</f>
        <v>39.092442909262822</v>
      </c>
      <c r="L120" s="148">
        <f t="shared" si="1"/>
        <v>125.13605709073718</v>
      </c>
      <c r="M120">
        <f>debt!B120</f>
        <v>6372.8350000000009</v>
      </c>
      <c r="N120">
        <f>debt!C120</f>
        <v>7534.5399999999981</v>
      </c>
      <c r="O120">
        <f>debt!D120</f>
        <v>2870.2799815600051</v>
      </c>
      <c r="P120">
        <f>real_exchange_rate!B120</f>
        <v>103.11358454916568</v>
      </c>
      <c r="Q120" s="209">
        <v>14308.33221</v>
      </c>
    </row>
    <row r="121" spans="1:17" x14ac:dyDescent="0.35">
      <c r="A121" s="61">
        <v>40148</v>
      </c>
      <c r="B121" s="54">
        <v>5.4545454545454543E-2</v>
      </c>
      <c r="C121" s="81">
        <f>oilprice!B121</f>
        <v>67.819999999999894</v>
      </c>
      <c r="D121" s="81">
        <f>EMBI!B121</f>
        <v>819.95454545454504</v>
      </c>
      <c r="E121" s="76">
        <f>g_consumption!B121</f>
        <v>297.46118692223297</v>
      </c>
      <c r="F121" s="76">
        <f>g_wages!B121</f>
        <v>911.92811591619363</v>
      </c>
      <c r="G121" s="76">
        <f>g_fbkf!B121</f>
        <v>919.81112523682327</v>
      </c>
      <c r="H121" s="76">
        <f>g_transfers!B121</f>
        <v>746.75871671631285</v>
      </c>
      <c r="I121">
        <f>tax_receipts!C121</f>
        <v>324.46207155978789</v>
      </c>
      <c r="J121">
        <f>tax_receipts!F121</f>
        <v>122.1185</v>
      </c>
      <c r="K121" s="148">
        <f>J121*tax_receipts!G121/(tax_receipts!G121+tax_receipts!H121)</f>
        <v>31.115518952967729</v>
      </c>
      <c r="L121" s="148">
        <f t="shared" si="1"/>
        <v>91.002981047032264</v>
      </c>
      <c r="M121">
        <f>debt!B121</f>
        <v>6115.7300000000023</v>
      </c>
      <c r="N121">
        <f>debt!C121</f>
        <v>7392.6949999999979</v>
      </c>
      <c r="O121">
        <f>debt!D121</f>
        <v>2842.2429815600049</v>
      </c>
      <c r="P121">
        <f>real_exchange_rate!B121</f>
        <v>101.93242009592966</v>
      </c>
      <c r="Q121" s="209">
        <v>14562.357788333331</v>
      </c>
    </row>
    <row r="122" spans="1:17" x14ac:dyDescent="0.35">
      <c r="A122" s="61">
        <v>40179</v>
      </c>
      <c r="B122" s="54">
        <v>6.1578947368421053E-2</v>
      </c>
      <c r="C122" s="81">
        <f>oilprice!B122</f>
        <v>72.52</v>
      </c>
      <c r="D122" s="81">
        <f>EMBI!B122</f>
        <v>757.1</v>
      </c>
      <c r="E122" s="76">
        <f>g_consumption!B122</f>
        <v>104.53585572</v>
      </c>
      <c r="F122" s="76">
        <f>g_wages!B122</f>
        <v>346.76303349</v>
      </c>
      <c r="G122" s="76">
        <f>g_fbkf!B122</f>
        <v>279.02748679756616</v>
      </c>
      <c r="H122" s="76">
        <f>g_transfers!B122</f>
        <v>630.75771498259667</v>
      </c>
      <c r="I122">
        <f>tax_receipts!C122</f>
        <v>449.72238417806307</v>
      </c>
      <c r="J122">
        <f>tax_receipts!F122</f>
        <v>204.244</v>
      </c>
      <c r="K122" s="148">
        <f>J122*tax_receipts!G122/(tax_receipts!G122+tax_receipts!H122)</f>
        <v>40.092958043162071</v>
      </c>
      <c r="L122" s="148">
        <f t="shared" si="1"/>
        <v>164.15104195683793</v>
      </c>
      <c r="M122">
        <f>debt!B122</f>
        <v>6086.3330000000024</v>
      </c>
      <c r="N122">
        <f>debt!C122</f>
        <v>7368.1629999999977</v>
      </c>
      <c r="O122">
        <f>debt!D122</f>
        <v>2826.4919815600047</v>
      </c>
      <c r="P122">
        <f>real_exchange_rate!B122</f>
        <v>99.442493048746044</v>
      </c>
      <c r="Q122" s="209">
        <v>14373.313569999998</v>
      </c>
    </row>
    <row r="123" spans="1:17" x14ac:dyDescent="0.35">
      <c r="A123" s="61">
        <v>40210</v>
      </c>
      <c r="B123" s="54">
        <v>0.10894736842105263</v>
      </c>
      <c r="C123" s="81">
        <f>oilprice!B123</f>
        <v>69.72</v>
      </c>
      <c r="D123" s="81">
        <f>EMBI!B123</f>
        <v>811.65</v>
      </c>
      <c r="E123" s="76">
        <f>g_consumption!B123</f>
        <v>120.21405146000001</v>
      </c>
      <c r="F123" s="76">
        <f>g_wages!B123</f>
        <v>560.19486128000005</v>
      </c>
      <c r="G123" s="76">
        <f>g_fbkf!B123</f>
        <v>273.29606291585679</v>
      </c>
      <c r="H123" s="76">
        <f>g_transfers!B123</f>
        <v>595.78907565685495</v>
      </c>
      <c r="I123">
        <f>tax_receipts!C123</f>
        <v>303.03320971267425</v>
      </c>
      <c r="J123">
        <f>tax_receipts!F123</f>
        <v>96.497500000000002</v>
      </c>
      <c r="K123" s="148">
        <f>J123*tax_receipts!G123/(tax_receipts!G123+tax_receipts!H123)</f>
        <v>49.348877053214238</v>
      </c>
      <c r="L123" s="148">
        <f t="shared" si="1"/>
        <v>47.148622946785764</v>
      </c>
      <c r="M123">
        <f>debt!B123</f>
        <v>6035.7670000000044</v>
      </c>
      <c r="N123">
        <f>debt!C123</f>
        <v>7325.7139999999981</v>
      </c>
      <c r="O123">
        <f>debt!D123</f>
        <v>2825.5199815600049</v>
      </c>
      <c r="P123">
        <f>real_exchange_rate!B123</f>
        <v>98.25444423939193</v>
      </c>
      <c r="Q123" s="209">
        <v>13162.48775</v>
      </c>
    </row>
    <row r="124" spans="1:17" x14ac:dyDescent="0.35">
      <c r="A124" s="61">
        <v>40238</v>
      </c>
      <c r="B124" s="54">
        <v>0.15043478260869564</v>
      </c>
      <c r="C124" s="81">
        <f>oilprice!B124</f>
        <v>73.14</v>
      </c>
      <c r="D124" s="81">
        <f>EMBI!B124</f>
        <v>822.04347826086905</v>
      </c>
      <c r="E124" s="76">
        <f>g_consumption!B124</f>
        <v>163.00564355</v>
      </c>
      <c r="F124" s="76">
        <f>g_wages!B124</f>
        <v>636.29020904999993</v>
      </c>
      <c r="G124" s="76">
        <f>g_fbkf!B124</f>
        <v>433.25588620931876</v>
      </c>
      <c r="H124" s="76">
        <f>g_transfers!B124</f>
        <v>643.88931804525498</v>
      </c>
      <c r="I124">
        <f>tax_receipts!C124</f>
        <v>405.84172942495269</v>
      </c>
      <c r="J124">
        <f>tax_receipts!F124</f>
        <v>174.57240000000002</v>
      </c>
      <c r="K124" s="148">
        <f>J124*tax_receipts!G124/(tax_receipts!G124+tax_receipts!H124)</f>
        <v>151.57312627865153</v>
      </c>
      <c r="L124" s="148">
        <f t="shared" si="1"/>
        <v>22.999273721348487</v>
      </c>
      <c r="M124">
        <f>debt!B124</f>
        <v>5944.7970000000005</v>
      </c>
      <c r="N124">
        <f>debt!C124</f>
        <v>7658.2139999999981</v>
      </c>
      <c r="O124">
        <f>debt!D124</f>
        <v>2838.2499815600049</v>
      </c>
      <c r="P124">
        <f>real_exchange_rate!B124</f>
        <v>98.765352291753914</v>
      </c>
      <c r="Q124" s="209">
        <v>14827.030320000002</v>
      </c>
    </row>
    <row r="125" spans="1:17" x14ac:dyDescent="0.35">
      <c r="A125" s="61">
        <v>40269</v>
      </c>
      <c r="B125" s="54">
        <v>0.16227272727272726</v>
      </c>
      <c r="C125" s="81">
        <f>oilprice!B125</f>
        <v>75.28</v>
      </c>
      <c r="D125" s="81">
        <f>EMBI!B125</f>
        <v>815.68181818181802</v>
      </c>
      <c r="E125" s="76">
        <f>g_consumption!B125</f>
        <v>146.64338977</v>
      </c>
      <c r="F125" s="76">
        <f>g_wages!B125</f>
        <v>515.41411255999992</v>
      </c>
      <c r="G125" s="76">
        <f>g_fbkf!B125</f>
        <v>720.82360094323042</v>
      </c>
      <c r="H125" s="76">
        <f>g_transfers!B125</f>
        <v>630.89104673333043</v>
      </c>
      <c r="I125">
        <f>tax_receipts!C125</f>
        <v>349.69674721184072</v>
      </c>
      <c r="J125">
        <f>tax_receipts!F125</f>
        <v>516.07680000000005</v>
      </c>
      <c r="K125" s="148">
        <f>J125*tax_receipts!G125/(tax_receipts!G125+tax_receipts!H125)</f>
        <v>6.754263003843568</v>
      </c>
      <c r="L125" s="148">
        <f t="shared" si="1"/>
        <v>509.32253699615649</v>
      </c>
      <c r="M125">
        <f>debt!B125</f>
        <v>6019.3829999999998</v>
      </c>
      <c r="N125">
        <f>debt!C125</f>
        <v>7651.1359999999977</v>
      </c>
      <c r="O125">
        <f>debt!D125</f>
        <v>2836.9849815600046</v>
      </c>
      <c r="P125">
        <f>real_exchange_rate!B125</f>
        <v>97.642253543457471</v>
      </c>
      <c r="Q125" s="209">
        <v>14393.461710000001</v>
      </c>
    </row>
    <row r="126" spans="1:17" x14ac:dyDescent="0.35">
      <c r="A126" s="61">
        <v>40299</v>
      </c>
      <c r="B126" s="54">
        <v>0.16</v>
      </c>
      <c r="C126" s="81">
        <f>oilprice!B126</f>
        <v>65.2</v>
      </c>
      <c r="D126" s="81">
        <f>EMBI!B126</f>
        <v>901.38095238095195</v>
      </c>
      <c r="E126" s="76">
        <f>g_consumption!B126</f>
        <v>138.78873797999998</v>
      </c>
      <c r="F126" s="76">
        <f>g_wages!B126</f>
        <v>486.36980302999996</v>
      </c>
      <c r="G126" s="76">
        <f>g_fbkf!B126</f>
        <v>574.51430814643675</v>
      </c>
      <c r="H126" s="76">
        <f>g_transfers!B126</f>
        <v>624.61728047224688</v>
      </c>
      <c r="I126">
        <f>tax_receipts!C126</f>
        <v>378.19224825982496</v>
      </c>
      <c r="J126">
        <f>tax_receipts!F126</f>
        <v>142.02629999999999</v>
      </c>
      <c r="K126" s="148">
        <f>J126*tax_receipts!G126/(tax_receipts!G126+tax_receipts!H126)</f>
        <v>40.252315189910306</v>
      </c>
      <c r="L126" s="148">
        <f t="shared" si="1"/>
        <v>101.77398481008969</v>
      </c>
      <c r="M126">
        <f>debt!B126</f>
        <v>6199.3770000000031</v>
      </c>
      <c r="N126">
        <f>debt!C126</f>
        <v>7656.5979999999972</v>
      </c>
      <c r="O126">
        <f>debt!D126</f>
        <v>3412.4584815600051</v>
      </c>
      <c r="P126">
        <f>real_exchange_rate!B126</f>
        <v>96.566440064270935</v>
      </c>
      <c r="Q126" s="209">
        <v>14830.704849999998</v>
      </c>
    </row>
    <row r="127" spans="1:17" x14ac:dyDescent="0.35">
      <c r="A127" s="61">
        <v>40330</v>
      </c>
      <c r="B127" s="54">
        <v>0.12363636363636364</v>
      </c>
      <c r="C127" s="81">
        <f>oilprice!B127</f>
        <v>66.95</v>
      </c>
      <c r="D127" s="81">
        <f>EMBI!B127</f>
        <v>964.68181818181802</v>
      </c>
      <c r="E127" s="76">
        <f>g_consumption!B127</f>
        <v>158.02395504</v>
      </c>
      <c r="F127" s="76">
        <f>g_wages!B127</f>
        <v>520.45122641</v>
      </c>
      <c r="G127" s="76">
        <f>g_fbkf!B127</f>
        <v>471.29692737633161</v>
      </c>
      <c r="H127" s="76">
        <f>g_transfers!B127</f>
        <v>578.00655514990763</v>
      </c>
      <c r="I127">
        <f>tax_receipts!C127</f>
        <v>386.99666370635168</v>
      </c>
      <c r="J127">
        <f>tax_receipts!F127</f>
        <v>123.0419</v>
      </c>
      <c r="K127" s="148">
        <f>J127*tax_receipts!G127/(tax_receipts!G127+tax_receipts!H127)</f>
        <v>33.674932724440076</v>
      </c>
      <c r="L127" s="148">
        <f t="shared" si="1"/>
        <v>89.366967275559915</v>
      </c>
      <c r="M127">
        <f>debt!B127</f>
        <v>5882.4920000000047</v>
      </c>
      <c r="N127">
        <f>debt!C127</f>
        <v>7861.8449999999984</v>
      </c>
      <c r="O127">
        <f>debt!D127</f>
        <v>3467.0244815600054</v>
      </c>
      <c r="P127">
        <f>real_exchange_rate!B127</f>
        <v>96.22531324216088</v>
      </c>
      <c r="Q127" s="209">
        <v>14719.899649999999</v>
      </c>
    </row>
    <row r="128" spans="1:17" x14ac:dyDescent="0.35">
      <c r="A128" s="61">
        <v>40360</v>
      </c>
      <c r="B128" s="54">
        <v>0.15761904761904763</v>
      </c>
      <c r="C128" s="81">
        <f>oilprice!B128</f>
        <v>68.989999999999995</v>
      </c>
      <c r="D128" s="81">
        <f>EMBI!B128</f>
        <v>1014.45454545454</v>
      </c>
      <c r="E128" s="76">
        <f>g_consumption!B128</f>
        <v>173.16751379999999</v>
      </c>
      <c r="F128" s="76">
        <f>g_wages!B128</f>
        <v>517.41573062999998</v>
      </c>
      <c r="G128" s="76">
        <f>g_fbkf!B128</f>
        <v>557.44866544370041</v>
      </c>
      <c r="H128" s="76">
        <f>g_transfers!B128</f>
        <v>597.46897694040069</v>
      </c>
      <c r="I128">
        <f>tax_receipts!C128</f>
        <v>328.89396698827869</v>
      </c>
      <c r="J128">
        <f>tax_receipts!F128</f>
        <v>260.8861</v>
      </c>
      <c r="K128" s="148">
        <f>J128*tax_receipts!G128/(tax_receipts!G128+tax_receipts!H128)</f>
        <v>56.811630616154424</v>
      </c>
      <c r="L128" s="148">
        <f t="shared" si="1"/>
        <v>204.07446938384558</v>
      </c>
      <c r="M128">
        <f>debt!B128</f>
        <v>5820.5330000000004</v>
      </c>
      <c r="N128">
        <f>debt!C128</f>
        <v>7902.9609999999975</v>
      </c>
      <c r="O128">
        <f>debt!D128</f>
        <v>4317.1714815600053</v>
      </c>
      <c r="P128">
        <f>real_exchange_rate!B128</f>
        <v>97.904566291117121</v>
      </c>
      <c r="Q128" s="209">
        <v>15244.52889</v>
      </c>
    </row>
    <row r="129" spans="1:17" x14ac:dyDescent="0.35">
      <c r="A129" s="61">
        <v>40391</v>
      </c>
      <c r="B129" s="54">
        <v>0.155</v>
      </c>
      <c r="C129" s="81">
        <f>oilprice!B129</f>
        <v>69.099999999999994</v>
      </c>
      <c r="D129" s="81">
        <f>EMBI!B129</f>
        <v>1036.1363636363601</v>
      </c>
      <c r="E129" s="76">
        <f>g_consumption!B129</f>
        <v>184.60837594999998</v>
      </c>
      <c r="F129" s="76">
        <f>g_wages!B129</f>
        <v>601.37976750999997</v>
      </c>
      <c r="G129" s="76">
        <f>g_fbkf!B129</f>
        <v>470.36451683077934</v>
      </c>
      <c r="H129" s="76">
        <f>g_transfers!B129</f>
        <v>607.02920122962655</v>
      </c>
      <c r="I129">
        <f>tax_receipts!C129</f>
        <v>328.93829769177756</v>
      </c>
      <c r="J129">
        <f>tax_receipts!F129</f>
        <v>136.6146</v>
      </c>
      <c r="K129" s="148">
        <f>J129*tax_receipts!G129/(tax_receipts!G129+tax_receipts!H129)</f>
        <v>28.907763953215994</v>
      </c>
      <c r="L129" s="148">
        <f t="shared" si="1"/>
        <v>107.70683604678401</v>
      </c>
      <c r="M129">
        <f>debt!B129</f>
        <v>5736.7820000000011</v>
      </c>
      <c r="N129">
        <f>debt!C129</f>
        <v>7877.8719999999985</v>
      </c>
      <c r="O129">
        <f>debt!D129</f>
        <v>4835.4354815600054</v>
      </c>
      <c r="P129">
        <f>real_exchange_rate!B129</f>
        <v>98.988248267515402</v>
      </c>
      <c r="Q129" s="209">
        <v>15032.596649999999</v>
      </c>
    </row>
    <row r="130" spans="1:17" x14ac:dyDescent="0.35">
      <c r="A130" s="61">
        <v>40422</v>
      </c>
      <c r="B130" s="54">
        <v>0.1519047619047619</v>
      </c>
      <c r="C130" s="81">
        <f>oilprice!B130</f>
        <v>67.209999999999894</v>
      </c>
      <c r="D130" s="81">
        <f>EMBI!B130</f>
        <v>1035.95454545454</v>
      </c>
      <c r="E130" s="76">
        <f>g_consumption!B130</f>
        <v>188.95141638999999</v>
      </c>
      <c r="F130" s="76">
        <f>g_wages!B130</f>
        <v>502.97510395000006</v>
      </c>
      <c r="G130" s="76">
        <f>g_fbkf!B130</f>
        <v>545.92160960881813</v>
      </c>
      <c r="H130" s="76">
        <f>g_transfers!B130</f>
        <v>579.78518745576537</v>
      </c>
      <c r="I130">
        <f>tax_receipts!C130</f>
        <v>352.32194896590289</v>
      </c>
      <c r="J130">
        <f>tax_receipts!F130</f>
        <v>252.34059999999997</v>
      </c>
      <c r="K130" s="148">
        <f>J130*tax_receipts!G130/(tax_receipts!G130+tax_receipts!H130)</f>
        <v>50.976686888399065</v>
      </c>
      <c r="L130" s="148">
        <f t="shared" si="1"/>
        <v>201.36391311160091</v>
      </c>
      <c r="M130">
        <f>debt!B130</f>
        <v>5674.2610000000041</v>
      </c>
      <c r="N130">
        <f>debt!C130</f>
        <v>8708.2719999999972</v>
      </c>
      <c r="O130">
        <f>debt!D130</f>
        <v>4833.2151715600048</v>
      </c>
      <c r="P130">
        <f>real_exchange_rate!B130</f>
        <v>99.38809321908461</v>
      </c>
      <c r="Q130" s="209">
        <v>14698.464610000001</v>
      </c>
    </row>
    <row r="131" spans="1:17" x14ac:dyDescent="0.35">
      <c r="A131" s="61">
        <v>40452</v>
      </c>
      <c r="B131" s="54">
        <v>0.13450000000000001</v>
      </c>
      <c r="C131" s="81">
        <f>oilprice!B131</f>
        <v>74.58</v>
      </c>
      <c r="D131" s="81">
        <f>EMBI!B131</f>
        <v>1016.42857142857</v>
      </c>
      <c r="E131" s="76">
        <f>g_consumption!B131</f>
        <v>195.22427890999998</v>
      </c>
      <c r="F131" s="76">
        <f>g_wages!B131</f>
        <v>575.21890918999998</v>
      </c>
      <c r="G131" s="76">
        <f>g_fbkf!B131</f>
        <v>662.24825421461014</v>
      </c>
      <c r="H131" s="76">
        <f>g_transfers!B131</f>
        <v>576.37860336646395</v>
      </c>
      <c r="I131">
        <f>tax_receipts!C131</f>
        <v>363.58161085994914</v>
      </c>
      <c r="J131">
        <f>tax_receipts!F131</f>
        <v>157.00700000000001</v>
      </c>
      <c r="K131" s="148">
        <f>J131*tax_receipts!G131/(tax_receipts!G131+tax_receipts!H131)</f>
        <v>31.898421798119319</v>
      </c>
      <c r="L131" s="148">
        <f t="shared" ref="L131:L194" si="2">J131-K131</f>
        <v>125.10857820188069</v>
      </c>
      <c r="M131">
        <f>debt!B131</f>
        <v>5576.1040000000039</v>
      </c>
      <c r="N131">
        <f>debt!C131</f>
        <v>8589.6180000000004</v>
      </c>
      <c r="O131">
        <f>debt!D131</f>
        <v>4517.2576715600053</v>
      </c>
      <c r="P131">
        <f>real_exchange_rate!B131</f>
        <v>101.37314502766294</v>
      </c>
      <c r="Q131" s="209">
        <v>15421.83251</v>
      </c>
    </row>
    <row r="132" spans="1:17" x14ac:dyDescent="0.35">
      <c r="A132" s="61">
        <v>40483</v>
      </c>
      <c r="B132" s="54">
        <v>0.14299999999999999</v>
      </c>
      <c r="C132" s="81">
        <f>oilprice!B132</f>
        <v>77.290000000000006</v>
      </c>
      <c r="D132" s="81">
        <f>EMBI!B132</f>
        <v>996.68181818181802</v>
      </c>
      <c r="E132" s="76">
        <f>g_consumption!B132</f>
        <v>198.18272461000004</v>
      </c>
      <c r="F132" s="76">
        <f>g_wages!B132</f>
        <v>551.48560831999998</v>
      </c>
      <c r="G132" s="76">
        <f>g_fbkf!B132</f>
        <v>574.60622505988408</v>
      </c>
      <c r="H132" s="76">
        <f>g_transfers!B132</f>
        <v>746.52052742133151</v>
      </c>
      <c r="I132">
        <f>tax_receipts!C132</f>
        <v>368.23834763796549</v>
      </c>
      <c r="J132">
        <f>tax_receipts!F132</f>
        <v>142.85509999999999</v>
      </c>
      <c r="K132" s="148">
        <f>J132*tax_receipts!G132/(tax_receipts!G132+tax_receipts!H132)</f>
        <v>22.041796648542295</v>
      </c>
      <c r="L132" s="148">
        <f t="shared" si="2"/>
        <v>120.81330335145771</v>
      </c>
      <c r="M132">
        <f>debt!B132</f>
        <v>5577.2499999999991</v>
      </c>
      <c r="N132">
        <f>debt!C132</f>
        <v>8564.0649999999987</v>
      </c>
      <c r="O132">
        <f>debt!D132</f>
        <v>4693.1625175600057</v>
      </c>
      <c r="P132">
        <f>real_exchange_rate!B132</f>
        <v>100.61160088454172</v>
      </c>
      <c r="Q132" s="209">
        <v>15238.102859000001</v>
      </c>
    </row>
    <row r="133" spans="1:17" x14ac:dyDescent="0.35">
      <c r="A133" s="61">
        <v>40513</v>
      </c>
      <c r="B133" s="54">
        <v>0.1409090909090909</v>
      </c>
      <c r="C133" s="81">
        <f>oilprice!B133</f>
        <v>81.52</v>
      </c>
      <c r="D133" s="81">
        <f>EMBI!B133</f>
        <v>927.47826086956502</v>
      </c>
      <c r="E133" s="76">
        <f>g_consumption!B133</f>
        <v>318.85583106000001</v>
      </c>
      <c r="F133" s="76">
        <f>g_wages!B133</f>
        <v>971.93268313999999</v>
      </c>
      <c r="G133" s="76">
        <f>g_fbkf!B133</f>
        <v>1008.1472153166665</v>
      </c>
      <c r="H133" s="76">
        <f>g_transfers!B133</f>
        <v>805.20252586230765</v>
      </c>
      <c r="I133">
        <f>tax_receipts!C133</f>
        <v>410.90874536241898</v>
      </c>
      <c r="J133">
        <f>tax_receipts!F133</f>
        <v>146.94900000000001</v>
      </c>
      <c r="K133" s="148">
        <f>J133*tax_receipts!G133/(tax_receipts!G133+tax_receipts!H133)</f>
        <v>53.66140115201479</v>
      </c>
      <c r="L133" s="148">
        <f t="shared" si="2"/>
        <v>93.287598847985223</v>
      </c>
      <c r="M133">
        <f>debt!B133</f>
        <v>5216.2390000000014</v>
      </c>
      <c r="N133">
        <f>debt!C133</f>
        <v>8672.5959999999959</v>
      </c>
      <c r="O133">
        <f>debt!D133</f>
        <v>4664.9857465600053</v>
      </c>
      <c r="P133">
        <f>real_exchange_rate!B133</f>
        <v>99.203631629184429</v>
      </c>
      <c r="Q133" s="209">
        <v>15479.335332999999</v>
      </c>
    </row>
    <row r="134" spans="1:17" x14ac:dyDescent="0.35">
      <c r="A134" s="61">
        <v>40544</v>
      </c>
      <c r="B134" s="54">
        <v>0.152</v>
      </c>
      <c r="C134" s="81">
        <f>oilprice!B134</f>
        <v>82.83</v>
      </c>
      <c r="D134" s="81">
        <f>EMBI!B134</f>
        <v>864.95</v>
      </c>
      <c r="E134" s="76">
        <f>g_consumption!B134</f>
        <v>122.96841653</v>
      </c>
      <c r="F134" s="76">
        <f>g_wages!B134</f>
        <v>434.62902931999997</v>
      </c>
      <c r="G134" s="76">
        <f>g_fbkf!B134</f>
        <v>541.83690504013441</v>
      </c>
      <c r="H134" s="76">
        <f>g_transfers!B134</f>
        <v>735.47207051436533</v>
      </c>
      <c r="I134">
        <f>tax_receipts!C134</f>
        <v>412.5351</v>
      </c>
      <c r="J134">
        <f>tax_receipts!F134</f>
        <v>244.02807525193018</v>
      </c>
      <c r="K134" s="148">
        <f>J134*tax_receipts!G134/(tax_receipts!G134+tax_receipts!H134)</f>
        <v>66.939163545338701</v>
      </c>
      <c r="L134" s="148">
        <f t="shared" si="2"/>
        <v>177.08891170659149</v>
      </c>
      <c r="M134">
        <f>debt!B134</f>
        <v>5283.3410000000003</v>
      </c>
      <c r="N134">
        <f>debt!C134</f>
        <v>8729.1399999999958</v>
      </c>
      <c r="O134">
        <f>debt!D134</f>
        <v>4557.2865055600059</v>
      </c>
      <c r="P134">
        <f>real_exchange_rate!B134</f>
        <v>99.038862622447198</v>
      </c>
      <c r="Q134" s="211">
        <v>15526.29177</v>
      </c>
    </row>
    <row r="135" spans="1:17" x14ac:dyDescent="0.35">
      <c r="A135" s="61">
        <v>40575</v>
      </c>
      <c r="B135" s="54">
        <v>0.13210526315789473</v>
      </c>
      <c r="C135" s="81">
        <f>oilprice!B135</f>
        <v>83.53</v>
      </c>
      <c r="D135" s="81">
        <f>EMBI!B135</f>
        <v>763.21052631578902</v>
      </c>
      <c r="E135" s="76">
        <f>g_consumption!B135</f>
        <v>154.64703675999996</v>
      </c>
      <c r="F135" s="76">
        <f>g_wages!B135</f>
        <v>511.7149948899999</v>
      </c>
      <c r="G135" s="76">
        <f>g_fbkf!B135</f>
        <v>452.15398903562766</v>
      </c>
      <c r="H135" s="76">
        <f>g_transfers!B135</f>
        <v>820.04757336162606</v>
      </c>
      <c r="I135">
        <f>tax_receipts!C135</f>
        <v>322.58920000000001</v>
      </c>
      <c r="J135">
        <f>tax_receipts!F135</f>
        <v>134.67411000000001</v>
      </c>
      <c r="K135" s="148">
        <f>J135*tax_receipts!G135/(tax_receipts!G135+tax_receipts!H135)</f>
        <v>66.38311025148883</v>
      </c>
      <c r="L135" s="148">
        <f t="shared" si="2"/>
        <v>68.290999748511183</v>
      </c>
      <c r="M135">
        <f>debt!B135</f>
        <v>5259.3869999999997</v>
      </c>
      <c r="N135">
        <f>debt!C135</f>
        <v>8762.042999999996</v>
      </c>
      <c r="O135">
        <f>debt!D135</f>
        <v>4555.2153665600063</v>
      </c>
      <c r="P135">
        <f>real_exchange_rate!B135</f>
        <v>99.406762938120252</v>
      </c>
      <c r="Q135" s="211">
        <v>14253.464160000001</v>
      </c>
    </row>
    <row r="136" spans="1:17" x14ac:dyDescent="0.35">
      <c r="A136" s="61">
        <v>40603</v>
      </c>
      <c r="B136" s="54">
        <v>0.10043478260869565</v>
      </c>
      <c r="C136" s="81">
        <f>oilprice!B136</f>
        <v>99.55</v>
      </c>
      <c r="D136" s="81">
        <f>EMBI!B136</f>
        <v>781.04347826086905</v>
      </c>
      <c r="E136" s="76">
        <f>g_consumption!B136</f>
        <v>190.24883231000001</v>
      </c>
      <c r="F136" s="76">
        <f>g_wages!B136</f>
        <v>600.30529203000003</v>
      </c>
      <c r="G136" s="76">
        <f>g_fbkf!B136</f>
        <v>906.00062728116018</v>
      </c>
      <c r="H136" s="76">
        <f>g_transfers!B136</f>
        <v>942.29549934180011</v>
      </c>
      <c r="I136">
        <f>tax_receipts!C136</f>
        <v>332.49620000000004</v>
      </c>
      <c r="J136">
        <f>tax_receipts!F136</f>
        <v>304.90430000000003</v>
      </c>
      <c r="K136" s="148">
        <f>J136*tax_receipts!G136/(tax_receipts!G136+tax_receipts!H136)</f>
        <v>106.15189101824041</v>
      </c>
      <c r="L136" s="148">
        <f t="shared" si="2"/>
        <v>198.75240898175963</v>
      </c>
      <c r="M136">
        <f>debt!B136</f>
        <v>5393.8360000000002</v>
      </c>
      <c r="N136">
        <f>debt!C136</f>
        <v>8759.3489999999965</v>
      </c>
      <c r="O136">
        <f>debt!D136</f>
        <v>4552.6920805600057</v>
      </c>
      <c r="P136">
        <f>real_exchange_rate!B136</f>
        <v>100.40978128186215</v>
      </c>
      <c r="Q136" s="211">
        <v>15549.9897</v>
      </c>
    </row>
    <row r="137" spans="1:17" x14ac:dyDescent="0.35">
      <c r="A137" s="61">
        <v>40634</v>
      </c>
      <c r="B137" s="54">
        <v>5.8500000000000003E-2</v>
      </c>
      <c r="C137" s="81">
        <f>oilprice!B137</f>
        <v>110.07</v>
      </c>
      <c r="D137" s="81">
        <f>EMBI!B137</f>
        <v>760.6</v>
      </c>
      <c r="E137" s="76">
        <f>g_consumption!B137</f>
        <v>196.60812676</v>
      </c>
      <c r="F137" s="76">
        <f>g_wages!B137</f>
        <v>644.98466394000002</v>
      </c>
      <c r="G137" s="76">
        <f>g_fbkf!B137</f>
        <v>520.72090654956014</v>
      </c>
      <c r="H137" s="76">
        <f>g_transfers!B137</f>
        <v>1010.558462805301</v>
      </c>
      <c r="I137">
        <f>tax_receipts!C137</f>
        <v>356.35610000000003</v>
      </c>
      <c r="J137">
        <f>tax_receipts!F137</f>
        <v>653.14779999999996</v>
      </c>
      <c r="K137" s="148">
        <f>J137*tax_receipts!G137/(tax_receipts!G137+tax_receipts!H137)</f>
        <v>9.5357041882281557</v>
      </c>
      <c r="L137" s="148">
        <f t="shared" si="2"/>
        <v>643.61209581177184</v>
      </c>
      <c r="M137">
        <f>debt!B137</f>
        <v>5378.3620000000001</v>
      </c>
      <c r="N137">
        <f>debt!C137</f>
        <v>8781.4319999999952</v>
      </c>
      <c r="O137">
        <f>debt!D137</f>
        <v>4483.2557165600065</v>
      </c>
      <c r="P137">
        <f>real_exchange_rate!B137</f>
        <v>101.30273594029738</v>
      </c>
      <c r="Q137" s="211">
        <v>15114.100999999999</v>
      </c>
    </row>
    <row r="138" spans="1:17" x14ac:dyDescent="0.35">
      <c r="A138" s="61">
        <v>40664</v>
      </c>
      <c r="B138" s="54">
        <v>4.0952380952380955E-2</v>
      </c>
      <c r="C138" s="81">
        <f>oilprice!B138</f>
        <v>102.63</v>
      </c>
      <c r="D138" s="81">
        <f>EMBI!B138</f>
        <v>786.142857142857</v>
      </c>
      <c r="E138" s="76">
        <f>g_consumption!B138</f>
        <v>194.71196671189225</v>
      </c>
      <c r="F138" s="76">
        <f>g_wages!B138</f>
        <v>554.95301999999992</v>
      </c>
      <c r="G138" s="76">
        <f>g_fbkf!B138</f>
        <v>769.62586682040887</v>
      </c>
      <c r="H138" s="76">
        <f>g_transfers!B138</f>
        <v>1001.5251977356736</v>
      </c>
      <c r="I138">
        <f>tax_receipts!C138</f>
        <v>420.54730000000001</v>
      </c>
      <c r="J138">
        <f>tax_receipts!F138</f>
        <v>198.08459999999999</v>
      </c>
      <c r="K138" s="148">
        <f>J138*tax_receipts!G138/(tax_receipts!G138+tax_receipts!H138)</f>
        <v>57.396663324333929</v>
      </c>
      <c r="L138" s="148">
        <f t="shared" si="2"/>
        <v>140.68793667566607</v>
      </c>
      <c r="M138">
        <f>debt!B138</f>
        <v>5326.1540000000005</v>
      </c>
      <c r="N138">
        <f>debt!C138</f>
        <v>8705.1639999999989</v>
      </c>
      <c r="O138">
        <f>debt!D138</f>
        <v>4473.6528075800061</v>
      </c>
      <c r="P138">
        <f>real_exchange_rate!B138</f>
        <v>101.44443710177153</v>
      </c>
      <c r="Q138" s="211">
        <v>15423.537</v>
      </c>
    </row>
    <row r="139" spans="1:17" x14ac:dyDescent="0.35">
      <c r="A139" s="61">
        <v>40695</v>
      </c>
      <c r="B139" s="54">
        <v>3.727272727272727E-2</v>
      </c>
      <c r="C139" s="81">
        <f>oilprice!B139</f>
        <v>97.22</v>
      </c>
      <c r="D139" s="81">
        <f>EMBI!B139</f>
        <v>799.40909090908997</v>
      </c>
      <c r="E139" s="76">
        <f>g_consumption!B139</f>
        <v>210.27879565000001</v>
      </c>
      <c r="F139" s="76">
        <f>g_wages!B139</f>
        <v>578.73105485999986</v>
      </c>
      <c r="G139" s="76">
        <f>g_fbkf!B139</f>
        <v>627.44195043859918</v>
      </c>
      <c r="H139" s="76">
        <f>g_transfers!B139</f>
        <v>945.23461501495069</v>
      </c>
      <c r="I139">
        <f>tax_receipts!C139</f>
        <v>378.33370000000002</v>
      </c>
      <c r="J139">
        <f>tax_receipts!F139</f>
        <v>206.2679</v>
      </c>
      <c r="K139" s="148">
        <f>J139*tax_receipts!G139/(tax_receipts!G139+tax_receipts!H139)</f>
        <v>25.646931509817602</v>
      </c>
      <c r="L139" s="148">
        <f t="shared" si="2"/>
        <v>180.62096849018241</v>
      </c>
      <c r="M139">
        <f>debt!B139</f>
        <v>5283.2120000000004</v>
      </c>
      <c r="N139">
        <f>debt!C139</f>
        <v>8725.5229999999992</v>
      </c>
      <c r="O139">
        <f>debt!D139</f>
        <v>4371.2698595800057</v>
      </c>
      <c r="P139">
        <f>real_exchange_rate!B139</f>
        <v>101.70382371938437</v>
      </c>
      <c r="Q139" s="211">
        <v>14848.453000000001</v>
      </c>
    </row>
    <row r="140" spans="1:17" x14ac:dyDescent="0.35">
      <c r="A140" s="61">
        <v>40725</v>
      </c>
      <c r="B140" s="54">
        <v>3.7499999999999999E-2</v>
      </c>
      <c r="C140" s="81">
        <f>oilprice!B140</f>
        <v>97.74</v>
      </c>
      <c r="D140" s="81">
        <f>EMBI!B140</f>
        <v>783.45</v>
      </c>
      <c r="E140" s="76">
        <f>g_consumption!B140</f>
        <v>207.26814390000001</v>
      </c>
      <c r="F140" s="76">
        <f>g_wages!B140</f>
        <v>562.0017390700001</v>
      </c>
      <c r="G140" s="76">
        <f>g_fbkf!B140</f>
        <v>678.63007065669547</v>
      </c>
      <c r="H140" s="76">
        <f>g_transfers!B140</f>
        <v>1011.2407003569219</v>
      </c>
      <c r="I140">
        <f>tax_receipts!C140</f>
        <v>385.39928840000005</v>
      </c>
      <c r="J140">
        <f>tax_receipts!F140</f>
        <v>246.8509</v>
      </c>
      <c r="K140" s="148">
        <f>J140*tax_receipts!G140/(tax_receipts!G140+tax_receipts!H140)</f>
        <v>37.208298236936436</v>
      </c>
      <c r="L140" s="148">
        <f t="shared" si="2"/>
        <v>209.64260176306357</v>
      </c>
      <c r="M140">
        <f>debt!B140</f>
        <v>5318.4620000000004</v>
      </c>
      <c r="N140">
        <f>debt!C140</f>
        <v>8670.0819999999985</v>
      </c>
      <c r="O140">
        <f>debt!D140</f>
        <v>4436.6237138300057</v>
      </c>
      <c r="P140">
        <f>real_exchange_rate!B140</f>
        <v>101.87949955921107</v>
      </c>
      <c r="Q140" s="211">
        <v>15239.807000000001</v>
      </c>
    </row>
    <row r="141" spans="1:17" x14ac:dyDescent="0.35">
      <c r="A141" s="61">
        <v>40756</v>
      </c>
      <c r="B141" s="54">
        <v>2.4347826086956521E-2</v>
      </c>
      <c r="C141" s="81">
        <f>oilprice!B141</f>
        <v>88.5</v>
      </c>
      <c r="D141" s="81">
        <f>EMBI!B141</f>
        <v>863.78260869565202</v>
      </c>
      <c r="E141" s="76">
        <f>g_consumption!B141</f>
        <v>217.23209364161499</v>
      </c>
      <c r="F141" s="76">
        <f>g_wages!B141</f>
        <v>639.92025362242214</v>
      </c>
      <c r="G141" s="76">
        <f>g_fbkf!B141</f>
        <v>671.95077061630741</v>
      </c>
      <c r="H141" s="76">
        <f>g_transfers!B141</f>
        <v>991.94019469612851</v>
      </c>
      <c r="I141">
        <f>tax_receipts!C141</f>
        <v>373.26130000000001</v>
      </c>
      <c r="J141">
        <f>tax_receipts!F141</f>
        <v>179.5121</v>
      </c>
      <c r="K141" s="148">
        <f>J141*tax_receipts!G141/(tax_receipts!G141+tax_receipts!H141)</f>
        <v>44.734557182590919</v>
      </c>
      <c r="L141" s="148">
        <f t="shared" si="2"/>
        <v>134.77754281740908</v>
      </c>
      <c r="M141">
        <f>debt!B141</f>
        <v>5303.9219999999996</v>
      </c>
      <c r="N141">
        <f>debt!C141</f>
        <v>8696.0829999999969</v>
      </c>
      <c r="O141">
        <f>debt!D141</f>
        <v>4476.768092830006</v>
      </c>
      <c r="P141">
        <f>real_exchange_rate!B141</f>
        <v>101.71803999331195</v>
      </c>
      <c r="Q141" s="211">
        <v>15363.544000000002</v>
      </c>
    </row>
    <row r="142" spans="1:17" x14ac:dyDescent="0.35">
      <c r="A142" s="61">
        <v>40787</v>
      </c>
      <c r="B142" s="54">
        <v>1.380952380952381E-2</v>
      </c>
      <c r="C142" s="81">
        <f>oilprice!B142</f>
        <v>94.23</v>
      </c>
      <c r="D142" s="81">
        <f>EMBI!B142</f>
        <v>880.57142857142799</v>
      </c>
      <c r="E142" s="76">
        <f>g_consumption!B142</f>
        <v>206.44669228000001</v>
      </c>
      <c r="F142" s="76">
        <f>g_wages!B142</f>
        <v>564.06471174000001</v>
      </c>
      <c r="G142" s="76">
        <f>g_fbkf!B142</f>
        <v>667.83125458276993</v>
      </c>
      <c r="H142" s="76">
        <f>g_transfers!B142</f>
        <v>1008.6232597182031</v>
      </c>
      <c r="I142">
        <f>tax_receipts!C142</f>
        <v>418.97229999999996</v>
      </c>
      <c r="J142">
        <f>tax_receipts!F142</f>
        <v>297.59750000000003</v>
      </c>
      <c r="K142" s="148">
        <f>J142*tax_receipts!G142/(tax_receipts!G142+tax_receipts!H142)</f>
        <v>25.263620476599776</v>
      </c>
      <c r="L142" s="148">
        <f t="shared" si="2"/>
        <v>272.33387952340024</v>
      </c>
      <c r="M142">
        <f>debt!B142</f>
        <v>5304.1989999999996</v>
      </c>
      <c r="N142">
        <f>debt!C142</f>
        <v>8653.176999999996</v>
      </c>
      <c r="O142">
        <f>debt!D142</f>
        <v>4482.466631830006</v>
      </c>
      <c r="P142">
        <f>real_exchange_rate!B142</f>
        <v>99.277310463093315</v>
      </c>
      <c r="Q142" s="211">
        <v>14847.937</v>
      </c>
    </row>
    <row r="143" spans="1:17" x14ac:dyDescent="0.35">
      <c r="A143" s="61">
        <v>40817</v>
      </c>
      <c r="B143" s="54">
        <v>1.9E-2</v>
      </c>
      <c r="C143" s="81">
        <f>oilprice!B143</f>
        <v>101.42</v>
      </c>
      <c r="D143" s="81">
        <f>EMBI!B143</f>
        <v>888.3</v>
      </c>
      <c r="E143" s="76">
        <f>g_consumption!B143</f>
        <v>222.20169800000002</v>
      </c>
      <c r="F143" s="76">
        <f>g_wages!B143</f>
        <v>546.41632963000006</v>
      </c>
      <c r="G143" s="76">
        <f>g_fbkf!B143</f>
        <v>884.85492173761872</v>
      </c>
      <c r="H143" s="76">
        <f>g_transfers!B143</f>
        <v>992.88385909048463</v>
      </c>
      <c r="I143">
        <f>tax_receipts!C143</f>
        <v>436.35160000000002</v>
      </c>
      <c r="J143">
        <f>tax_receipts!F143</f>
        <v>182.41830000000002</v>
      </c>
      <c r="K143" s="148">
        <f>J143*tax_receipts!G143/(tax_receipts!G143+tax_receipts!H143)</f>
        <v>33.347232280729436</v>
      </c>
      <c r="L143" s="148">
        <f t="shared" si="2"/>
        <v>149.07106771927059</v>
      </c>
      <c r="M143">
        <f>debt!B143</f>
        <v>5279.1289999999999</v>
      </c>
      <c r="N143">
        <f>debt!C143</f>
        <v>9948.4869999999974</v>
      </c>
      <c r="O143">
        <f>debt!D143</f>
        <v>4372.7834188300058</v>
      </c>
      <c r="P143">
        <f>real_exchange_rate!B143</f>
        <v>98.318804345745676</v>
      </c>
      <c r="Q143" s="211">
        <v>15547.182740000002</v>
      </c>
    </row>
    <row r="144" spans="1:17" x14ac:dyDescent="0.35">
      <c r="A144" s="61">
        <v>40848</v>
      </c>
      <c r="B144" s="54">
        <v>1.4E-2</v>
      </c>
      <c r="C144" s="81">
        <f>oilprice!B144</f>
        <v>111.87</v>
      </c>
      <c r="D144" s="81">
        <f>EMBI!B144</f>
        <v>868.31578947368405</v>
      </c>
      <c r="E144" s="76">
        <f>g_consumption!B144</f>
        <v>272.21351997000005</v>
      </c>
      <c r="F144" s="76">
        <f>g_wages!B144</f>
        <v>569.09764889000007</v>
      </c>
      <c r="G144" s="76">
        <f>g_fbkf!B144</f>
        <v>990.68374088828216</v>
      </c>
      <c r="H144" s="76">
        <f>g_transfers!B144</f>
        <v>994.81554024940169</v>
      </c>
      <c r="I144">
        <f>tax_receipts!C144</f>
        <v>474.24169999999998</v>
      </c>
      <c r="J144">
        <f>tax_receipts!F144</f>
        <v>174.7116</v>
      </c>
      <c r="K144" s="148">
        <f>J144*tax_receipts!G144/(tax_receipts!G144+tax_receipts!H144)</f>
        <v>7.8071102256589917</v>
      </c>
      <c r="L144" s="148">
        <f t="shared" si="2"/>
        <v>166.90448977434102</v>
      </c>
      <c r="M144">
        <f>debt!B144</f>
        <v>5325.83</v>
      </c>
      <c r="N144">
        <f>debt!C144</f>
        <v>9868.6859999999961</v>
      </c>
      <c r="O144">
        <f>debt!D144</f>
        <v>4369.2703868300059</v>
      </c>
      <c r="P144">
        <f>real_exchange_rate!B144</f>
        <v>97.790443352080828</v>
      </c>
      <c r="Q144" s="211">
        <v>15123.973</v>
      </c>
    </row>
    <row r="145" spans="1:17" x14ac:dyDescent="0.35">
      <c r="A145" s="61">
        <v>40878</v>
      </c>
      <c r="B145" s="54">
        <v>1.1428571428571429E-2</v>
      </c>
      <c r="C145" s="81">
        <f>oilprice!B145</f>
        <v>105.33</v>
      </c>
      <c r="D145" s="81">
        <f>EMBI!B145</f>
        <v>842</v>
      </c>
      <c r="E145" s="76">
        <f>g_consumption!B145</f>
        <v>348.35476193</v>
      </c>
      <c r="F145" s="76">
        <f>g_wages!B145</f>
        <v>1057.8209145399999</v>
      </c>
      <c r="G145" s="76">
        <f>g_fbkf!B145</f>
        <v>1302.264974514633</v>
      </c>
      <c r="H145" s="76">
        <f>g_transfers!B145</f>
        <v>1178.0552974216243</v>
      </c>
      <c r="I145">
        <f>tax_receipts!C145</f>
        <v>507.12289999999996</v>
      </c>
      <c r="J145">
        <f>tax_receipts!F145</f>
        <v>208.00569999999999</v>
      </c>
      <c r="K145" s="148">
        <f>J145*tax_receipts!G145/(tax_receipts!G145+tax_receipts!H145)</f>
        <v>19.631116562175077</v>
      </c>
      <c r="L145" s="148">
        <f t="shared" si="2"/>
        <v>188.37458343782492</v>
      </c>
      <c r="M145">
        <f>debt!B145</f>
        <v>5252.17</v>
      </c>
      <c r="N145">
        <f>debt!C145</f>
        <v>10055.337999999996</v>
      </c>
      <c r="O145">
        <f>debt!D145</f>
        <v>4506.4472978300064</v>
      </c>
      <c r="P145">
        <f>real_exchange_rate!B145</f>
        <v>96.634029004631529</v>
      </c>
      <c r="Q145" s="211">
        <v>15518.64</v>
      </c>
    </row>
    <row r="146" spans="1:17" x14ac:dyDescent="0.35">
      <c r="A146" s="61">
        <v>40909</v>
      </c>
      <c r="B146" s="54">
        <v>3.4500000000000003E-2</v>
      </c>
      <c r="C146" s="81">
        <f>oilprice!B146</f>
        <v>99.74</v>
      </c>
      <c r="D146" s="81">
        <f>EMBI!B146</f>
        <v>808.03225806451599</v>
      </c>
      <c r="E146" s="76">
        <f>g_consumption!B146</f>
        <v>171.10499100000001</v>
      </c>
      <c r="F146" s="76">
        <f>g_wages!B146</f>
        <v>509.35886800000003</v>
      </c>
      <c r="G146" s="76">
        <f>g_fbkf!B146</f>
        <v>837.37935410592172</v>
      </c>
      <c r="H146" s="76">
        <f>g_transfers!B146</f>
        <v>881.08822373683859</v>
      </c>
      <c r="I146">
        <f>tax_receipts!C146</f>
        <v>564.60599999999999</v>
      </c>
      <c r="J146">
        <f>tax_receipts!F146</f>
        <v>304.0222</v>
      </c>
      <c r="K146" s="148">
        <f>J146*tax_receipts!G146/(tax_receipts!G146+tax_receipts!H146)</f>
        <v>93.119145600302843</v>
      </c>
      <c r="L146" s="148">
        <f t="shared" si="2"/>
        <v>210.90305439969717</v>
      </c>
      <c r="M146">
        <f>debt!B146</f>
        <v>5222.3969999999999</v>
      </c>
      <c r="N146">
        <f>debt!C146</f>
        <v>9947.7649999999958</v>
      </c>
      <c r="O146">
        <f>debt!D146</f>
        <v>4503.4078694900063</v>
      </c>
      <c r="P146">
        <f>real_exchange_rate!B146</f>
        <v>96.613179253704985</v>
      </c>
      <c r="Q146" s="211">
        <v>15628.103880000002</v>
      </c>
    </row>
    <row r="147" spans="1:17" x14ac:dyDescent="0.35">
      <c r="A147" s="61">
        <v>40940</v>
      </c>
      <c r="B147" s="54">
        <v>9.1999999999999998E-2</v>
      </c>
      <c r="C147" s="81">
        <f>oilprice!B147</f>
        <v>104.14</v>
      </c>
      <c r="D147" s="81">
        <f>EMBI!B147</f>
        <v>789.62068965517199</v>
      </c>
      <c r="E147" s="76">
        <f>g_consumption!B147</f>
        <v>242.435923</v>
      </c>
      <c r="F147" s="76">
        <f>g_wages!B147</f>
        <v>659.74868100000003</v>
      </c>
      <c r="G147" s="76">
        <f>g_fbkf!B147</f>
        <v>675.31197527159259</v>
      </c>
      <c r="H147" s="76">
        <f>g_transfers!B147</f>
        <v>768.27319930314752</v>
      </c>
      <c r="I147">
        <f>tax_receipts!C147</f>
        <v>452.37950000000001</v>
      </c>
      <c r="J147">
        <f>tax_receipts!F147</f>
        <v>147.96729999999999</v>
      </c>
      <c r="K147" s="148">
        <f>J147*tax_receipts!G147/(tax_receipts!G147+tax_receipts!H147)</f>
        <v>55.311005732688635</v>
      </c>
      <c r="L147" s="148">
        <f t="shared" si="2"/>
        <v>92.656294267311353</v>
      </c>
      <c r="M147">
        <f>debt!B147</f>
        <v>5219.4459999999999</v>
      </c>
      <c r="N147">
        <f>debt!C147</f>
        <v>10068.273799999997</v>
      </c>
      <c r="O147">
        <f>debt!D147</f>
        <v>4505.3995404900061</v>
      </c>
      <c r="P147">
        <f>real_exchange_rate!B147</f>
        <v>97.427582428408755</v>
      </c>
      <c r="Q147" s="211">
        <v>14582.602599999998</v>
      </c>
    </row>
    <row r="148" spans="1:17" x14ac:dyDescent="0.35">
      <c r="A148" s="61">
        <v>40969</v>
      </c>
      <c r="B148" s="54">
        <v>8.4090909090909091E-2</v>
      </c>
      <c r="C148" s="81">
        <f>oilprice!B148</f>
        <v>112.45</v>
      </c>
      <c r="D148" s="81">
        <f>EMBI!B148</f>
        <v>802.19354838709603</v>
      </c>
      <c r="E148" s="76">
        <f>g_consumption!B148</f>
        <v>283.10509300000001</v>
      </c>
      <c r="F148" s="76">
        <f>g_wages!B148</f>
        <v>718.68103450000001</v>
      </c>
      <c r="G148" s="76">
        <f>g_fbkf!B148</f>
        <v>701.69043517622697</v>
      </c>
      <c r="H148" s="76">
        <f>g_transfers!B148</f>
        <v>968.60539791181282</v>
      </c>
      <c r="I148">
        <f>tax_receipts!C148</f>
        <v>457.95420000000001</v>
      </c>
      <c r="J148">
        <f>tax_receipts!F148</f>
        <v>241.50819999999999</v>
      </c>
      <c r="K148" s="148">
        <f>J148*tax_receipts!G148/(tax_receipts!G148+tax_receipts!H148)</f>
        <v>206.91718005432199</v>
      </c>
      <c r="L148" s="148">
        <f t="shared" si="2"/>
        <v>34.591019945677999</v>
      </c>
      <c r="M148">
        <f>debt!B148</f>
        <v>5172.3090000000002</v>
      </c>
      <c r="N148">
        <f>debt!C148</f>
        <v>10177.672999999995</v>
      </c>
      <c r="O148">
        <f>debt!D148</f>
        <v>4822.5425514900062</v>
      </c>
      <c r="P148">
        <f>real_exchange_rate!B148</f>
        <v>96.569618758660042</v>
      </c>
      <c r="Q148" s="211">
        <v>15479.71731</v>
      </c>
    </row>
    <row r="149" spans="1:17" x14ac:dyDescent="0.35">
      <c r="A149" s="61">
        <v>41000</v>
      </c>
      <c r="B149" s="54">
        <v>8.3809523809523806E-2</v>
      </c>
      <c r="C149" s="81">
        <f>oilprice!B149</f>
        <v>111.91</v>
      </c>
      <c r="D149" s="81">
        <f>EMBI!B149</f>
        <v>806.56666666666604</v>
      </c>
      <c r="E149" s="76">
        <f>g_consumption!B149</f>
        <v>324.54069529999998</v>
      </c>
      <c r="F149" s="76">
        <f>g_wages!B149</f>
        <v>625.5630910000001</v>
      </c>
      <c r="G149" s="76">
        <f>g_fbkf!B149</f>
        <v>715.84011812640574</v>
      </c>
      <c r="H149" s="76">
        <f>g_transfers!B149</f>
        <v>993.61559943284703</v>
      </c>
      <c r="I149">
        <f>tax_receipts!C149</f>
        <v>463.4393</v>
      </c>
      <c r="J149">
        <f>tax_receipts!F149</f>
        <v>825.65949999999998</v>
      </c>
      <c r="K149" s="148">
        <f>J149*tax_receipts!G149/(tax_receipts!G149+tax_receipts!H149)</f>
        <v>10.810706144562053</v>
      </c>
      <c r="L149" s="148">
        <f t="shared" si="2"/>
        <v>814.84879385543798</v>
      </c>
      <c r="M149">
        <f>debt!B149</f>
        <v>5166.5280000000002</v>
      </c>
      <c r="N149">
        <f>debt!C149</f>
        <v>10113.160999999996</v>
      </c>
      <c r="O149">
        <f>debt!D149</f>
        <v>6147.5569504900068</v>
      </c>
      <c r="P149">
        <f>real_exchange_rate!B149</f>
        <v>96.556362971955721</v>
      </c>
      <c r="Q149" s="212">
        <v>15011.338639000001</v>
      </c>
    </row>
    <row r="150" spans="1:17" x14ac:dyDescent="0.35">
      <c r="A150" s="61">
        <v>41030</v>
      </c>
      <c r="B150" s="54">
        <v>8.9545454545454539E-2</v>
      </c>
      <c r="C150" s="81">
        <f>oilprice!B150</f>
        <v>101.47</v>
      </c>
      <c r="D150" s="81">
        <f>EMBI!B150</f>
        <v>850</v>
      </c>
      <c r="E150" s="76">
        <f>g_consumption!B150</f>
        <v>267.76074299999999</v>
      </c>
      <c r="F150" s="76">
        <f>g_wages!B150</f>
        <v>633.55324299999995</v>
      </c>
      <c r="G150" s="76">
        <f>g_fbkf!B150</f>
        <v>687.5664976075584</v>
      </c>
      <c r="H150" s="76">
        <f>g_transfers!B150</f>
        <v>1015.3827230841796</v>
      </c>
      <c r="I150">
        <f>tax_receipts!C150</f>
        <v>506.03120000000007</v>
      </c>
      <c r="J150">
        <f>tax_receipts!F150</f>
        <v>213.45500000000001</v>
      </c>
      <c r="K150" s="148">
        <f>J150*tax_receipts!G150/(tax_receipts!G150+tax_receipts!H150)</f>
        <v>47.59314946664675</v>
      </c>
      <c r="L150" s="148">
        <f t="shared" si="2"/>
        <v>165.86185053335328</v>
      </c>
      <c r="M150">
        <f>debt!B150</f>
        <v>5181.232</v>
      </c>
      <c r="N150">
        <f>debt!C150</f>
        <v>10094.610999999995</v>
      </c>
      <c r="O150">
        <f>debt!D150</f>
        <v>6033.2015534900056</v>
      </c>
      <c r="P150">
        <f>real_exchange_rate!B150</f>
        <v>95.803775313909668</v>
      </c>
      <c r="Q150" s="212">
        <v>15433.006270000002</v>
      </c>
    </row>
    <row r="151" spans="1:17" x14ac:dyDescent="0.35">
      <c r="A151" s="61">
        <v>41061</v>
      </c>
      <c r="B151" s="54">
        <v>9.1428571428571428E-2</v>
      </c>
      <c r="C151" s="81">
        <f>oilprice!B151</f>
        <v>86.5</v>
      </c>
      <c r="D151" s="81">
        <f>EMBI!B151</f>
        <v>892.3</v>
      </c>
      <c r="E151" s="76">
        <f>g_consumption!B151</f>
        <v>284.26902600000005</v>
      </c>
      <c r="F151" s="76">
        <f>g_wages!B151</f>
        <v>615.72852300000011</v>
      </c>
      <c r="G151" s="76">
        <f>g_fbkf!B151</f>
        <v>828.33473456025672</v>
      </c>
      <c r="H151" s="76">
        <f>g_transfers!B151</f>
        <v>985.55069491625432</v>
      </c>
      <c r="I151">
        <f>tax_receipts!C151</f>
        <v>502.63499999999999</v>
      </c>
      <c r="J151">
        <f>tax_receipts!F151</f>
        <v>174.517</v>
      </c>
      <c r="K151" s="148">
        <f>J151*tax_receipts!G151/(tax_receipts!G151+tax_receipts!H151)</f>
        <v>61.46439458449521</v>
      </c>
      <c r="L151" s="148">
        <f t="shared" si="2"/>
        <v>113.05260541550479</v>
      </c>
      <c r="M151">
        <f>debt!B151</f>
        <v>5121.7610000000004</v>
      </c>
      <c r="N151">
        <f>debt!C151</f>
        <v>10014.868999999997</v>
      </c>
      <c r="O151">
        <f>debt!D151</f>
        <v>6115.6269731200055</v>
      </c>
      <c r="P151">
        <f>real_exchange_rate!B151</f>
        <v>94.891924982143934</v>
      </c>
      <c r="Q151" s="212">
        <v>15050.282070000001</v>
      </c>
    </row>
    <row r="152" spans="1:17" x14ac:dyDescent="0.35">
      <c r="A152" s="61">
        <v>41091</v>
      </c>
      <c r="B152" s="54">
        <v>9.7142857142857142E-2</v>
      </c>
      <c r="C152" s="81">
        <f>oilprice!B152</f>
        <v>90.42</v>
      </c>
      <c r="D152" s="81">
        <f>EMBI!B152</f>
        <v>856.35483870967698</v>
      </c>
      <c r="E152" s="76">
        <f>g_consumption!B152</f>
        <v>313.44268099999999</v>
      </c>
      <c r="F152" s="76">
        <f>g_wages!B152</f>
        <v>646.21662800000001</v>
      </c>
      <c r="G152" s="76">
        <f>g_fbkf!B152</f>
        <v>700.10347818616378</v>
      </c>
      <c r="H152" s="76">
        <f>g_transfers!B152</f>
        <v>892.60045511220437</v>
      </c>
      <c r="I152">
        <f>tax_receipts!C152</f>
        <v>511.70300000000003</v>
      </c>
      <c r="J152">
        <f>tax_receipts!F152</f>
        <v>284.98500000000001</v>
      </c>
      <c r="K152" s="148">
        <f>J152*tax_receipts!G152/(tax_receipts!G152+tax_receipts!H152)</f>
        <v>91.997355802171313</v>
      </c>
      <c r="L152" s="148">
        <f t="shared" si="2"/>
        <v>192.9876441978287</v>
      </c>
      <c r="M152">
        <f>debt!B152</f>
        <v>5151.0690000000004</v>
      </c>
      <c r="N152">
        <f>debt!C152</f>
        <v>10027.863999999996</v>
      </c>
      <c r="O152">
        <f>debt!D152</f>
        <v>6151.7164261200051</v>
      </c>
      <c r="P152">
        <f>real_exchange_rate!B152</f>
        <v>94.555858022928675</v>
      </c>
      <c r="Q152" s="212">
        <v>15745.711099999997</v>
      </c>
    </row>
    <row r="153" spans="1:17" x14ac:dyDescent="0.35">
      <c r="A153" s="61">
        <v>41122</v>
      </c>
      <c r="B153" s="54">
        <v>0.10260869565217391</v>
      </c>
      <c r="C153" s="81">
        <f>oilprice!B153</f>
        <v>95.75</v>
      </c>
      <c r="D153" s="81">
        <f>EMBI!B153</f>
        <v>805.09677419354796</v>
      </c>
      <c r="E153" s="76">
        <f>g_consumption!B153</f>
        <v>297.42947600000002</v>
      </c>
      <c r="F153" s="76">
        <f>g_wages!B153</f>
        <v>744.05892593668614</v>
      </c>
      <c r="G153" s="76">
        <f>g_fbkf!B153</f>
        <v>904.85413775831705</v>
      </c>
      <c r="H153" s="76">
        <f>g_transfers!B153</f>
        <v>1036.8739932479057</v>
      </c>
      <c r="I153">
        <f>tax_receipts!C153</f>
        <v>534.596</v>
      </c>
      <c r="J153">
        <f>tax_receipts!F153</f>
        <v>193.27720000000002</v>
      </c>
      <c r="K153" s="148">
        <f>J153*tax_receipts!G153/(tax_receipts!G153+tax_receipts!H153)</f>
        <v>40.264447649255388</v>
      </c>
      <c r="L153" s="148">
        <f t="shared" si="2"/>
        <v>153.01275235074462</v>
      </c>
      <c r="M153">
        <f>debt!B153</f>
        <v>5133.3490000000002</v>
      </c>
      <c r="N153">
        <f>debt!C153</f>
        <v>10007.870999999997</v>
      </c>
      <c r="O153">
        <f>debt!D153</f>
        <v>6415.117550120005</v>
      </c>
      <c r="P153">
        <f>real_exchange_rate!B153</f>
        <v>94.947530206328437</v>
      </c>
      <c r="Q153" s="212">
        <v>15872.589277999996</v>
      </c>
    </row>
    <row r="154" spans="1:17" x14ac:dyDescent="0.35">
      <c r="A154" s="61">
        <v>41153</v>
      </c>
      <c r="B154" s="54">
        <v>0.10526315789473684</v>
      </c>
      <c r="C154" s="81">
        <f>oilprice!B154</f>
        <v>99.75</v>
      </c>
      <c r="D154" s="81">
        <f>EMBI!B154</f>
        <v>752.66666666666595</v>
      </c>
      <c r="E154" s="76">
        <f>g_consumption!B154</f>
        <v>262.03749700000003</v>
      </c>
      <c r="F154" s="76">
        <f>g_wages!B154</f>
        <v>621.70023700000002</v>
      </c>
      <c r="G154" s="76">
        <f>g_fbkf!B154</f>
        <v>896.87314775209734</v>
      </c>
      <c r="H154" s="76">
        <f>g_transfers!B154</f>
        <v>1050.6906605088036</v>
      </c>
      <c r="I154">
        <f>tax_receipts!C154</f>
        <v>496.88060000000002</v>
      </c>
      <c r="J154">
        <f>tax_receipts!F154</f>
        <v>302.27699999999999</v>
      </c>
      <c r="K154" s="148">
        <f>J154*tax_receipts!G154/(tax_receipts!G154+tax_receipts!H154)</f>
        <v>49.124626516408888</v>
      </c>
      <c r="L154" s="148">
        <f t="shared" si="2"/>
        <v>253.15237348359111</v>
      </c>
      <c r="M154">
        <f>debt!B154</f>
        <v>5047.6210000000001</v>
      </c>
      <c r="N154">
        <f>debt!C154</f>
        <v>10658.650999999994</v>
      </c>
      <c r="O154">
        <f>debt!D154</f>
        <v>6531.0316961200051</v>
      </c>
      <c r="P154">
        <f>real_exchange_rate!B154</f>
        <v>95.2323107405808</v>
      </c>
      <c r="Q154" s="212">
        <v>15193.395169999996</v>
      </c>
    </row>
    <row r="155" spans="1:17" x14ac:dyDescent="0.35">
      <c r="A155" s="61">
        <v>41183</v>
      </c>
      <c r="B155" s="54">
        <v>0.10476190476190476</v>
      </c>
      <c r="C155" s="81">
        <f>oilprice!B155</f>
        <v>94.69</v>
      </c>
      <c r="D155" s="81">
        <f>EMBI!B155</f>
        <v>766.322580645161</v>
      </c>
      <c r="E155" s="76">
        <f>g_consumption!B155</f>
        <v>300.42162389999999</v>
      </c>
      <c r="F155" s="76">
        <f>g_wages!B155</f>
        <v>683.93061900000009</v>
      </c>
      <c r="G155" s="76">
        <f>g_fbkf!B155</f>
        <v>841.8304331539689</v>
      </c>
      <c r="H155" s="76">
        <f>g_transfers!B155</f>
        <v>1086.5771083433635</v>
      </c>
      <c r="I155">
        <f>tax_receipts!C155</f>
        <v>489.72190000000001</v>
      </c>
      <c r="J155">
        <f>tax_receipts!F155</f>
        <v>195.34380000000002</v>
      </c>
      <c r="K155" s="148">
        <f>J155*tax_receipts!G155/(tax_receipts!G155+tax_receipts!H155)</f>
        <v>19.675707935599682</v>
      </c>
      <c r="L155" s="148">
        <f t="shared" si="2"/>
        <v>175.66809206440033</v>
      </c>
      <c r="M155">
        <f>debt!B155</f>
        <v>5081.3530000000001</v>
      </c>
      <c r="N155">
        <f>debt!C155</f>
        <v>10709.321999999995</v>
      </c>
      <c r="O155">
        <f>debt!D155</f>
        <v>6708.0028361200048</v>
      </c>
      <c r="P155">
        <f>real_exchange_rate!B155</f>
        <v>95.455510117745447</v>
      </c>
      <c r="Q155" s="212">
        <v>15588.822980000003</v>
      </c>
    </row>
    <row r="156" spans="1:17" x14ac:dyDescent="0.35">
      <c r="A156" s="61">
        <v>41214</v>
      </c>
      <c r="B156" s="54">
        <v>9.35E-2</v>
      </c>
      <c r="C156" s="81">
        <f>oilprice!B156</f>
        <v>91.49</v>
      </c>
      <c r="D156" s="81">
        <f>EMBI!B156</f>
        <v>814.5</v>
      </c>
      <c r="E156" s="76">
        <f>g_consumption!B156</f>
        <v>315.17648410000004</v>
      </c>
      <c r="F156" s="76">
        <f>g_wages!B156</f>
        <v>698.29955099999995</v>
      </c>
      <c r="G156" s="76">
        <f>g_fbkf!B156</f>
        <v>1088.6347280992482</v>
      </c>
      <c r="H156" s="76">
        <f>g_transfers!B156</f>
        <v>1058.859899428184</v>
      </c>
      <c r="I156">
        <f>tax_receipts!C156</f>
        <v>531.53879999999992</v>
      </c>
      <c r="J156">
        <f>tax_receipts!F156</f>
        <v>198.81339999999997</v>
      </c>
      <c r="K156" s="148">
        <f>J156*tax_receipts!G156/(tax_receipts!G156+tax_receipts!H156)</f>
        <v>27.700199099742211</v>
      </c>
      <c r="L156" s="148">
        <f t="shared" si="2"/>
        <v>171.11320090025777</v>
      </c>
      <c r="M156">
        <f>debt!B156</f>
        <v>5089.7969999999996</v>
      </c>
      <c r="N156">
        <f>debt!C156</f>
        <v>10744.478999999998</v>
      </c>
      <c r="O156">
        <f>debt!D156</f>
        <v>7334.924983120005</v>
      </c>
      <c r="P156">
        <f>real_exchange_rate!B156</f>
        <v>94.489402509285483</v>
      </c>
      <c r="Q156" s="212">
        <v>15125.145770000001</v>
      </c>
    </row>
    <row r="157" spans="1:17" x14ac:dyDescent="0.35">
      <c r="A157" s="61">
        <v>41244</v>
      </c>
      <c r="B157" s="54">
        <v>7.0000000000000007E-2</v>
      </c>
      <c r="C157" s="81">
        <f>oilprice!B157</f>
        <v>93.02</v>
      </c>
      <c r="D157" s="81">
        <f>EMBI!B157</f>
        <v>826.77419354838696</v>
      </c>
      <c r="E157" s="76">
        <f>g_consumption!B157</f>
        <v>411.02647800000005</v>
      </c>
      <c r="F157" s="76">
        <f>g_wages!B157</f>
        <v>1188.6503968999998</v>
      </c>
      <c r="G157" s="76">
        <f>g_fbkf!B157</f>
        <v>1433.9967343252592</v>
      </c>
      <c r="H157" s="76">
        <f>g_transfers!B157</f>
        <v>1222.6177108155289</v>
      </c>
      <c r="I157">
        <f>tax_receipts!C157</f>
        <v>587.99530000000004</v>
      </c>
      <c r="J157">
        <f>tax_receipts!F157</f>
        <v>231.107</v>
      </c>
      <c r="K157" s="148">
        <f>J157*tax_receipts!G157/(tax_receipts!G157+tax_receipts!H157)</f>
        <v>13.289143035252483</v>
      </c>
      <c r="L157" s="148">
        <f t="shared" si="2"/>
        <v>217.81785696474751</v>
      </c>
      <c r="M157">
        <f>debt!B157</f>
        <v>5135.0050000000001</v>
      </c>
      <c r="N157">
        <f>debt!C157</f>
        <v>10871.845999999998</v>
      </c>
      <c r="O157">
        <f>debt!D157</f>
        <v>7780.502439120005</v>
      </c>
      <c r="P157">
        <f>real_exchange_rate!B157</f>
        <v>95.140565652601822</v>
      </c>
      <c r="Q157" s="212">
        <v>15604.322290000004</v>
      </c>
    </row>
    <row r="158" spans="1:17" x14ac:dyDescent="0.35">
      <c r="A158" s="61">
        <v>41275</v>
      </c>
      <c r="B158" s="54">
        <v>7.4285714285714288E-2</v>
      </c>
      <c r="C158" s="81">
        <f>oilprice!B158</f>
        <v>100.46</v>
      </c>
      <c r="D158" s="81">
        <f>EMBI!B158</f>
        <v>731.29032258064501</v>
      </c>
      <c r="E158" s="76">
        <f>g_consumption!B158</f>
        <v>253.12851809999995</v>
      </c>
      <c r="F158" s="76">
        <f>g_wages!B158</f>
        <v>590.24530969999989</v>
      </c>
      <c r="G158" s="76">
        <f>g_fbkf!B158</f>
        <v>756.09287978742645</v>
      </c>
      <c r="H158" s="76">
        <f>g_transfers!B158</f>
        <v>904.60166256107766</v>
      </c>
      <c r="I158">
        <f>tax_receipts!C158</f>
        <v>668.68060000000014</v>
      </c>
      <c r="J158">
        <f>tax_receipts!F158</f>
        <v>341.70830000000001</v>
      </c>
      <c r="K158" s="148">
        <f>J158*tax_receipts!G158/(tax_receipts!G158+tax_receipts!H158)</f>
        <v>149.26434501933645</v>
      </c>
      <c r="L158" s="148">
        <f t="shared" si="2"/>
        <v>192.44395498066356</v>
      </c>
      <c r="M158">
        <f>debt!B158</f>
        <v>5186.7120000000004</v>
      </c>
      <c r="N158">
        <f>debt!C158</f>
        <v>10899.22</v>
      </c>
      <c r="O158">
        <f>debt!D158</f>
        <v>7874.4334241200058</v>
      </c>
      <c r="P158">
        <f>real_exchange_rate!B158</f>
        <v>94.885230728709189</v>
      </c>
      <c r="Q158" s="212">
        <v>15656.253030000002</v>
      </c>
    </row>
    <row r="159" spans="1:17" x14ac:dyDescent="0.35">
      <c r="A159" s="61">
        <v>41306</v>
      </c>
      <c r="B159" s="54">
        <v>9.8947368421052631E-2</v>
      </c>
      <c r="C159" s="81">
        <f>oilprice!B159</f>
        <v>100.41</v>
      </c>
      <c r="D159" s="81">
        <f>EMBI!B159</f>
        <v>704.46428571428498</v>
      </c>
      <c r="E159" s="76">
        <f>g_consumption!B159</f>
        <v>271.49168172000003</v>
      </c>
      <c r="F159" s="76">
        <f>g_wages!B159</f>
        <v>673.01492100999997</v>
      </c>
      <c r="G159" s="76">
        <f>g_fbkf!B159</f>
        <v>926.18042776581228</v>
      </c>
      <c r="H159" s="76">
        <f>g_transfers!B159</f>
        <v>1065.6989241116212</v>
      </c>
      <c r="I159">
        <f>tax_receipts!C159</f>
        <v>512.10220000000004</v>
      </c>
      <c r="J159">
        <f>tax_receipts!F159</f>
        <v>181.47290000000001</v>
      </c>
      <c r="K159" s="148">
        <f>J159*tax_receipts!G159/(tax_receipts!G159+tax_receipts!H159)</f>
        <v>79.914127914853751</v>
      </c>
      <c r="L159" s="148">
        <f t="shared" si="2"/>
        <v>101.55877208514626</v>
      </c>
      <c r="M159">
        <f>debt!B159</f>
        <v>5243.4359999999997</v>
      </c>
      <c r="N159">
        <f>debt!C159</f>
        <v>12283.610999999997</v>
      </c>
      <c r="O159">
        <f>debt!D159</f>
        <v>7766.8535321200061</v>
      </c>
      <c r="P159">
        <f>real_exchange_rate!B159</f>
        <v>92.828435683516915</v>
      </c>
      <c r="Q159" s="212">
        <v>14262.396970000002</v>
      </c>
    </row>
    <row r="160" spans="1:17" x14ac:dyDescent="0.35">
      <c r="A160" s="61">
        <v>41334</v>
      </c>
      <c r="B160" s="54">
        <v>8.6999999999999994E-2</v>
      </c>
      <c r="C160" s="81">
        <f>oilprice!B160</f>
        <v>97.85</v>
      </c>
      <c r="D160" s="81">
        <f>EMBI!B160</f>
        <v>699.74193548387098</v>
      </c>
      <c r="E160" s="76">
        <f>g_consumption!B160</f>
        <v>342.81863112999997</v>
      </c>
      <c r="F160" s="76">
        <f>g_wages!B160</f>
        <v>783.80014989000006</v>
      </c>
      <c r="G160" s="76">
        <f>g_fbkf!B160</f>
        <v>928.90635286815905</v>
      </c>
      <c r="H160" s="76">
        <f>g_transfers!B160</f>
        <v>1085.2208744860227</v>
      </c>
      <c r="I160">
        <f>tax_receipts!C160</f>
        <v>505.92180000000002</v>
      </c>
      <c r="J160">
        <f>tax_receipts!F160</f>
        <v>265.69839999999999</v>
      </c>
      <c r="K160" s="148">
        <f>J160*tax_receipts!G160/(tax_receipts!G160+tax_receipts!H160)</f>
        <v>234.29044386370336</v>
      </c>
      <c r="L160" s="148">
        <f t="shared" si="2"/>
        <v>31.407956136296633</v>
      </c>
      <c r="M160">
        <f>debt!B160</f>
        <v>5357.0249999999996</v>
      </c>
      <c r="N160">
        <f>debt!C160</f>
        <v>12330.808999999997</v>
      </c>
      <c r="O160">
        <f>debt!D160</f>
        <v>7866.2972901200064</v>
      </c>
      <c r="P160">
        <f>real_exchange_rate!B160</f>
        <v>90.848951222872103</v>
      </c>
      <c r="Q160" s="212">
        <v>15631.139365999999</v>
      </c>
    </row>
    <row r="161" spans="1:17" x14ac:dyDescent="0.35">
      <c r="A161" s="61">
        <v>41365</v>
      </c>
      <c r="B161" s="54">
        <v>0.06</v>
      </c>
      <c r="C161" s="81">
        <f>oilprice!B161</f>
        <v>95.9</v>
      </c>
      <c r="D161" s="81">
        <f>EMBI!B161</f>
        <v>678.03333333333296</v>
      </c>
      <c r="E161" s="76">
        <f>g_consumption!B161</f>
        <v>367.28344702999999</v>
      </c>
      <c r="F161" s="76">
        <f>g_wages!B161</f>
        <v>675.8437429999999</v>
      </c>
      <c r="G161" s="76">
        <f>g_fbkf!B161</f>
        <v>1007.3710442971118</v>
      </c>
      <c r="H161" s="76">
        <f>g_transfers!B161</f>
        <v>1033.4691991721438</v>
      </c>
      <c r="I161">
        <f>tax_receipts!C161</f>
        <v>548.63099999999997</v>
      </c>
      <c r="J161">
        <f>tax_receipts!F161</f>
        <v>924.42580000000009</v>
      </c>
      <c r="K161" s="148">
        <f>J161*tax_receipts!G161/(tax_receipts!G161+tax_receipts!H161)</f>
        <v>17.95001235781071</v>
      </c>
      <c r="L161" s="148">
        <f t="shared" si="2"/>
        <v>906.4757876421894</v>
      </c>
      <c r="M161">
        <f>debt!B161</f>
        <v>5408.0220000000008</v>
      </c>
      <c r="N161">
        <f>debt!C161</f>
        <v>12325.047999999997</v>
      </c>
      <c r="O161">
        <f>debt!D161</f>
        <v>8035.1828171200068</v>
      </c>
      <c r="P161">
        <f>real_exchange_rate!B161</f>
        <v>91.007982202825403</v>
      </c>
      <c r="Q161" s="212">
        <v>15471.806640000001</v>
      </c>
    </row>
    <row r="162" spans="1:17" x14ac:dyDescent="0.35">
      <c r="A162" s="61">
        <v>41395</v>
      </c>
      <c r="B162" s="54">
        <v>4.409090909090909E-2</v>
      </c>
      <c r="C162" s="81">
        <f>oilprice!B162</f>
        <v>96.66</v>
      </c>
      <c r="D162" s="81">
        <f>EMBI!B162</f>
        <v>637.80645161290295</v>
      </c>
      <c r="E162" s="76">
        <f>g_consumption!B162</f>
        <v>349.77718511</v>
      </c>
      <c r="F162" s="76">
        <f>g_wages!B162</f>
        <v>671.77501599999982</v>
      </c>
      <c r="G162" s="76">
        <f>g_fbkf!B162</f>
        <v>924.73426132921497</v>
      </c>
      <c r="H162" s="76">
        <f>g_transfers!B162</f>
        <v>975.03656121983568</v>
      </c>
      <c r="I162">
        <f>tax_receipts!C162</f>
        <v>581.58670000000006</v>
      </c>
      <c r="J162">
        <f>tax_receipts!F162</f>
        <v>231.9975</v>
      </c>
      <c r="K162" s="148">
        <f>J162*tax_receipts!G162/(tax_receipts!G162+tax_receipts!H162)</f>
        <v>77.695601857962643</v>
      </c>
      <c r="L162" s="148">
        <f t="shared" si="2"/>
        <v>154.30189814203737</v>
      </c>
      <c r="M162">
        <f>debt!B162</f>
        <v>5641.9809999999998</v>
      </c>
      <c r="N162">
        <f>debt!C162</f>
        <v>12375.262999999997</v>
      </c>
      <c r="O162">
        <f>debt!D162</f>
        <v>8208.813881120006</v>
      </c>
      <c r="P162">
        <f>real_exchange_rate!B162</f>
        <v>91.454719738022916</v>
      </c>
      <c r="Q162" s="212">
        <v>16166.739579999999</v>
      </c>
    </row>
    <row r="163" spans="1:17" x14ac:dyDescent="0.35">
      <c r="A163" s="61">
        <v>41426</v>
      </c>
      <c r="B163" s="54">
        <v>5.0500000000000003E-2</v>
      </c>
      <c r="C163" s="81">
        <f>oilprice!B163</f>
        <v>94.86</v>
      </c>
      <c r="D163" s="81">
        <f>EMBI!B163</f>
        <v>643.1</v>
      </c>
      <c r="E163" s="76">
        <f>g_consumption!B163</f>
        <v>333.91637239999994</v>
      </c>
      <c r="F163" s="76">
        <f>g_wages!B163</f>
        <v>655.86853379999991</v>
      </c>
      <c r="G163" s="76">
        <f>g_fbkf!B163</f>
        <v>1007.4841755995709</v>
      </c>
      <c r="H163" s="76">
        <f>g_transfers!B163</f>
        <v>1113.8021579498093</v>
      </c>
      <c r="I163">
        <f>tax_receipts!C163</f>
        <v>544.755</v>
      </c>
      <c r="J163">
        <f>tax_receipts!F163</f>
        <v>204.6052</v>
      </c>
      <c r="K163" s="148">
        <f>J163*tax_receipts!G163/(tax_receipts!G163+tax_receipts!H163)</f>
        <v>54.754835600647823</v>
      </c>
      <c r="L163" s="148">
        <f t="shared" si="2"/>
        <v>149.85036439935217</v>
      </c>
      <c r="M163">
        <f>debt!B163</f>
        <v>5713.6189999999988</v>
      </c>
      <c r="N163">
        <f>debt!C163</f>
        <v>12532.583999999999</v>
      </c>
      <c r="O163">
        <f>debt!D163</f>
        <v>8418.6961721200059</v>
      </c>
      <c r="P163">
        <f>real_exchange_rate!B163</f>
        <v>91.362296294079954</v>
      </c>
      <c r="Q163" s="212">
        <v>15721.219299999999</v>
      </c>
    </row>
    <row r="164" spans="1:17" x14ac:dyDescent="0.35">
      <c r="A164" s="61">
        <v>41456</v>
      </c>
      <c r="B164" s="54">
        <v>3.5454545454545454E-2</v>
      </c>
      <c r="C164" s="81">
        <f>oilprice!B164</f>
        <v>101.53</v>
      </c>
      <c r="D164" s="81">
        <f>EMBI!B164</f>
        <v>643.70967741935397</v>
      </c>
      <c r="E164" s="76">
        <f>g_consumption!B164</f>
        <v>376.64073150000007</v>
      </c>
      <c r="F164" s="76">
        <f>g_wages!B164</f>
        <v>700.04449950000003</v>
      </c>
      <c r="G164" s="76">
        <f>g_fbkf!B164</f>
        <v>1096.100288579479</v>
      </c>
      <c r="H164" s="76">
        <f>g_transfers!B164</f>
        <v>893.80517690644956</v>
      </c>
      <c r="I164">
        <f>tax_receipts!C164</f>
        <v>568.12839999999994</v>
      </c>
      <c r="J164">
        <f>tax_receipts!F164</f>
        <v>392.7602</v>
      </c>
      <c r="K164" s="148">
        <f>J164*tax_receipts!G164/(tax_receipts!G164+tax_receipts!H164)</f>
        <v>39.489560513128957</v>
      </c>
      <c r="L164" s="148">
        <f t="shared" si="2"/>
        <v>353.27063948687106</v>
      </c>
      <c r="M164">
        <f>debt!B164</f>
        <v>5781.1729999999998</v>
      </c>
      <c r="N164">
        <f>debt!C164</f>
        <v>12578.165999999997</v>
      </c>
      <c r="O164">
        <f>debt!D164</f>
        <v>8546.6056081200059</v>
      </c>
      <c r="P164">
        <f>real_exchange_rate!B164</f>
        <v>91.382038098725744</v>
      </c>
      <c r="Q164" s="212">
        <v>16438.916676428569</v>
      </c>
    </row>
    <row r="165" spans="1:17" x14ac:dyDescent="0.35">
      <c r="A165" s="61">
        <v>41487</v>
      </c>
      <c r="B165" s="54">
        <v>4.363636363636364E-2</v>
      </c>
      <c r="C165" s="81">
        <f>oilprice!B165</f>
        <v>97.98</v>
      </c>
      <c r="D165" s="81">
        <f>EMBI!B165</f>
        <v>629.83870967741905</v>
      </c>
      <c r="E165" s="76">
        <f>g_consumption!B165</f>
        <v>370.75714500999999</v>
      </c>
      <c r="F165" s="76">
        <f>g_wages!B165</f>
        <v>793.00140209999995</v>
      </c>
      <c r="G165" s="76">
        <f>g_fbkf!B165</f>
        <v>1106.8610757140132</v>
      </c>
      <c r="H165" s="76">
        <f>g_transfers!B165</f>
        <v>1164.7363751707819</v>
      </c>
      <c r="I165">
        <f>tax_receipts!C165</f>
        <v>578.21608000000003</v>
      </c>
      <c r="J165">
        <f>tax_receipts!F165</f>
        <v>223.58031</v>
      </c>
      <c r="K165" s="148">
        <f>J165*tax_receipts!G165/(tax_receipts!G165+tax_receipts!H165)</f>
        <v>60.397387251814024</v>
      </c>
      <c r="L165" s="148">
        <f t="shared" si="2"/>
        <v>163.18292274818597</v>
      </c>
      <c r="M165">
        <f>debt!B165</f>
        <v>5803.1139999999996</v>
      </c>
      <c r="N165">
        <f>debt!C165</f>
        <v>12518.636999999999</v>
      </c>
      <c r="O165">
        <f>debt!D165</f>
        <v>8624.5777641200057</v>
      </c>
      <c r="P165">
        <f>real_exchange_rate!B165</f>
        <v>91.627070909665846</v>
      </c>
      <c r="Q165" s="212">
        <v>16636.314539999999</v>
      </c>
    </row>
    <row r="166" spans="1:17" x14ac:dyDescent="0.35">
      <c r="A166" s="61">
        <v>41518</v>
      </c>
      <c r="B166" s="54">
        <v>1.6E-2</v>
      </c>
      <c r="C166" s="81">
        <f>oilprice!B166</f>
        <v>97.58</v>
      </c>
      <c r="D166" s="81">
        <f>EMBI!B166</f>
        <v>644.29999999999995</v>
      </c>
      <c r="E166" s="76">
        <f>g_consumption!B166</f>
        <v>349.57383182000007</v>
      </c>
      <c r="F166" s="76">
        <f>g_wages!B166</f>
        <v>674.03079975000014</v>
      </c>
      <c r="G166" s="76">
        <f>g_fbkf!B166</f>
        <v>1223.5091902887107</v>
      </c>
      <c r="H166" s="76">
        <f>g_transfers!B166</f>
        <v>1036.3062176961255</v>
      </c>
      <c r="I166">
        <f>tax_receipts!C166</f>
        <v>555.66269999999997</v>
      </c>
      <c r="J166">
        <f>tax_receipts!F166</f>
        <v>345.3929</v>
      </c>
      <c r="K166" s="148">
        <f>J166*tax_receipts!G166/(tax_receipts!G166+tax_receipts!H166)</f>
        <v>153.45923405572745</v>
      </c>
      <c r="L166" s="148">
        <f t="shared" si="2"/>
        <v>191.93366594427255</v>
      </c>
      <c r="M166">
        <f>debt!B166</f>
        <v>5833.2160000000003</v>
      </c>
      <c r="N166">
        <f>debt!C166</f>
        <v>12529.303999999996</v>
      </c>
      <c r="O166">
        <f>debt!D166</f>
        <v>8744.9517211200055</v>
      </c>
      <c r="P166">
        <f>real_exchange_rate!B166</f>
        <v>91.695545121196133</v>
      </c>
      <c r="Q166" s="212">
        <v>16053.57108</v>
      </c>
    </row>
    <row r="167" spans="1:17" x14ac:dyDescent="0.35">
      <c r="A167" s="61">
        <v>41548</v>
      </c>
      <c r="B167" s="54">
        <v>4.7272727272727272E-2</v>
      </c>
      <c r="C167" s="81">
        <f>oilprice!B167</f>
        <v>92.19</v>
      </c>
      <c r="D167" s="81">
        <f>EMBI!B167</f>
        <v>568.48387096774195</v>
      </c>
      <c r="E167" s="76">
        <f>g_consumption!B167</f>
        <v>363.19439886000009</v>
      </c>
      <c r="F167" s="76">
        <f>g_wages!B167</f>
        <v>701.56332060000011</v>
      </c>
      <c r="G167" s="76">
        <f>g_fbkf!B167</f>
        <v>1488.6491745148312</v>
      </c>
      <c r="H167" s="76">
        <f>g_transfers!B167</f>
        <v>1080.9499406039597</v>
      </c>
      <c r="I167">
        <f>tax_receipts!C167</f>
        <v>594.45960000000002</v>
      </c>
      <c r="J167">
        <f>tax_receipts!F167</f>
        <v>230.56309999999999</v>
      </c>
      <c r="K167" s="148">
        <f>J167*tax_receipts!G167/(tax_receipts!G167+tax_receipts!H167)</f>
        <v>57.915101636928256</v>
      </c>
      <c r="L167" s="148">
        <f t="shared" si="2"/>
        <v>172.64799836307174</v>
      </c>
      <c r="M167">
        <f>debt!B167</f>
        <v>5850.8940000000002</v>
      </c>
      <c r="N167">
        <f>debt!C167</f>
        <v>12606.831999999997</v>
      </c>
      <c r="O167">
        <f>debt!D167</f>
        <v>9287.783581690006</v>
      </c>
      <c r="P167">
        <f>real_exchange_rate!B167</f>
        <v>92.582613157147691</v>
      </c>
      <c r="Q167" s="212">
        <v>16736.479599999999</v>
      </c>
    </row>
    <row r="168" spans="1:17" x14ac:dyDescent="0.35">
      <c r="A168" s="61">
        <v>41579</v>
      </c>
      <c r="B168" s="54">
        <v>6.7894736842105258E-2</v>
      </c>
      <c r="C168" s="81">
        <f>oilprice!B168</f>
        <v>84.63</v>
      </c>
      <c r="D168" s="81">
        <f>EMBI!B168</f>
        <v>529.63333333333298</v>
      </c>
      <c r="E168" s="76">
        <f>g_consumption!B168</f>
        <v>430.74787309999999</v>
      </c>
      <c r="F168" s="76">
        <f>g_wages!B168</f>
        <v>710.62475170000005</v>
      </c>
      <c r="G168" s="76">
        <f>g_fbkf!B168</f>
        <v>1560.9007289531876</v>
      </c>
      <c r="H168" s="76">
        <f>g_transfers!B168</f>
        <v>1040.5424758041172</v>
      </c>
      <c r="I168">
        <f>tax_receipts!C168</f>
        <v>577.8642000000001</v>
      </c>
      <c r="J168">
        <f>tax_receipts!F168</f>
        <v>228.4221</v>
      </c>
      <c r="K168" s="148">
        <f>J168*tax_receipts!G168/(tax_receipts!G168+tax_receipts!H168)</f>
        <v>111.93375115776072</v>
      </c>
      <c r="L168" s="148">
        <f t="shared" si="2"/>
        <v>116.48834884223928</v>
      </c>
      <c r="M168">
        <f>debt!B168</f>
        <v>5819.5079999999989</v>
      </c>
      <c r="N168">
        <f>debt!C168</f>
        <v>12847.507999999998</v>
      </c>
      <c r="O168">
        <f>debt!D168</f>
        <v>9644.2859556900057</v>
      </c>
      <c r="P168">
        <f>real_exchange_rate!B168</f>
        <v>91.734898189639139</v>
      </c>
      <c r="Q168" s="212">
        <v>16349.95355</v>
      </c>
    </row>
    <row r="169" spans="1:17" x14ac:dyDescent="0.35">
      <c r="A169" s="61">
        <v>41609</v>
      </c>
      <c r="B169" s="54">
        <v>6.6666666666666666E-2</v>
      </c>
      <c r="C169" s="81">
        <f>oilprice!B169</f>
        <v>90.73</v>
      </c>
      <c r="D169" s="81">
        <f>EMBI!B169</f>
        <v>531.45161290322505</v>
      </c>
      <c r="E169" s="76">
        <f>g_consumption!B169</f>
        <v>625.76691910000011</v>
      </c>
      <c r="F169" s="76">
        <f>g_wages!B169</f>
        <v>1266.6136018999998</v>
      </c>
      <c r="G169" s="76">
        <f>g_fbkf!B169</f>
        <v>2011.8559378018003</v>
      </c>
      <c r="H169" s="76">
        <f>g_transfers!B169</f>
        <v>1280.3306726007077</v>
      </c>
      <c r="I169">
        <f>tax_receipts!C169</f>
        <v>563.69859999999994</v>
      </c>
      <c r="J169">
        <f>tax_receipts!F169</f>
        <v>276.81349999999998</v>
      </c>
      <c r="K169" s="148">
        <f>J169*tax_receipts!G169/(tax_receipts!G169+tax_receipts!H169)</f>
        <v>14.609706522019561</v>
      </c>
      <c r="L169" s="148">
        <f t="shared" si="2"/>
        <v>262.20379347798041</v>
      </c>
      <c r="M169">
        <f>debt!B169</f>
        <v>5881.4340000000002</v>
      </c>
      <c r="N169">
        <f>debt!C169</f>
        <v>12920.167999999998</v>
      </c>
      <c r="O169">
        <f>debt!D169</f>
        <v>9926.5837172900046</v>
      </c>
      <c r="P169">
        <f>real_exchange_rate!B169</f>
        <v>91.626845373956002</v>
      </c>
      <c r="Q169" s="212">
        <v>16995.243470000001</v>
      </c>
    </row>
    <row r="170" spans="1:17" x14ac:dyDescent="0.35">
      <c r="A170" s="61">
        <v>41640</v>
      </c>
      <c r="B170" s="54">
        <v>4.3333333333333335E-2</v>
      </c>
      <c r="C170" s="81">
        <f>oilprice!B170</f>
        <v>91.63</v>
      </c>
      <c r="D170" s="81">
        <f>EMBI!B170</f>
        <v>567.322580645161</v>
      </c>
      <c r="E170" s="76">
        <f>g_consumption!B170</f>
        <v>145.4390563</v>
      </c>
      <c r="F170" s="76">
        <f>g_wages!B170</f>
        <v>558.85304900000006</v>
      </c>
      <c r="G170" s="76">
        <f>g_fbkf!B170</f>
        <v>654.52134617136721</v>
      </c>
      <c r="H170" s="76">
        <f>g_transfers!B170</f>
        <v>1158.4230727422459</v>
      </c>
      <c r="I170">
        <f>tax_receipts!C170</f>
        <v>699.96098000000006</v>
      </c>
      <c r="J170">
        <f>tax_receipts!F170</f>
        <v>351.59541000000002</v>
      </c>
      <c r="K170" s="148">
        <f>J170*tax_receipts!G170/(tax_receipts!G170+tax_receipts!H170)</f>
        <v>105.49347391388666</v>
      </c>
      <c r="L170" s="148">
        <f t="shared" si="2"/>
        <v>246.10193608611337</v>
      </c>
      <c r="M170">
        <f>debt!B170</f>
        <v>5970.6450000000004</v>
      </c>
      <c r="N170">
        <f>debt!C170</f>
        <v>12955.642999999998</v>
      </c>
      <c r="O170">
        <f>debt!D170</f>
        <v>10047.492712840003</v>
      </c>
      <c r="P170">
        <f>real_exchange_rate!B170</f>
        <v>90.665050506624425</v>
      </c>
      <c r="Q170" s="213">
        <v>17054.304000000004</v>
      </c>
    </row>
    <row r="171" spans="1:17" x14ac:dyDescent="0.35">
      <c r="A171" s="61">
        <v>41671</v>
      </c>
      <c r="B171" s="54">
        <v>5.2631578947368418E-2</v>
      </c>
      <c r="C171" s="81">
        <f>oilprice!B171</f>
        <v>98.36</v>
      </c>
      <c r="D171" s="81">
        <f>EMBI!B171</f>
        <v>609.96428571428498</v>
      </c>
      <c r="E171" s="76">
        <f>g_consumption!B171</f>
        <v>244.69515319999999</v>
      </c>
      <c r="F171" s="76">
        <f>g_wages!B171</f>
        <v>768.57291270000007</v>
      </c>
      <c r="G171" s="76">
        <f>g_fbkf!B171</f>
        <v>1111.205964852046</v>
      </c>
      <c r="H171" s="76">
        <f>g_transfers!B171</f>
        <v>943.20316453572036</v>
      </c>
      <c r="I171">
        <f>tax_receipts!C171</f>
        <v>542.51710000000003</v>
      </c>
      <c r="J171">
        <f>tax_receipts!F171</f>
        <v>203.54504</v>
      </c>
      <c r="K171" s="148">
        <f>J171*tax_receipts!G171/(tax_receipts!G171+tax_receipts!H171)</f>
        <v>118.22353438292795</v>
      </c>
      <c r="L171" s="148">
        <f t="shared" si="2"/>
        <v>85.321505617072049</v>
      </c>
      <c r="M171">
        <f>debt!B171</f>
        <v>5994.5940000000001</v>
      </c>
      <c r="N171">
        <f>debt!C171</f>
        <v>13029.103999999999</v>
      </c>
      <c r="O171">
        <f>debt!D171</f>
        <v>10456.405704840003</v>
      </c>
      <c r="P171">
        <f>real_exchange_rate!B171</f>
        <v>90.410865580941262</v>
      </c>
      <c r="Q171" s="213">
        <v>15422.176000000001</v>
      </c>
    </row>
    <row r="172" spans="1:17" x14ac:dyDescent="0.35">
      <c r="A172" s="61">
        <v>41699</v>
      </c>
      <c r="B172" s="54">
        <v>5.2380952380952382E-2</v>
      </c>
      <c r="C172" s="81">
        <f>oilprice!B172</f>
        <v>96.56</v>
      </c>
      <c r="D172" s="81">
        <f>EMBI!B172</f>
        <v>550.51612903225805</v>
      </c>
      <c r="E172" s="76">
        <f>g_consumption!B172</f>
        <v>267.41474890000006</v>
      </c>
      <c r="F172" s="76">
        <f>g_wages!B172</f>
        <v>751.86521100000004</v>
      </c>
      <c r="G172" s="76">
        <f>g_fbkf!B172</f>
        <v>980.93889664532333</v>
      </c>
      <c r="H172" s="76">
        <f>g_transfers!B172</f>
        <v>992.5389864603959</v>
      </c>
      <c r="I172">
        <f>tax_receipts!C172</f>
        <v>527.51438999999993</v>
      </c>
      <c r="J172">
        <f>tax_receipts!F172</f>
        <v>297.96724999999998</v>
      </c>
      <c r="K172" s="148">
        <f>J172*tax_receipts!G172/(tax_receipts!G172+tax_receipts!H172)</f>
        <v>247.37815538582825</v>
      </c>
      <c r="L172" s="148">
        <f t="shared" si="2"/>
        <v>50.589094614171728</v>
      </c>
      <c r="M172">
        <f>debt!B172</f>
        <v>5902.1440000000002</v>
      </c>
      <c r="N172">
        <f>debt!C172</f>
        <v>12899.050999999998</v>
      </c>
      <c r="O172">
        <f>debt!D172</f>
        <v>10869.743882150004</v>
      </c>
      <c r="P172">
        <f>real_exchange_rate!B172</f>
        <v>90.849941796184496</v>
      </c>
      <c r="Q172" s="213">
        <v>17255.059999999998</v>
      </c>
    </row>
    <row r="173" spans="1:17" x14ac:dyDescent="0.35">
      <c r="A173" s="61">
        <v>41730</v>
      </c>
      <c r="B173" s="54">
        <v>3.0952380952380953E-2</v>
      </c>
      <c r="C173" s="81">
        <f>oilprice!B173</f>
        <v>98.24</v>
      </c>
      <c r="D173" s="81">
        <f>EMBI!B173</f>
        <v>453</v>
      </c>
      <c r="E173" s="76">
        <f>g_consumption!B173</f>
        <v>333.97277380000003</v>
      </c>
      <c r="F173" s="76">
        <f>g_wages!B173</f>
        <v>758.94158039999979</v>
      </c>
      <c r="G173" s="76">
        <f>g_fbkf!B173</f>
        <v>1036.8336469959715</v>
      </c>
      <c r="H173" s="76">
        <f>g_transfers!B173</f>
        <v>1280.2927602300547</v>
      </c>
      <c r="I173">
        <f>tax_receipts!C173</f>
        <v>572.77144999999996</v>
      </c>
      <c r="J173">
        <f>tax_receipts!F173</f>
        <v>979.57789000000002</v>
      </c>
      <c r="K173" s="148">
        <f>J173*tax_receipts!G173/(tax_receipts!G173+tax_receipts!H173)</f>
        <v>21.411389097924555</v>
      </c>
      <c r="L173" s="148">
        <f t="shared" si="2"/>
        <v>958.16650090207543</v>
      </c>
      <c r="M173">
        <f>debt!B173</f>
        <v>5912.2039999999997</v>
      </c>
      <c r="N173">
        <f>debt!C173</f>
        <v>12930.409999999998</v>
      </c>
      <c r="O173">
        <f>debt!D173</f>
        <v>11075.617159150004</v>
      </c>
      <c r="P173">
        <f>real_exchange_rate!B173</f>
        <v>92.063952035615628</v>
      </c>
      <c r="Q173" s="214">
        <v>16805.653200000004</v>
      </c>
    </row>
    <row r="174" spans="1:17" x14ac:dyDescent="0.35">
      <c r="A174" s="61">
        <v>41760</v>
      </c>
      <c r="B174" s="54">
        <v>3.2380952380952378E-2</v>
      </c>
      <c r="C174" s="81">
        <f>oilprice!B174</f>
        <v>95.97</v>
      </c>
      <c r="D174" s="81">
        <f>EMBI!B174</f>
        <v>354.77419354838702</v>
      </c>
      <c r="E174" s="76">
        <f>g_consumption!B174</f>
        <v>322.80687456000032</v>
      </c>
      <c r="F174" s="76">
        <f>g_wages!B174</f>
        <v>693.79769118999991</v>
      </c>
      <c r="G174" s="76">
        <f>g_fbkf!B174</f>
        <v>900.7566349602215</v>
      </c>
      <c r="H174" s="76">
        <f>g_transfers!B174</f>
        <v>987.16702816022757</v>
      </c>
      <c r="I174">
        <f>tax_receipts!C174</f>
        <v>582.08767</v>
      </c>
      <c r="J174">
        <f>tax_receipts!F174</f>
        <v>267.42685</v>
      </c>
      <c r="K174" s="148">
        <f>J174*tax_receipts!G174/(tax_receipts!G174+tax_receipts!H174)</f>
        <v>63.079411193703336</v>
      </c>
      <c r="L174" s="148">
        <f t="shared" si="2"/>
        <v>204.34743880629668</v>
      </c>
      <c r="M174">
        <f>debt!B174</f>
        <v>5995.0730000000003</v>
      </c>
      <c r="N174">
        <f>debt!C174</f>
        <v>13300.862999999999</v>
      </c>
      <c r="O174">
        <f>debt!D174</f>
        <v>11309.879650150004</v>
      </c>
      <c r="P174">
        <f>real_exchange_rate!B174</f>
        <v>93.008079995383881</v>
      </c>
      <c r="Q174" s="214">
        <v>17182.756530000002</v>
      </c>
    </row>
    <row r="175" spans="1:17" x14ac:dyDescent="0.35">
      <c r="A175" s="61">
        <v>41791</v>
      </c>
      <c r="B175" s="54">
        <v>3.5714285714285712E-2</v>
      </c>
      <c r="C175" s="81">
        <f>oilprice!B175</f>
        <v>99.23</v>
      </c>
      <c r="D175" s="81">
        <f>EMBI!B175</f>
        <v>370.46666666666601</v>
      </c>
      <c r="E175" s="76">
        <f>g_consumption!B175</f>
        <v>342.99355104999898</v>
      </c>
      <c r="F175" s="76">
        <f>g_wages!B175</f>
        <v>622.78597755002204</v>
      </c>
      <c r="G175" s="76">
        <f>g_fbkf!B175</f>
        <v>1035.5721335879919</v>
      </c>
      <c r="H175" s="76">
        <f>g_transfers!B175</f>
        <v>1070.5688826302276</v>
      </c>
      <c r="I175">
        <f>tax_receipts!C175</f>
        <v>574.59940000000006</v>
      </c>
      <c r="J175">
        <f>tax_receipts!F175</f>
        <v>223.47059999999999</v>
      </c>
      <c r="K175" s="148">
        <f>J175*tax_receipts!G175/(tax_receipts!G175+tax_receipts!H175)</f>
        <v>67.06740090290468</v>
      </c>
      <c r="L175" s="148">
        <f t="shared" si="2"/>
        <v>156.4031990970953</v>
      </c>
      <c r="M175">
        <f>debt!B175</f>
        <v>5983.03</v>
      </c>
      <c r="N175">
        <f>debt!C175</f>
        <v>15163.960999999998</v>
      </c>
      <c r="O175">
        <f>debt!D175</f>
        <v>11295.032799150003</v>
      </c>
      <c r="P175">
        <f>real_exchange_rate!B175</f>
        <v>93.426875807438066</v>
      </c>
      <c r="Q175" s="214">
        <v>16658.214857999996</v>
      </c>
    </row>
    <row r="176" spans="1:17" x14ac:dyDescent="0.35">
      <c r="A176" s="61">
        <v>41821</v>
      </c>
      <c r="B176" s="54">
        <v>2.6363636363636363E-2</v>
      </c>
      <c r="C176" s="81">
        <f>oilprice!B176</f>
        <v>91.08</v>
      </c>
      <c r="D176" s="81">
        <f>EMBI!B176</f>
        <v>423.61290322580601</v>
      </c>
      <c r="E176" s="76">
        <f>g_consumption!B176</f>
        <v>375.60953510000002</v>
      </c>
      <c r="F176" s="76">
        <f>g_wages!B176</f>
        <v>829.94922499999996</v>
      </c>
      <c r="G176" s="76">
        <f>g_fbkf!B176</f>
        <v>1146.1327163226188</v>
      </c>
      <c r="H176" s="76">
        <f>g_transfers!B176</f>
        <v>1117.8354438843744</v>
      </c>
      <c r="I176">
        <f>tax_receipts!C176</f>
        <v>608.44400000000007</v>
      </c>
      <c r="J176">
        <f>tax_receipts!F176</f>
        <v>403.70429999999999</v>
      </c>
      <c r="K176" s="148">
        <f>J176*tax_receipts!G176/(tax_receipts!G176+tax_receipts!H176)</f>
        <v>56.511418165268005</v>
      </c>
      <c r="L176" s="148">
        <f t="shared" si="2"/>
        <v>347.19288183473196</v>
      </c>
      <c r="M176">
        <f>debt!B176</f>
        <v>6333.1930000000002</v>
      </c>
      <c r="N176">
        <f>debt!C176</f>
        <v>15229.508999999998</v>
      </c>
      <c r="O176">
        <f>debt!D176</f>
        <v>11152.560744150003</v>
      </c>
      <c r="P176">
        <f>real_exchange_rate!B176</f>
        <v>93.42367127087428</v>
      </c>
      <c r="Q176" s="214">
        <v>17307.609790000002</v>
      </c>
    </row>
    <row r="177" spans="1:17" x14ac:dyDescent="0.35">
      <c r="A177" s="61">
        <v>41852</v>
      </c>
      <c r="B177" s="54">
        <v>3.2857142857142856E-2</v>
      </c>
      <c r="C177" s="81">
        <f>oilprice!B177</f>
        <v>86.27</v>
      </c>
      <c r="D177" s="81">
        <f>EMBI!B177</f>
        <v>475.96774193548299</v>
      </c>
      <c r="E177" s="76">
        <f>g_consumption!B177</f>
        <v>400.23845827000002</v>
      </c>
      <c r="F177" s="76">
        <f>g_wages!B177</f>
        <v>848.1496484999999</v>
      </c>
      <c r="G177" s="76">
        <f>g_fbkf!B177</f>
        <v>1086.3530315965318</v>
      </c>
      <c r="H177" s="76">
        <f>g_transfers!B177</f>
        <v>1096.4248462</v>
      </c>
      <c r="I177">
        <f>tax_receipts!C177</f>
        <v>592.76260000000002</v>
      </c>
      <c r="J177">
        <f>tax_receipts!F177</f>
        <v>253.25799999999998</v>
      </c>
      <c r="K177" s="148">
        <f>J177*tax_receipts!G177/(tax_receipts!G177+tax_receipts!H177)</f>
        <v>42.795976370565114</v>
      </c>
      <c r="L177" s="148">
        <f t="shared" si="2"/>
        <v>210.46202362943487</v>
      </c>
      <c r="M177">
        <f>debt!B177</f>
        <v>6222.973</v>
      </c>
      <c r="N177">
        <f>debt!C177</f>
        <v>15386.512999999999</v>
      </c>
      <c r="O177">
        <f>debt!D177</f>
        <v>11176.534139150002</v>
      </c>
      <c r="P177">
        <f>real_exchange_rate!B177</f>
        <v>92.975551295152727</v>
      </c>
      <c r="Q177" s="214">
        <v>17380.084999999999</v>
      </c>
    </row>
    <row r="178" spans="1:17" x14ac:dyDescent="0.35">
      <c r="A178" s="61">
        <v>41883</v>
      </c>
      <c r="B178" s="54">
        <v>0.02</v>
      </c>
      <c r="C178" s="81">
        <f>oilprice!B178</f>
        <v>83.5</v>
      </c>
      <c r="D178" s="81">
        <f>EMBI!B178</f>
        <v>426.63333333333298</v>
      </c>
      <c r="E178" s="76">
        <f>g_consumption!B178</f>
        <v>426.49228340000008</v>
      </c>
      <c r="F178" s="76">
        <f>g_wages!B178</f>
        <v>680.86029299999996</v>
      </c>
      <c r="G178" s="76">
        <f>g_fbkf!B178</f>
        <v>1190.4063349418825</v>
      </c>
      <c r="H178" s="76">
        <f>g_transfers!B178</f>
        <v>1028.3257941195748</v>
      </c>
      <c r="I178">
        <f>tax_receipts!C178</f>
        <v>599.97570000000007</v>
      </c>
      <c r="J178">
        <f>tax_receipts!F178</f>
        <v>384.48269999999997</v>
      </c>
      <c r="K178" s="148">
        <f>J178*tax_receipts!G178/(tax_receipts!G178+tax_receipts!H178)</f>
        <v>126.31956626135937</v>
      </c>
      <c r="L178" s="148">
        <f t="shared" si="2"/>
        <v>258.16313373864057</v>
      </c>
      <c r="M178">
        <f>debt!B178</f>
        <v>6499.8419999999996</v>
      </c>
      <c r="N178">
        <f>debt!C178</f>
        <v>16724.299999999996</v>
      </c>
      <c r="O178">
        <f>debt!D178</f>
        <v>11279.644629150001</v>
      </c>
      <c r="P178">
        <f>real_exchange_rate!B178</f>
        <v>91.606361912273456</v>
      </c>
      <c r="Q178" s="214">
        <v>16525.774570000001</v>
      </c>
    </row>
    <row r="179" spans="1:17" x14ac:dyDescent="0.35">
      <c r="A179" s="61">
        <v>41913</v>
      </c>
      <c r="B179" s="54">
        <v>1.6818181818181819E-2</v>
      </c>
      <c r="C179" s="81">
        <f>oilprice!B179</f>
        <v>73.25</v>
      </c>
      <c r="D179" s="81">
        <f>EMBI!B179</f>
        <v>519.22580645161304</v>
      </c>
      <c r="E179" s="76">
        <f>g_consumption!B179</f>
        <v>587.37875900000006</v>
      </c>
      <c r="F179" s="76">
        <f>g_wages!B179</f>
        <v>823.59658500000012</v>
      </c>
      <c r="G179" s="76">
        <f>g_fbkf!B179</f>
        <v>1534.5463326195566</v>
      </c>
      <c r="H179" s="76">
        <f>g_transfers!B179</f>
        <v>1055.6061815800483</v>
      </c>
      <c r="I179">
        <f>tax_receipts!C179</f>
        <v>632.4973</v>
      </c>
      <c r="J179">
        <f>tax_receipts!F179</f>
        <v>259.3313</v>
      </c>
      <c r="K179" s="148">
        <f>J179*tax_receipts!G179/(tax_receipts!G179+tax_receipts!H179)</f>
        <v>44.696134570502835</v>
      </c>
      <c r="L179" s="148">
        <f t="shared" si="2"/>
        <v>214.63516542949716</v>
      </c>
      <c r="M179">
        <f>debt!B179</f>
        <v>6525.2640000000001</v>
      </c>
      <c r="N179">
        <f>debt!C179</f>
        <v>16754.079000000002</v>
      </c>
      <c r="O179">
        <f>debt!D179</f>
        <v>11651.972281150001</v>
      </c>
      <c r="P179">
        <f>real_exchange_rate!B179</f>
        <v>90.912747088087968</v>
      </c>
      <c r="Q179" s="214">
        <v>17272.732879999996</v>
      </c>
    </row>
    <row r="180" spans="1:17" x14ac:dyDescent="0.35">
      <c r="A180" s="61">
        <v>41944</v>
      </c>
      <c r="B180" s="54">
        <v>2.1666666666666667E-2</v>
      </c>
      <c r="C180" s="81">
        <f>oilprice!B180</f>
        <v>61.45</v>
      </c>
      <c r="D180" s="81">
        <f>EMBI!B180</f>
        <v>546.63333333333298</v>
      </c>
      <c r="E180" s="76">
        <f>g_consumption!B180</f>
        <v>635.29560129999993</v>
      </c>
      <c r="F180" s="76">
        <f>g_wages!B180</f>
        <v>782.24692539999978</v>
      </c>
      <c r="G180" s="76">
        <f>g_fbkf!B180</f>
        <v>1379.5222071707299</v>
      </c>
      <c r="H180" s="76">
        <f>g_transfers!B180</f>
        <v>990.90035862552168</v>
      </c>
      <c r="I180">
        <f>tax_receipts!C180</f>
        <v>617.03390000000002</v>
      </c>
      <c r="J180">
        <f>tax_receipts!F180</f>
        <v>241.91580000000002</v>
      </c>
      <c r="K180" s="148">
        <f>J180*tax_receipts!G180/(tax_receipts!G180+tax_receipts!H180)</f>
        <v>27.448976060067956</v>
      </c>
      <c r="L180" s="148">
        <f t="shared" si="2"/>
        <v>214.46682393993206</v>
      </c>
      <c r="M180">
        <f>debt!B180</f>
        <v>6656.9530000000004</v>
      </c>
      <c r="N180">
        <f>debt!C180</f>
        <v>16913.621999999996</v>
      </c>
      <c r="O180">
        <f>debt!D180</f>
        <v>11893.105432150001</v>
      </c>
      <c r="P180">
        <f>real_exchange_rate!B180</f>
        <v>89.911464198667829</v>
      </c>
      <c r="Q180" s="214">
        <v>16884.495740000002</v>
      </c>
    </row>
    <row r="181" spans="1:17" x14ac:dyDescent="0.35">
      <c r="A181" s="61">
        <v>41974</v>
      </c>
      <c r="B181" s="54">
        <v>2.9090909090909091E-2</v>
      </c>
      <c r="C181" s="81">
        <f>oilprice!B181</f>
        <v>45.05</v>
      </c>
      <c r="D181" s="81">
        <f>EMBI!B181</f>
        <v>823.74193548387098</v>
      </c>
      <c r="E181" s="76">
        <f>g_consumption!B181</f>
        <v>1245.3322836473913</v>
      </c>
      <c r="F181" s="76">
        <f>g_wages!B181</f>
        <v>1358.7207598</v>
      </c>
      <c r="G181" s="76">
        <f>g_fbkf!B181</f>
        <v>1922.8679137057588</v>
      </c>
      <c r="H181" s="76">
        <f>g_transfers!B181</f>
        <v>1440.9478216975247</v>
      </c>
      <c r="I181">
        <f>tax_receipts!C181</f>
        <v>628.6871000000001</v>
      </c>
      <c r="J181">
        <f>tax_receipts!F181</f>
        <v>294.42199999999997</v>
      </c>
      <c r="K181" s="148">
        <f>J181*tax_receipts!G181/(tax_receipts!G181+tax_receipts!H181)</f>
        <v>12.131379789470547</v>
      </c>
      <c r="L181" s="148">
        <f t="shared" si="2"/>
        <v>282.29062021052943</v>
      </c>
      <c r="M181">
        <f>debt!B181</f>
        <v>6698.3310000000001</v>
      </c>
      <c r="N181">
        <f>debt!C181</f>
        <v>17581.940999999999</v>
      </c>
      <c r="O181">
        <f>debt!D181</f>
        <v>12558.316293150001</v>
      </c>
      <c r="P181">
        <f>real_exchange_rate!B181</f>
        <v>88.091455368395458</v>
      </c>
      <c r="Q181" s="214">
        <v>17393.311980000002</v>
      </c>
    </row>
    <row r="182" spans="1:17" x14ac:dyDescent="0.35">
      <c r="A182" s="61">
        <v>42005</v>
      </c>
      <c r="B182" s="54">
        <v>2.75E-2</v>
      </c>
      <c r="C182" s="81">
        <f>oilprice!B182</f>
        <v>41.397696831954448</v>
      </c>
      <c r="D182" s="81">
        <f>EMBI!B182</f>
        <v>933.90322580645102</v>
      </c>
      <c r="E182" s="76">
        <f>g_consumption!B182</f>
        <v>284.87518789000001</v>
      </c>
      <c r="F182" s="76">
        <f>g_wages!B182</f>
        <v>540.74345916000004</v>
      </c>
      <c r="G182" s="76">
        <f>g_fbkf!B182</f>
        <v>451.81049300875668</v>
      </c>
      <c r="H182" s="76">
        <f>g_transfers!B182</f>
        <v>832.76860966059417</v>
      </c>
      <c r="I182">
        <f>tax_receipts!C182</f>
        <v>797.82539999999995</v>
      </c>
      <c r="J182">
        <f>tax_receipts!F182</f>
        <v>418.18634736000007</v>
      </c>
      <c r="K182" s="148">
        <f>J182*tax_receipts!G182/(tax_receipts!G182+tax_receipts!H182)</f>
        <v>107.67846512279894</v>
      </c>
      <c r="L182" s="148">
        <f t="shared" si="2"/>
        <v>310.5078822372011</v>
      </c>
      <c r="M182">
        <f>debt!B182</f>
        <v>6485.6490000000003</v>
      </c>
      <c r="N182">
        <f>debt!C182</f>
        <v>17645.823</v>
      </c>
      <c r="O182">
        <f>debt!D182</f>
        <v>12669.11507915</v>
      </c>
      <c r="P182">
        <f>real_exchange_rate!B182</f>
        <v>86.752881713404264</v>
      </c>
      <c r="Q182" s="214">
        <v>17289.410659999998</v>
      </c>
    </row>
    <row r="183" spans="1:17" x14ac:dyDescent="0.35">
      <c r="A183" s="61">
        <v>42036</v>
      </c>
      <c r="B183" s="54">
        <v>1.7894736842105262E-2</v>
      </c>
      <c r="C183" s="81">
        <f>oilprice!B183</f>
        <v>41.044964831422263</v>
      </c>
      <c r="D183" s="81">
        <f>EMBI!B183</f>
        <v>778.03571428571399</v>
      </c>
      <c r="E183" s="76">
        <f>g_consumption!B183</f>
        <v>342.18741473</v>
      </c>
      <c r="F183" s="76">
        <f>g_wages!B183</f>
        <v>835.70888043000014</v>
      </c>
      <c r="G183" s="76">
        <f>g_fbkf!B183</f>
        <v>970.42630214999394</v>
      </c>
      <c r="H183" s="76">
        <f>g_transfers!B183</f>
        <v>892.12745693026773</v>
      </c>
      <c r="I183">
        <f>tax_receipts!C183</f>
        <v>615.27599999999995</v>
      </c>
      <c r="J183">
        <f>tax_receipts!F183</f>
        <v>188.25251135000002</v>
      </c>
      <c r="K183" s="148">
        <f>J183*tax_receipts!G183/(tax_receipts!G183+tax_receipts!H183)</f>
        <v>95.843594193129391</v>
      </c>
      <c r="L183" s="148">
        <f t="shared" si="2"/>
        <v>92.408917156870629</v>
      </c>
      <c r="M183">
        <f>debt!B183</f>
        <v>6501.3</v>
      </c>
      <c r="N183">
        <f>debt!C183</f>
        <v>18499.956000000002</v>
      </c>
      <c r="O183">
        <f>debt!D183</f>
        <v>12587.091658150001</v>
      </c>
      <c r="P183">
        <f>real_exchange_rate!B183</f>
        <v>86.044571650477593</v>
      </c>
      <c r="Q183" s="214">
        <v>15487.524439999997</v>
      </c>
    </row>
    <row r="184" spans="1:17" x14ac:dyDescent="0.35">
      <c r="A184" s="61">
        <v>42064</v>
      </c>
      <c r="B184" s="54">
        <v>2.7727272727272729E-2</v>
      </c>
      <c r="C184" s="81">
        <f>oilprice!B184</f>
        <v>42.76252331145546</v>
      </c>
      <c r="D184" s="81">
        <f>EMBI!B184</f>
        <v>799.51612903225805</v>
      </c>
      <c r="E184" s="76">
        <f>g_consumption!B184</f>
        <v>432.71789779000005</v>
      </c>
      <c r="F184" s="76">
        <f>g_wages!B184</f>
        <v>847.04378197999995</v>
      </c>
      <c r="G184" s="76">
        <f>g_fbkf!B184</f>
        <v>781.8830164628597</v>
      </c>
      <c r="H184" s="76">
        <f>g_transfers!B184</f>
        <v>912.42282488240073</v>
      </c>
      <c r="I184">
        <f>tax_receipts!C184</f>
        <v>606.24699999999996</v>
      </c>
      <c r="J184">
        <f>tax_receipts!F184</f>
        <v>313.44998156759999</v>
      </c>
      <c r="K184" s="148">
        <f>J184*tax_receipts!G184/(tax_receipts!G184+tax_receipts!H184)</f>
        <v>259.6494940063177</v>
      </c>
      <c r="L184" s="148">
        <f t="shared" si="2"/>
        <v>53.800487561282296</v>
      </c>
      <c r="M184">
        <f>debt!B184</f>
        <v>6607.0150000000003</v>
      </c>
      <c r="N184">
        <f>debt!C184</f>
        <v>19067.163999999993</v>
      </c>
      <c r="O184">
        <f>debt!D184</f>
        <v>12630.708787150003</v>
      </c>
      <c r="P184">
        <f>real_exchange_rate!B184</f>
        <v>84.566596232598329</v>
      </c>
      <c r="Q184" s="214">
        <v>17134.433270000001</v>
      </c>
    </row>
    <row r="185" spans="1:17" x14ac:dyDescent="0.35">
      <c r="A185" s="61">
        <v>42095</v>
      </c>
      <c r="B185" s="54">
        <v>2.3181818181818182E-2</v>
      </c>
      <c r="C185" s="81">
        <f>oilprice!B185</f>
        <v>54.836518821257506</v>
      </c>
      <c r="D185" s="81">
        <f>EMBI!B185</f>
        <v>782.73333333333301</v>
      </c>
      <c r="E185" s="76">
        <f>g_consumption!B185</f>
        <v>413.36712706000009</v>
      </c>
      <c r="F185" s="76">
        <f>g_wages!B185</f>
        <v>804.21228669000004</v>
      </c>
      <c r="G185" s="76">
        <f>g_fbkf!B185</f>
        <v>733.13103146048456</v>
      </c>
      <c r="H185" s="76">
        <f>g_transfers!B185</f>
        <v>882.22686240276107</v>
      </c>
      <c r="I185">
        <f>tax_receipts!C185</f>
        <v>631.678</v>
      </c>
      <c r="J185">
        <f>tax_receipts!F185</f>
        <v>983.2310662299999</v>
      </c>
      <c r="K185" s="148">
        <f>J185*tax_receipts!G185/(tax_receipts!G185+tax_receipts!H185)</f>
        <v>11.965177581828895</v>
      </c>
      <c r="L185" s="148">
        <f t="shared" si="2"/>
        <v>971.26588864817097</v>
      </c>
      <c r="M185">
        <f>debt!B185</f>
        <v>6972.0219999999999</v>
      </c>
      <c r="N185">
        <f>debt!C185</f>
        <v>19325.936000000002</v>
      </c>
      <c r="O185">
        <f>debt!D185</f>
        <v>12526.371800150002</v>
      </c>
      <c r="P185">
        <f>real_exchange_rate!B185</f>
        <v>85.012967245515043</v>
      </c>
      <c r="Q185" s="214">
        <v>16436.79869</v>
      </c>
    </row>
    <row r="186" spans="1:17" x14ac:dyDescent="0.35">
      <c r="A186" s="61">
        <v>42125</v>
      </c>
      <c r="B186" s="54">
        <v>1.6500000000000001E-2</v>
      </c>
      <c r="C186" s="81">
        <f>oilprice!B186</f>
        <v>56.539609398965574</v>
      </c>
      <c r="D186" s="81">
        <f>EMBI!B186</f>
        <v>670.54838709677404</v>
      </c>
      <c r="E186" s="76">
        <f>g_consumption!B186</f>
        <v>398.50793811999995</v>
      </c>
      <c r="F186" s="76">
        <f>g_wages!B186</f>
        <v>736.43864917999997</v>
      </c>
      <c r="G186" s="76">
        <f>g_fbkf!B186</f>
        <v>1198.5844585526199</v>
      </c>
      <c r="H186" s="76">
        <f>g_transfers!B186</f>
        <v>944.87616010646161</v>
      </c>
      <c r="I186">
        <f>tax_receipts!C186</f>
        <v>557.59199999999998</v>
      </c>
      <c r="J186">
        <f>tax_receipts!F186</f>
        <v>316.37058658999996</v>
      </c>
      <c r="K186" s="148">
        <f>J186*tax_receipts!G186/(tax_receipts!G186+tax_receipts!H186)</f>
        <v>39.133794723013104</v>
      </c>
      <c r="L186" s="148">
        <f t="shared" si="2"/>
        <v>277.23679186698683</v>
      </c>
      <c r="M186">
        <f>debt!B186</f>
        <v>7010.6790000000001</v>
      </c>
      <c r="N186">
        <f>debt!C186</f>
        <v>20092.82</v>
      </c>
      <c r="O186">
        <f>debt!D186</f>
        <v>12496.260611150003</v>
      </c>
      <c r="P186">
        <f>real_exchange_rate!B186</f>
        <v>86.130115803577525</v>
      </c>
      <c r="Q186" s="214">
        <v>16838.948510000002</v>
      </c>
    </row>
    <row r="187" spans="1:17" x14ac:dyDescent="0.35">
      <c r="A187" s="61">
        <v>42156</v>
      </c>
      <c r="B187" s="54">
        <v>1.4999999999999999E-2</v>
      </c>
      <c r="C187" s="81">
        <f>oilprice!B187</f>
        <v>53.181412003682127</v>
      </c>
      <c r="D187" s="81">
        <f>EMBI!B187</f>
        <v>776.53333333333296</v>
      </c>
      <c r="E187" s="76">
        <f>g_consumption!B187</f>
        <v>442.98995613</v>
      </c>
      <c r="F187" s="76">
        <f>g_wages!B187</f>
        <v>766.95939167000006</v>
      </c>
      <c r="G187" s="76">
        <f>g_fbkf!B187</f>
        <v>931.30232223236385</v>
      </c>
      <c r="H187" s="76">
        <f>g_transfers!B187</f>
        <v>974.20049864453074</v>
      </c>
      <c r="I187">
        <f>tax_receipts!C187</f>
        <v>553.54899999999998</v>
      </c>
      <c r="J187">
        <f>tax_receipts!F187</f>
        <v>317.41656324000002</v>
      </c>
      <c r="K187" s="148">
        <f>J187*tax_receipts!G187/(tax_receipts!G187+tax_receipts!H187)</f>
        <v>27.233671466589477</v>
      </c>
      <c r="L187" s="148">
        <f t="shared" si="2"/>
        <v>290.18289177341052</v>
      </c>
      <c r="M187">
        <f>debt!B187</f>
        <v>7059.0929999999998</v>
      </c>
      <c r="N187">
        <f>debt!C187</f>
        <v>20038.011999999999</v>
      </c>
      <c r="O187">
        <f>debt!D187</f>
        <v>12303.667902150002</v>
      </c>
      <c r="P187">
        <f>real_exchange_rate!B187</f>
        <v>85.480381919960436</v>
      </c>
      <c r="Q187" s="214">
        <v>16231.324339999999</v>
      </c>
    </row>
    <row r="188" spans="1:17" x14ac:dyDescent="0.35">
      <c r="A188" s="61">
        <v>42186</v>
      </c>
      <c r="B188" s="54">
        <v>3.2272727272727272E-2</v>
      </c>
      <c r="C188" s="81">
        <f>oilprice!B188</f>
        <v>41.481663513036914</v>
      </c>
      <c r="D188" s="81">
        <f>EMBI!B188</f>
        <v>899.90322580645102</v>
      </c>
      <c r="E188" s="76">
        <f>g_consumption!B188</f>
        <v>487.06040154999999</v>
      </c>
      <c r="F188" s="76">
        <f>g_wages!B188</f>
        <v>798.43691881999996</v>
      </c>
      <c r="G188" s="76">
        <f>g_fbkf!B188</f>
        <v>822.35239601679677</v>
      </c>
      <c r="H188" s="76">
        <f>g_transfers!B188</f>
        <v>952.5027154100884</v>
      </c>
      <c r="I188">
        <f>tax_receipts!C188</f>
        <v>671.57600000000002</v>
      </c>
      <c r="J188">
        <f>tax_receipts!F188</f>
        <v>906.83771024999999</v>
      </c>
      <c r="K188" s="148">
        <f>J188*tax_receipts!G188/(tax_receipts!G188+tax_receipts!H188)</f>
        <v>45.668482765586489</v>
      </c>
      <c r="L188" s="148">
        <f t="shared" si="2"/>
        <v>861.16922748441345</v>
      </c>
      <c r="M188">
        <f>debt!B188</f>
        <v>7137.7640000000001</v>
      </c>
      <c r="N188">
        <f>debt!C188</f>
        <v>20385.482000000004</v>
      </c>
      <c r="O188">
        <f>debt!D188</f>
        <v>12239.756276150003</v>
      </c>
      <c r="P188">
        <f>real_exchange_rate!B188</f>
        <v>84.681229095502573</v>
      </c>
      <c r="Q188" s="214">
        <v>16671.719590000001</v>
      </c>
    </row>
    <row r="189" spans="1:17" x14ac:dyDescent="0.35">
      <c r="A189" s="61">
        <v>42217</v>
      </c>
      <c r="B189" s="54">
        <v>7.1904761904761902E-2</v>
      </c>
      <c r="C189" s="81">
        <f>oilprice!B189</f>
        <v>36.756806029962362</v>
      </c>
      <c r="D189" s="81">
        <f>EMBI!B189</f>
        <v>1163.8064516129</v>
      </c>
      <c r="E189" s="76">
        <f>g_consumption!B189</f>
        <v>407.07125623000002</v>
      </c>
      <c r="F189" s="76">
        <f>g_wages!B189</f>
        <v>884.04428797999992</v>
      </c>
      <c r="G189" s="76">
        <f>g_fbkf!B189</f>
        <v>469.39661410589417</v>
      </c>
      <c r="H189" s="76">
        <f>g_transfers!B189</f>
        <v>922.7189032</v>
      </c>
      <c r="I189">
        <f>tax_receipts!C189</f>
        <v>561.28399999999999</v>
      </c>
      <c r="J189">
        <f>tax_receipts!F189</f>
        <v>225.47353578999994</v>
      </c>
      <c r="K189" s="148">
        <f>J189*tax_receipts!G189/(tax_receipts!G189+tax_receipts!H189)</f>
        <v>35.703645067740588</v>
      </c>
      <c r="L189" s="148">
        <f t="shared" si="2"/>
        <v>189.76989072225936</v>
      </c>
      <c r="M189">
        <f>debt!B189</f>
        <v>7223.3649999999998</v>
      </c>
      <c r="N189">
        <f>debt!C189</f>
        <v>20382.656999999999</v>
      </c>
      <c r="O189">
        <f>debt!D189</f>
        <v>12176.554455150004</v>
      </c>
      <c r="P189">
        <f>real_exchange_rate!B189</f>
        <v>83.313735229534913</v>
      </c>
      <c r="Q189" s="214">
        <v>16651.097229999999</v>
      </c>
    </row>
    <row r="190" spans="1:17" x14ac:dyDescent="0.35">
      <c r="A190" s="61">
        <v>42248</v>
      </c>
      <c r="B190" s="54">
        <v>2.4285714285714285E-2</v>
      </c>
      <c r="C190" s="81">
        <f>oilprice!B190</f>
        <v>40.11813060477818</v>
      </c>
      <c r="D190" s="81">
        <f>EMBI!B190</f>
        <v>1342.3</v>
      </c>
      <c r="E190" s="76">
        <f>g_consumption!B190</f>
        <v>460.35063240000005</v>
      </c>
      <c r="F190" s="76">
        <f>g_wages!B190</f>
        <v>772.14122333</v>
      </c>
      <c r="G190" s="76">
        <f>g_fbkf!B190</f>
        <v>590.87817872030894</v>
      </c>
      <c r="H190" s="76">
        <f>g_transfers!B190</f>
        <v>925.71798018127299</v>
      </c>
      <c r="I190">
        <f>tax_receipts!C190</f>
        <v>558.846</v>
      </c>
      <c r="J190">
        <f>tax_receipts!F190</f>
        <v>359.12200000000001</v>
      </c>
      <c r="K190" s="148">
        <f>J190*tax_receipts!G190/(tax_receipts!G190+tax_receipts!H190)</f>
        <v>39.351932626671619</v>
      </c>
      <c r="L190" s="148">
        <f t="shared" si="2"/>
        <v>319.7700673733284</v>
      </c>
      <c r="M190">
        <f>debt!B190</f>
        <v>7118.3770000000004</v>
      </c>
      <c r="N190">
        <f>debt!C190</f>
        <v>20321.459000000003</v>
      </c>
      <c r="O190">
        <f>debt!D190</f>
        <v>12109.481808750004</v>
      </c>
      <c r="P190">
        <f>real_exchange_rate!B190</f>
        <v>85.767223721632533</v>
      </c>
      <c r="Q190" s="214">
        <v>16169.256710000001</v>
      </c>
    </row>
    <row r="191" spans="1:17" x14ac:dyDescent="0.35">
      <c r="A191" s="61">
        <v>42278</v>
      </c>
      <c r="B191" s="54">
        <v>1.6666666666666666E-2</v>
      </c>
      <c r="C191" s="81">
        <f>oilprice!B191</f>
        <v>37.853730830576815</v>
      </c>
      <c r="D191" s="81">
        <f>EMBI!B191</f>
        <v>1334.19354838709</v>
      </c>
      <c r="E191" s="76">
        <f>g_consumption!B191</f>
        <v>429.58203384999996</v>
      </c>
      <c r="F191" s="76">
        <f>g_wages!B191</f>
        <v>801.83982402000015</v>
      </c>
      <c r="G191" s="76">
        <f>g_fbkf!B191</f>
        <v>973.51765033819822</v>
      </c>
      <c r="H191" s="76">
        <f>g_transfers!B191</f>
        <v>876.802941392972</v>
      </c>
      <c r="I191">
        <f>tax_receipts!C191</f>
        <v>539.59199999999998</v>
      </c>
      <c r="J191">
        <f>tax_receipts!F191</f>
        <v>236.251</v>
      </c>
      <c r="K191" s="148">
        <f>J191*tax_receipts!G191/(tax_receipts!G191+tax_receipts!H191)</f>
        <v>38.346669098879161</v>
      </c>
      <c r="L191" s="148">
        <f t="shared" si="2"/>
        <v>197.90433090112083</v>
      </c>
      <c r="M191">
        <f>debt!B191</f>
        <v>7204.268</v>
      </c>
      <c r="N191">
        <f>debt!C191</f>
        <v>20330.139000000003</v>
      </c>
      <c r="O191">
        <f>debt!D191</f>
        <v>12103.049054750003</v>
      </c>
      <c r="P191">
        <f>real_exchange_rate!B191</f>
        <v>87.505286286222798</v>
      </c>
      <c r="Q191" s="214">
        <v>16677.525890000001</v>
      </c>
    </row>
    <row r="192" spans="1:17" x14ac:dyDescent="0.35">
      <c r="A192" s="61">
        <v>42309</v>
      </c>
      <c r="B192" s="54">
        <v>0.12631578947368421</v>
      </c>
      <c r="C192" s="81">
        <f>oilprice!B192</f>
        <v>31.14172108087433</v>
      </c>
      <c r="D192" s="81">
        <f>EMBI!B192</f>
        <v>1212.5999999999999</v>
      </c>
      <c r="E192" s="76">
        <f>g_consumption!B192</f>
        <v>488.95624447999995</v>
      </c>
      <c r="F192" s="76">
        <f>g_wages!B192</f>
        <v>758.58338190999996</v>
      </c>
      <c r="G192" s="76">
        <f>g_fbkf!B192</f>
        <v>566.07455344308278</v>
      </c>
      <c r="H192" s="76">
        <f>g_transfers!B192</f>
        <v>888.44365044200708</v>
      </c>
      <c r="I192">
        <f>tax_receipts!C192</f>
        <v>568.52499999999998</v>
      </c>
      <c r="J192">
        <f>tax_receipts!F192</f>
        <v>228.80699999999999</v>
      </c>
      <c r="K192" s="148">
        <f>J192*tax_receipts!G192/(tax_receipts!G192+tax_receipts!H192)</f>
        <v>54.863493657399566</v>
      </c>
      <c r="L192" s="148">
        <f t="shared" si="2"/>
        <v>173.94350634260041</v>
      </c>
      <c r="M192">
        <f>debt!B192</f>
        <v>7252.5190000000002</v>
      </c>
      <c r="N192">
        <f>debt!C192</f>
        <v>20575.595999999998</v>
      </c>
      <c r="O192">
        <f>debt!D192</f>
        <v>12385.783458150005</v>
      </c>
      <c r="P192">
        <f>real_exchange_rate!B192</f>
        <v>87.432106227573342</v>
      </c>
      <c r="Q192" s="214">
        <v>16110.035400000001</v>
      </c>
    </row>
    <row r="193" spans="1:17" x14ac:dyDescent="0.35">
      <c r="A193" s="61">
        <v>42339</v>
      </c>
      <c r="B193" s="54">
        <v>0.22863636363636364</v>
      </c>
      <c r="C193" s="81">
        <f>oilprice!B193</f>
        <v>27.068990372594488</v>
      </c>
      <c r="D193" s="81">
        <f>EMBI!B193</f>
        <v>1234.83870967741</v>
      </c>
      <c r="E193" s="76">
        <f>g_consumption!B193</f>
        <v>524.63165400000003</v>
      </c>
      <c r="F193" s="76">
        <f>g_wages!B193</f>
        <v>1357.657166</v>
      </c>
      <c r="G193" s="76">
        <f>g_fbkf!B193</f>
        <v>1689.034853320815</v>
      </c>
      <c r="H193" s="76">
        <f>g_transfers!B193</f>
        <v>1107.8161573392085</v>
      </c>
      <c r="I193">
        <f>tax_receipts!C193</f>
        <v>529.99</v>
      </c>
      <c r="J193">
        <f>tax_receipts!F193</f>
        <v>240.7595</v>
      </c>
      <c r="K193" s="148">
        <f>J193*tax_receipts!G193/(tax_receipts!G193+tax_receipts!H193)</f>
        <v>24.083021896110026</v>
      </c>
      <c r="L193" s="148">
        <f t="shared" si="2"/>
        <v>216.67647810388996</v>
      </c>
      <c r="M193">
        <f>debt!B193</f>
        <v>7491.9759999999997</v>
      </c>
      <c r="N193">
        <f>debt!C193</f>
        <v>20225.658999999996</v>
      </c>
      <c r="O193">
        <f>debt!D193</f>
        <v>12546.003827150003</v>
      </c>
      <c r="P193">
        <f>real_exchange_rate!B193</f>
        <v>86.687689213644092</v>
      </c>
      <c r="Q193" s="214">
        <v>16531.54939</v>
      </c>
    </row>
    <row r="194" spans="1:17" x14ac:dyDescent="0.35">
      <c r="A194" s="61">
        <v>42370</v>
      </c>
      <c r="B194" s="54">
        <v>0.25736842105263158</v>
      </c>
      <c r="C194" s="81">
        <f>oilprice!B194</f>
        <v>21.744035328802312</v>
      </c>
      <c r="D194" s="81">
        <f>EMBI!B194</f>
        <v>1518.258064516129</v>
      </c>
      <c r="E194" s="76">
        <f>g_consumption!B194</f>
        <v>251.05258684999981</v>
      </c>
      <c r="F194" s="76">
        <f>g_wages!B194</f>
        <v>648.82230754</v>
      </c>
      <c r="G194" s="76">
        <f>g_fbkf!B194</f>
        <v>437.34295688602987</v>
      </c>
      <c r="H194" s="76">
        <f>g_transfers!B194</f>
        <v>873.3570575115541</v>
      </c>
      <c r="I194">
        <f>tax_receipts!C194</f>
        <v>663.71006999999997</v>
      </c>
      <c r="J194">
        <f>tax_receipts!F194</f>
        <v>318.54962687520003</v>
      </c>
      <c r="K194" s="148">
        <f>J194*tax_receipts!G194/(tax_receipts!G194+tax_receipts!H194)</f>
        <v>82.208844287277273</v>
      </c>
      <c r="L194" s="148">
        <f t="shared" si="2"/>
        <v>236.34078258792277</v>
      </c>
      <c r="M194">
        <f>debt!B194</f>
        <v>7604.7110000000002</v>
      </c>
      <c r="N194">
        <f>debt!C194</f>
        <v>20371.513999999996</v>
      </c>
      <c r="O194">
        <f>debt!D194</f>
        <v>12876.944175249999</v>
      </c>
      <c r="P194">
        <f>real_exchange_rate!B194</f>
        <v>86.078654195429593</v>
      </c>
      <c r="Q194" s="213">
        <v>16560.670439999998</v>
      </c>
    </row>
    <row r="195" spans="1:17" x14ac:dyDescent="0.35">
      <c r="A195" s="61">
        <v>42401</v>
      </c>
      <c r="B195" s="54">
        <v>0.3145</v>
      </c>
      <c r="C195" s="81">
        <f>oilprice!B195</f>
        <v>22.477898404272985</v>
      </c>
      <c r="D195" s="81">
        <f>EMBI!B195</f>
        <v>1568.5172413793102</v>
      </c>
      <c r="E195" s="76">
        <f>g_consumption!B195</f>
        <v>300.42567520999978</v>
      </c>
      <c r="F195" s="76">
        <f>g_wages!B195</f>
        <v>828.20763624999995</v>
      </c>
      <c r="G195" s="76">
        <f>g_fbkf!B195</f>
        <v>530.42076847843748</v>
      </c>
      <c r="H195" s="76">
        <f>g_transfers!B195</f>
        <v>946.04266250374576</v>
      </c>
      <c r="I195">
        <f>tax_receipts!C195</f>
        <v>451.44547999999998</v>
      </c>
      <c r="J195">
        <f>tax_receipts!F195</f>
        <v>180.87045999999998</v>
      </c>
      <c r="K195" s="148">
        <f>J195*tax_receipts!G195/(tax_receipts!G195+tax_receipts!H195)</f>
        <v>45.426443872491539</v>
      </c>
      <c r="L195" s="148">
        <f t="shared" ref="L195:L241" si="3">J195-K195</f>
        <v>135.44401612750843</v>
      </c>
      <c r="M195">
        <f>debt!B195</f>
        <v>7725.5789999999997</v>
      </c>
      <c r="N195">
        <f>debt!C195</f>
        <v>21266.814000000002</v>
      </c>
      <c r="O195">
        <f>debt!D195</f>
        <v>13078.619035330001</v>
      </c>
      <c r="P195">
        <f>real_exchange_rate!B195</f>
        <v>87.037950399508546</v>
      </c>
      <c r="Q195" s="213">
        <v>15649.244280000001</v>
      </c>
    </row>
    <row r="196" spans="1:17" x14ac:dyDescent="0.35">
      <c r="A196" s="61">
        <v>42430</v>
      </c>
      <c r="B196" s="54">
        <v>0.2972727272727273</v>
      </c>
      <c r="C196" s="81">
        <f>oilprice!B196</f>
        <v>28.444994609403285</v>
      </c>
      <c r="D196" s="81">
        <f>EMBI!B196</f>
        <v>1186.9354838709678</v>
      </c>
      <c r="E196" s="76">
        <f>g_consumption!B196</f>
        <v>367.05280289000058</v>
      </c>
      <c r="F196" s="76">
        <f>g_wages!B196</f>
        <v>871.91294678000008</v>
      </c>
      <c r="G196" s="76">
        <f>g_fbkf!B196</f>
        <v>608.58507839753099</v>
      </c>
      <c r="H196" s="76">
        <f>g_transfers!B196</f>
        <v>820.73214561884902</v>
      </c>
      <c r="I196">
        <f>tax_receipts!C196</f>
        <v>461.16876999999999</v>
      </c>
      <c r="J196">
        <f>tax_receipts!F196</f>
        <v>328.62600000000003</v>
      </c>
      <c r="K196" s="148">
        <f>J196*tax_receipts!G196/(tax_receipts!G196+tax_receipts!H196)</f>
        <v>212.53356482195039</v>
      </c>
      <c r="L196" s="148">
        <f t="shared" si="3"/>
        <v>116.09243517804964</v>
      </c>
      <c r="M196">
        <f>debt!B196</f>
        <v>7800.43</v>
      </c>
      <c r="N196">
        <f>debt!C196</f>
        <v>21091.933000000001</v>
      </c>
      <c r="O196">
        <f>debt!D196</f>
        <v>13863.410839009997</v>
      </c>
      <c r="P196">
        <f>real_exchange_rate!B196</f>
        <v>87.394904803326114</v>
      </c>
      <c r="Q196" s="213">
        <v>17096.985509999999</v>
      </c>
    </row>
    <row r="197" spans="1:17" x14ac:dyDescent="0.35">
      <c r="A197" s="61">
        <v>42461</v>
      </c>
      <c r="B197" s="54">
        <v>0.2280952380952381</v>
      </c>
      <c r="C197" s="81">
        <f>oilprice!B197</f>
        <v>34.297850373444319</v>
      </c>
      <c r="D197" s="81">
        <f>EMBI!B197</f>
        <v>1076.5999999999999</v>
      </c>
      <c r="E197" s="76">
        <f>g_consumption!B197</f>
        <v>392.33357327999818</v>
      </c>
      <c r="F197" s="76">
        <f>g_wages!B197</f>
        <v>800.57156236999981</v>
      </c>
      <c r="G197" s="76">
        <f>g_fbkf!B197</f>
        <v>618.24972175999994</v>
      </c>
      <c r="H197" s="76">
        <f>g_transfers!B197</f>
        <v>820.54552210104498</v>
      </c>
      <c r="I197">
        <f>tax_receipts!C197</f>
        <v>466.30957000000001</v>
      </c>
      <c r="J197">
        <f>tax_receipts!F197</f>
        <v>778.82269000000008</v>
      </c>
      <c r="K197" s="148">
        <f>J197*tax_receipts!G197/(tax_receipts!G197+tax_receipts!H197)</f>
        <v>14.185707624590416</v>
      </c>
      <c r="L197" s="148">
        <f t="shared" si="3"/>
        <v>764.63698237540962</v>
      </c>
      <c r="M197">
        <f>debt!B197</f>
        <v>7955.2860000000001</v>
      </c>
      <c r="N197">
        <f>debt!C197</f>
        <v>21252.834999999999</v>
      </c>
      <c r="O197">
        <f>debt!D197</f>
        <v>12919.425007799997</v>
      </c>
      <c r="P197">
        <f>real_exchange_rate!B197</f>
        <v>87.771520105169955</v>
      </c>
      <c r="Q197" s="213">
        <v>16652.975879999998</v>
      </c>
    </row>
    <row r="198" spans="1:17" x14ac:dyDescent="0.35">
      <c r="A198" s="61">
        <v>42491</v>
      </c>
      <c r="B198" s="54">
        <v>0.27666666666666667</v>
      </c>
      <c r="C198" s="81">
        <f>oilprice!B198</f>
        <v>37.594736417093671</v>
      </c>
      <c r="D198" s="81">
        <f>EMBI!B198</f>
        <v>910.54838709677415</v>
      </c>
      <c r="E198" s="76">
        <f>g_consumption!B198</f>
        <v>407.45570662000313</v>
      </c>
      <c r="F198" s="76">
        <f>g_wages!B198</f>
        <v>765.7886722500009</v>
      </c>
      <c r="G198" s="76">
        <f>g_fbkf!B198</f>
        <v>553.12065746646374</v>
      </c>
      <c r="H198" s="76">
        <f>g_transfers!B198</f>
        <v>736.07250934371109</v>
      </c>
      <c r="I198">
        <f>tax_receipts!C198</f>
        <v>465.75209999999998</v>
      </c>
      <c r="J198">
        <f>tax_receipts!F198</f>
        <v>238.13593</v>
      </c>
      <c r="K198" s="148">
        <f>J198*tax_receipts!G198/(tax_receipts!G198+tax_receipts!H198)</f>
        <v>38.5469095311039</v>
      </c>
      <c r="L198" s="148">
        <f t="shared" si="3"/>
        <v>199.58902046889611</v>
      </c>
      <c r="M198">
        <f>debt!B198</f>
        <v>7938.116</v>
      </c>
      <c r="N198">
        <f>debt!C198</f>
        <v>21254.021000000001</v>
      </c>
      <c r="O198">
        <f>debt!D198</f>
        <v>13038.789526559998</v>
      </c>
      <c r="P198">
        <f>real_exchange_rate!B198</f>
        <v>88.673515356816011</v>
      </c>
      <c r="Q198" s="213">
        <v>17225.67859</v>
      </c>
    </row>
    <row r="199" spans="1:17" x14ac:dyDescent="0.35">
      <c r="A199" s="61">
        <v>42522</v>
      </c>
      <c r="B199" s="54">
        <v>0.27272727272727271</v>
      </c>
      <c r="C199" s="81">
        <f>oilprice!B199</f>
        <v>39.922784328972028</v>
      </c>
      <c r="D199" s="81">
        <f>EMBI!B199</f>
        <v>893.36666666666667</v>
      </c>
      <c r="E199" s="76">
        <f>g_consumption!B199</f>
        <v>385.81598006999997</v>
      </c>
      <c r="F199" s="76">
        <f>g_wages!B199</f>
        <v>788.9478690799989</v>
      </c>
      <c r="G199" s="76">
        <f>g_fbkf!B199</f>
        <v>661.0055749105436</v>
      </c>
      <c r="H199" s="76">
        <f>g_transfers!B199</f>
        <v>782.62830791017348</v>
      </c>
      <c r="I199">
        <f>tax_receipts!C199</f>
        <v>513.15209000000004</v>
      </c>
      <c r="J199">
        <f>tax_receipts!F199</f>
        <v>212.18038000000001</v>
      </c>
      <c r="K199" s="148">
        <f>J199*tax_receipts!G199/(tax_receipts!G199+tax_receipts!H199)</f>
        <v>52.247832892134475</v>
      </c>
      <c r="L199" s="148">
        <f t="shared" si="3"/>
        <v>159.93254710786553</v>
      </c>
      <c r="M199">
        <f>debt!B199</f>
        <v>8030.1509999999998</v>
      </c>
      <c r="N199">
        <f>debt!C199</f>
        <v>22575.196999999996</v>
      </c>
      <c r="O199">
        <f>debt!D199</f>
        <v>12906.233971309997</v>
      </c>
      <c r="P199">
        <f>real_exchange_rate!B199</f>
        <v>89.368406256861761</v>
      </c>
      <c r="Q199" s="213">
        <v>16501.853320000002</v>
      </c>
    </row>
    <row r="200" spans="1:17" x14ac:dyDescent="0.35">
      <c r="A200" s="61">
        <v>42552</v>
      </c>
      <c r="B200" s="54">
        <v>0.30099999999999999</v>
      </c>
      <c r="C200" s="81">
        <f>oilprice!B200</f>
        <v>35.20784312487536</v>
      </c>
      <c r="D200" s="81">
        <f>EMBI!B200</f>
        <v>880.12903225806451</v>
      </c>
      <c r="E200" s="76">
        <f>g_consumption!B200</f>
        <v>361.11018635999994</v>
      </c>
      <c r="F200" s="76">
        <f>g_wages!B200</f>
        <v>765.19322510000075</v>
      </c>
      <c r="G200" s="76">
        <f>g_fbkf!B200</f>
        <v>711.57356055182129</v>
      </c>
      <c r="H200" s="76">
        <f>g_transfers!B200</f>
        <v>709.60816039518204</v>
      </c>
      <c r="I200">
        <f>tax_receipts!C200</f>
        <v>494.68110000000001</v>
      </c>
      <c r="J200">
        <f>tax_receipts!F200</f>
        <v>320.74083642999994</v>
      </c>
      <c r="K200" s="148">
        <f>J200*tax_receipts!G200/(tax_receipts!G200+tax_receipts!H200)</f>
        <v>46.369827951175253</v>
      </c>
      <c r="L200" s="148">
        <f t="shared" si="3"/>
        <v>274.37100847882471</v>
      </c>
      <c r="M200">
        <f>debt!B200</f>
        <v>8478.6679999999997</v>
      </c>
      <c r="N200">
        <f>debt!C200</f>
        <v>23647.936999999994</v>
      </c>
      <c r="O200">
        <f>debt!D200</f>
        <v>12936.09202828</v>
      </c>
      <c r="P200">
        <f>real_exchange_rate!B200</f>
        <v>90.328689938659195</v>
      </c>
      <c r="Q200" s="213">
        <v>16909.76698</v>
      </c>
    </row>
    <row r="201" spans="1:17" x14ac:dyDescent="0.35">
      <c r="A201" s="61">
        <v>42583</v>
      </c>
      <c r="B201" s="54">
        <v>0.29956521739130437</v>
      </c>
      <c r="C201" s="81">
        <f>oilprice!B201</f>
        <v>36.866200838742316</v>
      </c>
      <c r="D201" s="81">
        <f>EMBI!B201</f>
        <v>865.32258064516134</v>
      </c>
      <c r="E201" s="76">
        <f>g_consumption!B201</f>
        <v>400.84064266999997</v>
      </c>
      <c r="F201" s="76">
        <f>g_wages!B201</f>
        <v>897.28280402999917</v>
      </c>
      <c r="G201" s="76">
        <f>g_fbkf!B201</f>
        <v>891.33169508750336</v>
      </c>
      <c r="H201" s="76">
        <f>g_transfers!B201</f>
        <v>918.53737862417393</v>
      </c>
      <c r="I201">
        <f>tax_receipts!C201</f>
        <v>531.88525000000004</v>
      </c>
      <c r="J201">
        <f>tax_receipts!F201</f>
        <v>219.18910000000002</v>
      </c>
      <c r="K201" s="148">
        <f>J201*tax_receipts!G201/(tax_receipts!G201+tax_receipts!H201)</f>
        <v>51.893788746266956</v>
      </c>
      <c r="L201" s="148">
        <f t="shared" si="3"/>
        <v>167.29531125373308</v>
      </c>
      <c r="M201">
        <f>debt!B201</f>
        <v>8501.5969999999998</v>
      </c>
      <c r="N201">
        <f>debt!C201</f>
        <v>23624.595000000001</v>
      </c>
      <c r="O201">
        <f>debt!D201</f>
        <v>13186.759919089998</v>
      </c>
      <c r="P201">
        <f>real_exchange_rate!B201</f>
        <v>91.836606230271983</v>
      </c>
      <c r="Q201" s="213">
        <v>17014.778079999996</v>
      </c>
    </row>
    <row r="202" spans="1:17" x14ac:dyDescent="0.35">
      <c r="A202" s="61">
        <v>42614</v>
      </c>
      <c r="B202" s="54">
        <v>0.29428571428571426</v>
      </c>
      <c r="C202" s="81">
        <f>oilprice!B202</f>
        <v>38.807473086457769</v>
      </c>
      <c r="D202" s="81">
        <f>EMBI!B202</f>
        <v>856.9666666666667</v>
      </c>
      <c r="E202" s="76">
        <f>g_consumption!B202</f>
        <v>401.12253330000789</v>
      </c>
      <c r="F202" s="76">
        <f>g_wages!B202</f>
        <v>772.54135293000786</v>
      </c>
      <c r="G202" s="76">
        <f>g_fbkf!B202</f>
        <v>1070.605549657477</v>
      </c>
      <c r="H202" s="76">
        <f>g_transfers!B202</f>
        <v>802.37292359556432</v>
      </c>
      <c r="I202">
        <f>tax_receipts!C202</f>
        <v>491.77593999999999</v>
      </c>
      <c r="J202">
        <f>tax_receipts!F202</f>
        <v>329.12299999999999</v>
      </c>
      <c r="K202" s="148">
        <f>J202*tax_receipts!G202/(tax_receipts!G202+tax_receipts!H202)</f>
        <v>56.356513382401701</v>
      </c>
      <c r="L202" s="148">
        <f t="shared" si="3"/>
        <v>272.76648661759828</v>
      </c>
      <c r="M202">
        <f>debt!B202</f>
        <v>8398.2950000000001</v>
      </c>
      <c r="N202">
        <f>debt!C202</f>
        <v>24582.876</v>
      </c>
      <c r="O202">
        <f>debt!D202</f>
        <v>12403.517750410001</v>
      </c>
      <c r="P202">
        <f>real_exchange_rate!B202</f>
        <v>92.443500088561464</v>
      </c>
      <c r="Q202" s="213">
        <v>16795.864310000001</v>
      </c>
    </row>
    <row r="203" spans="1:17" x14ac:dyDescent="0.35">
      <c r="A203" s="61">
        <v>42644</v>
      </c>
      <c r="B203" s="54">
        <v>0.33150000000000002</v>
      </c>
      <c r="C203" s="81">
        <f>oilprice!B203</f>
        <v>40.92582132786977</v>
      </c>
      <c r="D203" s="81">
        <f>EMBI!B203</f>
        <v>773.0322580645161</v>
      </c>
      <c r="E203" s="76">
        <f>g_consumption!B203</f>
        <v>439.20668316999979</v>
      </c>
      <c r="F203" s="76">
        <f>g_wages!B203</f>
        <v>785.88097353999945</v>
      </c>
      <c r="G203" s="76">
        <f>g_fbkf!B203</f>
        <v>844.34290564321736</v>
      </c>
      <c r="H203" s="76">
        <f>g_transfers!B203</f>
        <v>910.56690369101898</v>
      </c>
      <c r="I203">
        <f>tax_receipts!C203</f>
        <v>567.18401999999992</v>
      </c>
      <c r="J203">
        <f>tax_receipts!F203</f>
        <v>246.28507000000002</v>
      </c>
      <c r="K203" s="148">
        <f>J203*tax_receipts!G203/(tax_receipts!G203+tax_receipts!H203)</f>
        <v>32.207378613243627</v>
      </c>
      <c r="L203" s="148">
        <f t="shared" si="3"/>
        <v>214.07769138675638</v>
      </c>
      <c r="M203">
        <f>debt!B203</f>
        <v>8439.4369999999999</v>
      </c>
      <c r="N203">
        <f>debt!C203</f>
        <v>24576.006999999998</v>
      </c>
      <c r="O203">
        <f>debt!D203</f>
        <v>12532.966976050002</v>
      </c>
      <c r="P203">
        <f>real_exchange_rate!B203</f>
        <v>93.159529859334015</v>
      </c>
      <c r="Q203" s="213">
        <v>17125.609179999999</v>
      </c>
    </row>
    <row r="204" spans="1:17" x14ac:dyDescent="0.35">
      <c r="A204" s="61">
        <v>42675</v>
      </c>
      <c r="B204" s="54">
        <v>0.45250000000000001</v>
      </c>
      <c r="C204" s="81">
        <f>oilprice!B204</f>
        <v>38.761003721525825</v>
      </c>
      <c r="D204" s="81">
        <f>EMBI!B204</f>
        <v>763.56666666666672</v>
      </c>
      <c r="E204" s="76">
        <f>g_consumption!B204</f>
        <v>439.19021982999999</v>
      </c>
      <c r="F204" s="76">
        <f>g_wages!B204</f>
        <v>771.57923866998397</v>
      </c>
      <c r="G204" s="76">
        <f>g_fbkf!B204</f>
        <v>1190.9849703873401</v>
      </c>
      <c r="H204" s="76">
        <f>g_transfers!B204</f>
        <v>879.70075764117337</v>
      </c>
      <c r="I204">
        <f>tax_receipts!C204</f>
        <v>530.91687999999999</v>
      </c>
      <c r="J204">
        <f>tax_receipts!F204</f>
        <v>220.69154</v>
      </c>
      <c r="K204" s="148">
        <f>J204*tax_receipts!G204/(tax_receipts!G204+tax_receipts!H204)</f>
        <v>58.5365071452687</v>
      </c>
      <c r="L204" s="148">
        <f t="shared" si="3"/>
        <v>162.1550328547313</v>
      </c>
      <c r="M204">
        <f>debt!B204</f>
        <v>8147.5339999999997</v>
      </c>
      <c r="N204">
        <f>debt!C204</f>
        <v>24755.195</v>
      </c>
      <c r="O204">
        <f>debt!D204</f>
        <v>12468.113913610001</v>
      </c>
      <c r="P204">
        <f>real_exchange_rate!B204</f>
        <v>92.437537895628608</v>
      </c>
      <c r="Q204" s="213">
        <v>16315.292080000001</v>
      </c>
    </row>
    <row r="205" spans="1:17" x14ac:dyDescent="0.35">
      <c r="A205" s="61">
        <v>42705</v>
      </c>
      <c r="B205" s="54">
        <v>0.51190476190476186</v>
      </c>
      <c r="C205" s="81">
        <f>oilprice!B205</f>
        <v>44.231212734998557</v>
      </c>
      <c r="D205" s="81">
        <f>EMBI!B205</f>
        <v>670.58064516129036</v>
      </c>
      <c r="E205" s="76">
        <f>g_consumption!B205</f>
        <v>538.26328995003564</v>
      </c>
      <c r="F205" s="76">
        <f>g_wages!B205</f>
        <v>1317.034503599964</v>
      </c>
      <c r="G205" s="76">
        <f>g_fbkf!B205</f>
        <v>2175.3488015611083</v>
      </c>
      <c r="H205" s="76">
        <f>g_transfers!B205</f>
        <v>1145.2354367238086</v>
      </c>
      <c r="I205">
        <f>tax_receipts!C205</f>
        <v>551.31625278685806</v>
      </c>
      <c r="J205">
        <f>tax_receipts!F205</f>
        <v>246.45166857000001</v>
      </c>
      <c r="K205" s="148">
        <f>J205*tax_receipts!G205/(tax_receipts!G205+tax_receipts!H205)</f>
        <v>28.759978888268808</v>
      </c>
      <c r="L205" s="148">
        <f t="shared" si="3"/>
        <v>217.69168968173119</v>
      </c>
      <c r="M205">
        <f>debt!B205</f>
        <v>8469.5499999999993</v>
      </c>
      <c r="N205">
        <f>debt!C205</f>
        <v>25679.929</v>
      </c>
      <c r="O205">
        <f>debt!D205</f>
        <v>12457.36496563</v>
      </c>
      <c r="P205">
        <f>real_exchange_rate!B205</f>
        <v>92.629584152092377</v>
      </c>
      <c r="Q205" s="213">
        <v>16862.6921</v>
      </c>
    </row>
    <row r="206" spans="1:17" x14ac:dyDescent="0.35">
      <c r="A206" s="61">
        <v>42736</v>
      </c>
      <c r="B206" s="54">
        <v>0.51900000000000002</v>
      </c>
      <c r="C206" s="81">
        <f>oilprice!B206</f>
        <v>44.764515040777376</v>
      </c>
      <c r="D206" s="81">
        <f>EMBI!B206</f>
        <v>611.54838709677415</v>
      </c>
      <c r="E206" s="76">
        <f>g_consumption!B206</f>
        <v>249.62394123999988</v>
      </c>
      <c r="F206" s="76">
        <f>g_wages!B206</f>
        <v>707.99592577999931</v>
      </c>
      <c r="G206" s="76">
        <f>g_fbkf!B206</f>
        <v>347.0646673047637</v>
      </c>
      <c r="H206" s="76">
        <f>g_transfers!B206</f>
        <v>829.20525408468802</v>
      </c>
      <c r="I206">
        <f>tax_receipts!C206</f>
        <v>742.11604799162001</v>
      </c>
      <c r="J206">
        <f>tax_receipts!F206</f>
        <v>308.43684178000001</v>
      </c>
      <c r="K206" s="148">
        <f>J206*tax_receipts!G206/(tax_receipts!G206+tax_receipts!H206)</f>
        <v>47.944425172469458</v>
      </c>
      <c r="L206" s="148">
        <f t="shared" si="3"/>
        <v>260.49241660753057</v>
      </c>
      <c r="M206">
        <f>debt!B206</f>
        <v>8492.5750000000007</v>
      </c>
      <c r="N206">
        <f>debt!C206</f>
        <v>26389.162</v>
      </c>
      <c r="O206">
        <f>debt!D206</f>
        <v>12994.06461655</v>
      </c>
      <c r="P206">
        <f>real_exchange_rate!B206</f>
        <v>94.330612084688298</v>
      </c>
      <c r="Q206" s="215">
        <v>16623.709140000003</v>
      </c>
    </row>
    <row r="207" spans="1:17" x14ac:dyDescent="0.35">
      <c r="A207" s="61">
        <v>42767</v>
      </c>
      <c r="B207" s="54">
        <v>0.52631578947368418</v>
      </c>
      <c r="C207" s="81">
        <f>oilprice!B207</f>
        <v>44.331499291653969</v>
      </c>
      <c r="D207" s="81">
        <f>EMBI!B207</f>
        <v>609.28571428571433</v>
      </c>
      <c r="E207" s="76">
        <f>g_consumption!B207</f>
        <v>340.98423372999957</v>
      </c>
      <c r="F207" s="76">
        <f>g_wages!B207</f>
        <v>833.9054707199972</v>
      </c>
      <c r="G207" s="76">
        <f>g_fbkf!B207</f>
        <v>755.65803776725431</v>
      </c>
      <c r="H207" s="76">
        <f>g_transfers!B207</f>
        <v>806.10540488708</v>
      </c>
      <c r="I207">
        <f>tax_receipts!C207</f>
        <v>479.904815426082</v>
      </c>
      <c r="J207">
        <f>tax_receipts!F207</f>
        <v>202.35499999999999</v>
      </c>
      <c r="K207" s="148">
        <f>J207*tax_receipts!G207/(tax_receipts!G207+tax_receipts!H207)</f>
        <v>35.850248090144078</v>
      </c>
      <c r="L207" s="148">
        <f t="shared" si="3"/>
        <v>166.50475190985591</v>
      </c>
      <c r="M207">
        <f>debt!B207</f>
        <v>8470.6820000000007</v>
      </c>
      <c r="N207">
        <f>debt!C207</f>
        <v>26500.074000000001</v>
      </c>
      <c r="O207">
        <f>debt!D207</f>
        <v>15446.823062550002</v>
      </c>
      <c r="P207">
        <f>real_exchange_rate!B207</f>
        <v>96.260945259115545</v>
      </c>
      <c r="Q207" s="215">
        <v>14984.27339499998</v>
      </c>
    </row>
    <row r="208" spans="1:17" x14ac:dyDescent="0.35">
      <c r="A208" s="61">
        <v>42795</v>
      </c>
      <c r="B208" s="54">
        <v>0.74782608695652175</v>
      </c>
      <c r="C208" s="81">
        <f>oilprice!B208</f>
        <v>42.71000589421751</v>
      </c>
      <c r="D208" s="81">
        <f>EMBI!B208</f>
        <v>613.90322580645159</v>
      </c>
      <c r="E208" s="76">
        <f>g_consumption!B208</f>
        <v>468.81804501999875</v>
      </c>
      <c r="F208" s="76">
        <f>g_wages!B208</f>
        <v>871.89658600101177</v>
      </c>
      <c r="G208" s="76">
        <f>g_fbkf!B208</f>
        <v>946.2626489598174</v>
      </c>
      <c r="H208" s="76">
        <f>g_transfers!B208</f>
        <v>953.37247316827995</v>
      </c>
      <c r="I208">
        <f>tax_receipts!C208</f>
        <v>522.96134733956205</v>
      </c>
      <c r="J208">
        <f>tax_receipts!F208</f>
        <v>287.64860984000001</v>
      </c>
      <c r="K208" s="148">
        <f>J208*tax_receipts!G208/(tax_receipts!G208+tax_receipts!H208)</f>
        <v>221.56387567636207</v>
      </c>
      <c r="L208" s="148">
        <f t="shared" si="3"/>
        <v>66.084734163637933</v>
      </c>
      <c r="M208">
        <f>debt!B208</f>
        <v>8344.6189999999988</v>
      </c>
      <c r="N208">
        <f>debt!C208</f>
        <v>26487.343999999997</v>
      </c>
      <c r="O208">
        <f>debt!D208</f>
        <v>16622.66187855</v>
      </c>
      <c r="P208">
        <f>real_exchange_rate!B208</f>
        <v>97.019161977984382</v>
      </c>
      <c r="Q208" s="215">
        <v>16452.784061000002</v>
      </c>
    </row>
    <row r="209" spans="1:17" x14ac:dyDescent="0.35">
      <c r="A209" s="61">
        <v>42826</v>
      </c>
      <c r="B209" s="54">
        <v>0.80842105263157893</v>
      </c>
      <c r="C209" s="81">
        <f>oilprice!B209</f>
        <v>44.692400081830343</v>
      </c>
      <c r="D209" s="81">
        <f>EMBI!B209</f>
        <v>704.7</v>
      </c>
      <c r="E209" s="76">
        <f>g_consumption!B209</f>
        <v>409.01702221999818</v>
      </c>
      <c r="F209" s="76">
        <f>g_wages!B209</f>
        <v>844.26007925001727</v>
      </c>
      <c r="G209" s="76">
        <f>g_fbkf!B209</f>
        <v>800.61448575951601</v>
      </c>
      <c r="H209" s="76">
        <f>g_transfers!B209</f>
        <v>919.83479530595991</v>
      </c>
      <c r="I209">
        <f>tax_receipts!C209</f>
        <v>551.45100000000002</v>
      </c>
      <c r="J209">
        <f>tax_receipts!F209</f>
        <v>883.03400348000298</v>
      </c>
      <c r="K209" s="148">
        <f>J209*tax_receipts!G209/(tax_receipts!G209+tax_receipts!H209)</f>
        <v>17.627316871557497</v>
      </c>
      <c r="L209" s="148">
        <f t="shared" si="3"/>
        <v>865.40668660844551</v>
      </c>
      <c r="M209">
        <f>debt!B209</f>
        <v>8307.3559999999979</v>
      </c>
      <c r="N209">
        <f>debt!C209</f>
        <v>26908.757000000001</v>
      </c>
      <c r="O209">
        <f>debt!D209</f>
        <v>16772.788436549999</v>
      </c>
      <c r="P209">
        <f>real_exchange_rate!B209</f>
        <v>98.390459784183804</v>
      </c>
      <c r="Q209" s="215">
        <v>15843.669611999989</v>
      </c>
    </row>
    <row r="210" spans="1:17" x14ac:dyDescent="0.35">
      <c r="A210" s="61">
        <v>42856</v>
      </c>
      <c r="B210" s="54">
        <v>0.9031818181818182</v>
      </c>
      <c r="C210" s="81">
        <f>oilprice!B210</f>
        <v>41.434196449587908</v>
      </c>
      <c r="D210" s="81">
        <f>EMBI!B210</f>
        <v>665.38709677419354</v>
      </c>
      <c r="E210" s="76">
        <f>g_consumption!B210</f>
        <v>443.83494014000223</v>
      </c>
      <c r="F210" s="76">
        <f>g_wages!B210</f>
        <v>792.27975602009553</v>
      </c>
      <c r="G210" s="76">
        <f>g_fbkf!B210</f>
        <v>553.0829615114161</v>
      </c>
      <c r="H210" s="76">
        <f>g_transfers!B210</f>
        <v>872.12905986400006</v>
      </c>
      <c r="I210">
        <f>tax_receipts!C210</f>
        <v>554.42399999999998</v>
      </c>
      <c r="J210">
        <f>tax_receipts!F210</f>
        <v>235.29900000000001</v>
      </c>
      <c r="K210" s="148">
        <f>J210*tax_receipts!G210/(tax_receipts!G210+tax_receipts!H210)</f>
        <v>57.614177913973748</v>
      </c>
      <c r="L210" s="148">
        <f t="shared" si="3"/>
        <v>177.68482208602626</v>
      </c>
      <c r="M210">
        <f>debt!B210</f>
        <v>8309.849000000002</v>
      </c>
      <c r="N210">
        <f>debt!C210</f>
        <v>26896.607</v>
      </c>
      <c r="O210">
        <f>debt!D210</f>
        <v>14997.056603550001</v>
      </c>
      <c r="P210">
        <f>real_exchange_rate!B210</f>
        <v>99.27870161124342</v>
      </c>
      <c r="Q210" s="215">
        <v>16527.703872999995</v>
      </c>
    </row>
    <row r="211" spans="1:17" x14ac:dyDescent="0.35">
      <c r="A211" s="61">
        <v>42887</v>
      </c>
      <c r="B211" s="54">
        <v>0.99909090909090914</v>
      </c>
      <c r="C211" s="81">
        <f>oilprice!B211</f>
        <v>40.22802295407665</v>
      </c>
      <c r="D211" s="81">
        <f>EMBI!B211</f>
        <v>711.3</v>
      </c>
      <c r="E211" s="76">
        <f>g_consumption!B211</f>
        <v>489.27869492999884</v>
      </c>
      <c r="F211" s="76">
        <f>g_wages!B211</f>
        <v>807.39559228112046</v>
      </c>
      <c r="G211" s="76">
        <f>g_fbkf!B211</f>
        <v>476.35780788841043</v>
      </c>
      <c r="H211" s="76">
        <f>g_transfers!B211</f>
        <v>859.3929863976</v>
      </c>
      <c r="I211">
        <f>tax_receipts!C211</f>
        <v>567.31564000000003</v>
      </c>
      <c r="J211">
        <f>tax_receipts!F211</f>
        <v>232.77600000000001</v>
      </c>
      <c r="K211" s="148">
        <f>J211*tax_receipts!G211/(tax_receipts!G211+tax_receipts!H211)</f>
        <v>57.98180899515711</v>
      </c>
      <c r="L211" s="148">
        <f t="shared" si="3"/>
        <v>174.7941910048429</v>
      </c>
      <c r="M211">
        <f>debt!B211</f>
        <v>8418.1039999999994</v>
      </c>
      <c r="N211">
        <f>debt!C211</f>
        <v>28552.53</v>
      </c>
      <c r="O211">
        <f>debt!D211</f>
        <v>14990.068695550002</v>
      </c>
      <c r="P211">
        <f>real_exchange_rate!B211</f>
        <v>100.18122483216507</v>
      </c>
      <c r="Q211" s="215">
        <v>16197.208450999988</v>
      </c>
    </row>
    <row r="212" spans="1:17" x14ac:dyDescent="0.35">
      <c r="A212" s="61">
        <v>42917</v>
      </c>
      <c r="B212" s="54">
        <v>1.0865</v>
      </c>
      <c r="C212" s="81">
        <f>oilprice!B212</f>
        <v>40.753766422289893</v>
      </c>
      <c r="D212" s="81">
        <f>EMBI!B212</f>
        <v>689</v>
      </c>
      <c r="E212" s="76">
        <f>g_consumption!B212</f>
        <v>430.3790651300032</v>
      </c>
      <c r="F212" s="76">
        <f>g_wages!B212</f>
        <v>796.21253336908433</v>
      </c>
      <c r="G212" s="76">
        <f>g_fbkf!B212</f>
        <v>479.4053731595306</v>
      </c>
      <c r="H212" s="76">
        <f>g_transfers!B212</f>
        <v>766.19135726000013</v>
      </c>
      <c r="I212">
        <f>tax_receipts!C212</f>
        <v>577.75300000000004</v>
      </c>
      <c r="J212">
        <f>tax_receipts!F212</f>
        <v>321.51600000000002</v>
      </c>
      <c r="K212" s="148">
        <f>J212*tax_receipts!G212/(tax_receipts!G212+tax_receipts!H212)</f>
        <v>93.191381368434392</v>
      </c>
      <c r="L212" s="148">
        <f t="shared" si="3"/>
        <v>228.32461863156561</v>
      </c>
      <c r="M212">
        <f>debt!B212</f>
        <v>8370.889000000001</v>
      </c>
      <c r="N212">
        <f>debt!C212</f>
        <v>28620.816000000003</v>
      </c>
      <c r="O212">
        <f>debt!D212</f>
        <v>14975.520139550004</v>
      </c>
      <c r="P212">
        <f>real_exchange_rate!B212</f>
        <v>100.53924372392555</v>
      </c>
      <c r="Q212" s="215">
        <v>16775.42115699999</v>
      </c>
    </row>
    <row r="213" spans="1:17" x14ac:dyDescent="0.35">
      <c r="A213" s="61">
        <v>42948</v>
      </c>
      <c r="B213" s="54">
        <v>1.0321739130434782</v>
      </c>
      <c r="C213" s="81">
        <f>oilprice!B213</f>
        <v>43.030824038187625</v>
      </c>
      <c r="D213" s="81">
        <f>EMBI!B213</f>
        <v>641.06451612903231</v>
      </c>
      <c r="E213" s="76">
        <f>g_consumption!B213</f>
        <v>372.61119983750228</v>
      </c>
      <c r="F213" s="76">
        <f>g_wages!B213</f>
        <v>938.72217508261053</v>
      </c>
      <c r="G213" s="76">
        <f>g_fbkf!B213</f>
        <v>506.73432185121931</v>
      </c>
      <c r="H213" s="76">
        <f>g_transfers!B213</f>
        <v>999.01684291999993</v>
      </c>
      <c r="I213">
        <f>tax_receipts!C213</f>
        <v>580.54530999999997</v>
      </c>
      <c r="J213">
        <f>tax_receipts!F213</f>
        <v>222.88067000000001</v>
      </c>
      <c r="K213" s="148">
        <f>J213*tax_receipts!G213/(tax_receipts!G213+tax_receipts!H213)</f>
        <v>52.319748447028182</v>
      </c>
      <c r="L213" s="148">
        <f t="shared" si="3"/>
        <v>170.56092155297182</v>
      </c>
      <c r="M213">
        <f>debt!B213</f>
        <v>8403.5809999999983</v>
      </c>
      <c r="N213">
        <f>debt!C213</f>
        <v>28659.713</v>
      </c>
      <c r="O213">
        <f>debt!D213</f>
        <v>14952.179308550003</v>
      </c>
      <c r="P213">
        <f>real_exchange_rate!B213</f>
        <v>101.78661875174372</v>
      </c>
      <c r="Q213" s="215">
        <v>16615.270476000012</v>
      </c>
    </row>
    <row r="214" spans="1:17" x14ac:dyDescent="0.35">
      <c r="A214" s="61">
        <v>42979</v>
      </c>
      <c r="B214" s="54">
        <v>1.0465</v>
      </c>
      <c r="C214" s="81">
        <f>oilprice!B214</f>
        <v>46.731005266324871</v>
      </c>
      <c r="D214" s="81">
        <f>EMBI!B214</f>
        <v>628.5333333333333</v>
      </c>
      <c r="E214" s="76">
        <f>g_consumption!B214</f>
        <v>395.60169210749905</v>
      </c>
      <c r="F214" s="76">
        <f>g_wages!B214</f>
        <v>793.83186542261524</v>
      </c>
      <c r="G214" s="76">
        <f>g_fbkf!B214</f>
        <v>481.76969591199764</v>
      </c>
      <c r="H214" s="76">
        <f>g_transfers!B214</f>
        <v>877.67342316000008</v>
      </c>
      <c r="I214">
        <f>tax_receipts!C214</f>
        <v>559.94260999999995</v>
      </c>
      <c r="J214">
        <f>tax_receipts!F214</f>
        <v>342.41651000000002</v>
      </c>
      <c r="K214" s="148">
        <f>J214*tax_receipts!G214/(tax_receipts!G214+tax_receipts!H214)</f>
        <v>74.784601390324255</v>
      </c>
      <c r="L214" s="148">
        <f t="shared" si="3"/>
        <v>267.63190860967575</v>
      </c>
      <c r="M214">
        <f>debt!B214</f>
        <v>8387.7350000000006</v>
      </c>
      <c r="N214">
        <f>debt!C214</f>
        <v>28148.179</v>
      </c>
      <c r="O214">
        <f>debt!D214</f>
        <v>14961.330418550004</v>
      </c>
      <c r="P214">
        <f>real_exchange_rate!B214</f>
        <v>102.97374111438135</v>
      </c>
      <c r="Q214" s="215">
        <v>15867.669527000013</v>
      </c>
    </row>
    <row r="215" spans="1:17" x14ac:dyDescent="0.35">
      <c r="A215" s="61">
        <v>43009</v>
      </c>
      <c r="B215" s="54">
        <v>1.0933333333333333</v>
      </c>
      <c r="C215" s="81">
        <f>oilprice!B215</f>
        <v>50.435120266619002</v>
      </c>
      <c r="D215" s="81">
        <f>EMBI!B215</f>
        <v>572.51612903225805</v>
      </c>
      <c r="E215" s="76">
        <f>g_consumption!B215</f>
        <v>394.51929481250886</v>
      </c>
      <c r="F215" s="76">
        <f>g_wages!B215</f>
        <v>813.64388418759779</v>
      </c>
      <c r="G215" s="76">
        <f>g_fbkf!B215</f>
        <v>562.44378198195204</v>
      </c>
      <c r="H215" s="76">
        <f>g_transfers!B215</f>
        <v>838.43288905999998</v>
      </c>
      <c r="I215">
        <f>tax_receipts!C215</f>
        <v>571.5382803</v>
      </c>
      <c r="J215">
        <f>tax_receipts!F215</f>
        <v>241.63200000000001</v>
      </c>
      <c r="K215" s="148">
        <f>J215*tax_receipts!G215/(tax_receipts!G215+tax_receipts!H215)</f>
        <v>37.32221179032237</v>
      </c>
      <c r="L215" s="148">
        <f t="shared" si="3"/>
        <v>204.30978820967763</v>
      </c>
      <c r="M215">
        <f>debt!B215</f>
        <v>8413.735999999999</v>
      </c>
      <c r="N215">
        <f>debt!C215</f>
        <v>31210.700000000004</v>
      </c>
      <c r="O215">
        <f>debt!D215</f>
        <v>14957.375906550003</v>
      </c>
      <c r="P215">
        <f>real_exchange_rate!B215</f>
        <v>102.43838946730128</v>
      </c>
      <c r="Q215" s="215">
        <v>16295.277164000001</v>
      </c>
    </row>
    <row r="216" spans="1:17" x14ac:dyDescent="0.35">
      <c r="A216" s="61">
        <v>43040</v>
      </c>
      <c r="B216" s="54">
        <v>1.2504761904761905</v>
      </c>
      <c r="C216" s="81">
        <f>oilprice!B216</f>
        <v>54.612333870207692</v>
      </c>
      <c r="D216" s="81">
        <f>EMBI!B216</f>
        <v>540.73333333333335</v>
      </c>
      <c r="E216" s="76">
        <f>g_consumption!B216</f>
        <v>401.58048522749925</v>
      </c>
      <c r="F216" s="76">
        <f>g_wages!B216</f>
        <v>802.473261032614</v>
      </c>
      <c r="G216" s="76">
        <f>g_fbkf!B216</f>
        <v>913.15365569687719</v>
      </c>
      <c r="H216" s="76">
        <f>g_transfers!B216</f>
        <v>925.44004531999985</v>
      </c>
      <c r="I216">
        <f>tax_receipts!C216</f>
        <v>611.66696999999999</v>
      </c>
      <c r="J216">
        <f>tax_receipts!F216</f>
        <v>234.77799999999999</v>
      </c>
      <c r="K216" s="148">
        <f>J216*tax_receipts!G216/(tax_receipts!G216+tax_receipts!H216)</f>
        <v>51.889752606050017</v>
      </c>
      <c r="L216" s="148">
        <f t="shared" si="3"/>
        <v>182.88824739394997</v>
      </c>
      <c r="M216">
        <f>debt!B216</f>
        <v>8359.75</v>
      </c>
      <c r="N216">
        <f>debt!C216</f>
        <v>31626.989999999998</v>
      </c>
      <c r="O216">
        <f>debt!D216</f>
        <v>14927.833780550005</v>
      </c>
      <c r="P216">
        <f>real_exchange_rate!B216</f>
        <v>102.42251473200582</v>
      </c>
      <c r="Q216" s="215">
        <v>15631.170733000006</v>
      </c>
    </row>
    <row r="217" spans="1:17" x14ac:dyDescent="0.35">
      <c r="A217" s="61">
        <v>43070</v>
      </c>
      <c r="B217" s="54">
        <v>1.3414999999999999</v>
      </c>
      <c r="C217" s="81">
        <f>oilprice!B217</f>
        <v>56.43601152886658</v>
      </c>
      <c r="D217" s="81">
        <f>EMBI!B217</f>
        <v>469.90322580645159</v>
      </c>
      <c r="E217" s="76">
        <f>g_consumption!B217</f>
        <v>659.8012756499993</v>
      </c>
      <c r="F217" s="76">
        <f>g_wages!B217</f>
        <v>1362.8763402801283</v>
      </c>
      <c r="G217" s="76">
        <f>g_fbkf!B217</f>
        <v>1825.5165867472451</v>
      </c>
      <c r="H217" s="76">
        <f>g_transfers!B217</f>
        <v>1129.6121401999999</v>
      </c>
      <c r="I217">
        <f>tax_receipts!C217</f>
        <v>596.00277907646</v>
      </c>
      <c r="J217">
        <f>tax_receipts!F217</f>
        <v>251.25700000000001</v>
      </c>
      <c r="K217" s="148">
        <f>J217*tax_receipts!G217/(tax_receipts!G217+tax_receipts!H217)</f>
        <v>60.887985326039598</v>
      </c>
      <c r="L217" s="148">
        <f t="shared" si="3"/>
        <v>190.36901467396041</v>
      </c>
      <c r="M217">
        <f>debt!B217</f>
        <v>8199.7659999999996</v>
      </c>
      <c r="N217">
        <f>debt!C217</f>
        <v>31750.108</v>
      </c>
      <c r="O217">
        <f>debt!D217</f>
        <v>14785.697104550005</v>
      </c>
      <c r="P217">
        <f>real_exchange_rate!B217</f>
        <v>102.69879254526099</v>
      </c>
      <c r="Q217" s="215">
        <v>16114.93151800001</v>
      </c>
    </row>
    <row r="218" spans="1:17" x14ac:dyDescent="0.35">
      <c r="A218" s="61">
        <v>43101</v>
      </c>
      <c r="B218" s="54">
        <v>1.4323809523809523</v>
      </c>
      <c r="C218" s="81">
        <f>oilprice!B218</f>
        <v>60.347833221001288</v>
      </c>
      <c r="D218" s="81">
        <f>EMBI!B218</f>
        <v>452.06451612903226</v>
      </c>
      <c r="E218" s="76">
        <f>g_consumption!B218</f>
        <v>1051.0437504050005</v>
      </c>
      <c r="F218" s="76">
        <f>g_wages!B218</f>
        <v>2496.3492940359924</v>
      </c>
      <c r="G218" s="76">
        <f>g_fbkf!B218</f>
        <v>1188.9900977889188</v>
      </c>
      <c r="H218" s="76">
        <f>g_transfers!B218</f>
        <v>2829.2211515700001</v>
      </c>
      <c r="I218">
        <f>tax_receipts!C218</f>
        <v>741.9672351314581</v>
      </c>
      <c r="J218">
        <f>tax_receipts!F218</f>
        <v>385.91699999999997</v>
      </c>
      <c r="K218" s="148">
        <f>J218*tax_receipts!G218/(tax_receipts!G218+tax_receipts!H218)</f>
        <v>83.52277676666705</v>
      </c>
      <c r="L218" s="148">
        <f t="shared" si="3"/>
        <v>302.39422323333292</v>
      </c>
      <c r="M218">
        <f>debt!B218</f>
        <v>8235.5840000000007</v>
      </c>
      <c r="N218">
        <f>debt!C218</f>
        <v>34969.601999999992</v>
      </c>
      <c r="O218">
        <f>debt!D218</f>
        <v>14782.187118339998</v>
      </c>
      <c r="P218">
        <f>real_exchange_rate!B218</f>
        <v>104.57202312450794</v>
      </c>
      <c r="Q218" s="215">
        <v>15901.123170999996</v>
      </c>
    </row>
    <row r="219" spans="1:17" x14ac:dyDescent="0.35">
      <c r="A219" s="61">
        <v>43132</v>
      </c>
      <c r="B219" s="54">
        <v>1.5878947368421052</v>
      </c>
      <c r="C219" s="81">
        <f>oilprice!B219</f>
        <v>57.573325102216678</v>
      </c>
      <c r="D219" s="81">
        <f>EMBI!B219</f>
        <v>493.57142857142856</v>
      </c>
      <c r="E219" s="76">
        <f>g_consumption!B219</f>
        <v>1522.8893206200046</v>
      </c>
      <c r="F219" s="76">
        <f>g_wages!B219</f>
        <v>2532.7551406102284</v>
      </c>
      <c r="G219" s="76">
        <f>g_fbkf!B219</f>
        <v>1258.7921848248552</v>
      </c>
      <c r="H219" s="76">
        <f>g_transfers!B219</f>
        <v>3358.4367945713507</v>
      </c>
      <c r="I219">
        <f>tax_receipts!C219</f>
        <v>542.62225792286051</v>
      </c>
      <c r="J219">
        <f>tax_receipts!F219</f>
        <v>196.27600000000001</v>
      </c>
      <c r="K219" s="148">
        <f>J219*tax_receipts!G219/(tax_receipts!G219+tax_receipts!H219)</f>
        <v>57.158284409178229</v>
      </c>
      <c r="L219" s="148">
        <f t="shared" si="3"/>
        <v>139.11771559082177</v>
      </c>
      <c r="M219">
        <f>debt!B219</f>
        <v>8188.7509999999984</v>
      </c>
      <c r="N219">
        <f>debt!C219</f>
        <v>35053.210999999996</v>
      </c>
      <c r="O219">
        <f>debt!D219</f>
        <v>14772.855681839997</v>
      </c>
      <c r="P219">
        <f>real_exchange_rate!B219</f>
        <v>105.54468943783995</v>
      </c>
      <c r="Q219" s="215">
        <v>14355.301034000006</v>
      </c>
    </row>
    <row r="220" spans="1:17" x14ac:dyDescent="0.35">
      <c r="A220" s="61">
        <v>43160</v>
      </c>
      <c r="B220" s="54">
        <v>1.7266666666666668</v>
      </c>
      <c r="C220" s="81">
        <f>oilprice!B220</f>
        <v>57.013287402906421</v>
      </c>
      <c r="D220" s="81">
        <f>EMBI!B220</f>
        <v>546</v>
      </c>
      <c r="E220" s="76">
        <f>g_consumption!B220</f>
        <v>1667.8345581850017</v>
      </c>
      <c r="F220" s="76">
        <f>g_wages!B220</f>
        <v>2584.6790686753202</v>
      </c>
      <c r="G220" s="76">
        <f>g_fbkf!B220</f>
        <v>1425.4108211046994</v>
      </c>
      <c r="H220" s="76">
        <f>g_transfers!B220</f>
        <v>2975.1879035900001</v>
      </c>
      <c r="I220">
        <f>tax_receipts!C220</f>
        <v>566.3710821694649</v>
      </c>
      <c r="J220">
        <f>tax_receipts!F220</f>
        <v>315.48898400000058</v>
      </c>
      <c r="K220" s="148">
        <f>J220*tax_receipts!G220/(tax_receipts!G220+tax_receipts!H220)</f>
        <v>239.63376929101048</v>
      </c>
      <c r="L220" s="148">
        <f t="shared" si="3"/>
        <v>75.855214708990104</v>
      </c>
      <c r="M220">
        <f>debt!B220</f>
        <v>8164.6260000000002</v>
      </c>
      <c r="N220">
        <f>debt!C220</f>
        <v>34567.130000000005</v>
      </c>
      <c r="O220">
        <f>debt!D220</f>
        <v>14364.34113372</v>
      </c>
      <c r="P220">
        <f>real_exchange_rate!B220</f>
        <v>105.46353856831327</v>
      </c>
      <c r="Q220" s="215">
        <v>15848.869433000009</v>
      </c>
    </row>
    <row r="221" spans="1:17" x14ac:dyDescent="0.35">
      <c r="A221" s="61">
        <v>43191</v>
      </c>
      <c r="B221" s="54">
        <v>1.7880952380952382</v>
      </c>
      <c r="C221" s="81">
        <f>oilprice!B221</f>
        <v>60.320653792205846</v>
      </c>
      <c r="D221" s="81">
        <f>EMBI!B221</f>
        <v>594</v>
      </c>
      <c r="E221" s="76">
        <f>g_consumption!B221</f>
        <v>1941.2896041325048</v>
      </c>
      <c r="F221" s="76">
        <f>g_wages!B221</f>
        <v>3058.2896140278472</v>
      </c>
      <c r="G221" s="76">
        <f>g_fbkf!B221</f>
        <v>2582.344191191728</v>
      </c>
      <c r="H221" s="76">
        <f>g_transfers!B221</f>
        <v>3059.9291310988228</v>
      </c>
      <c r="I221">
        <f>tax_receipts!C221</f>
        <v>569.41589964106186</v>
      </c>
      <c r="J221">
        <f>tax_receipts!F221</f>
        <v>935.14300000000003</v>
      </c>
      <c r="K221" s="148">
        <f>J221*tax_receipts!G221/(tax_receipts!G221+tax_receipts!H221)</f>
        <v>19.013988358345852</v>
      </c>
      <c r="L221" s="148">
        <f t="shared" si="3"/>
        <v>916.12901164165419</v>
      </c>
      <c r="M221">
        <f>debt!B221</f>
        <v>8242.525999999998</v>
      </c>
      <c r="N221">
        <f>debt!C221</f>
        <v>34492.726000000002</v>
      </c>
      <c r="O221">
        <f>debt!D221</f>
        <v>14355.133450229998</v>
      </c>
      <c r="P221">
        <f>real_exchange_rate!B221</f>
        <v>105.89611712487162</v>
      </c>
      <c r="Q221" s="215">
        <v>15497.959440000002</v>
      </c>
    </row>
    <row r="222" spans="1:17" x14ac:dyDescent="0.35">
      <c r="A222" s="61">
        <v>43221</v>
      </c>
      <c r="B222" s="54">
        <v>1.8995454545454544</v>
      </c>
      <c r="C222" s="81">
        <f>oilprice!B222</f>
        <v>63.520949807432352</v>
      </c>
      <c r="D222" s="81">
        <f>EMBI!B222</f>
        <v>685.35483870967744</v>
      </c>
      <c r="E222" s="76">
        <f>g_consumption!B222</f>
        <v>1057.2586153199991</v>
      </c>
      <c r="F222" s="76">
        <f>g_wages!B222</f>
        <v>2471.0888616710022</v>
      </c>
      <c r="G222" s="76">
        <f>g_fbkf!B222</f>
        <v>941.34066285308813</v>
      </c>
      <c r="H222" s="76">
        <f>g_transfers!B222</f>
        <v>2900.428651434001</v>
      </c>
      <c r="I222">
        <f>tax_receipts!C222</f>
        <v>596.6963633432099</v>
      </c>
      <c r="J222">
        <f>tax_receipts!F222</f>
        <v>307.87218667000002</v>
      </c>
      <c r="K222" s="148">
        <f>J222*tax_receipts!G222/(tax_receipts!G222+tax_receipts!H222)</f>
        <v>32.338158258594092</v>
      </c>
      <c r="L222" s="148">
        <f t="shared" si="3"/>
        <v>275.53402841140593</v>
      </c>
      <c r="M222">
        <f>debt!B222</f>
        <v>8219.1629999999986</v>
      </c>
      <c r="N222">
        <f>debt!C222</f>
        <v>34380.682999999997</v>
      </c>
      <c r="O222">
        <f>debt!D222</f>
        <v>13991.630503819999</v>
      </c>
      <c r="P222">
        <f>real_exchange_rate!B222</f>
        <v>104.51777121350798</v>
      </c>
      <c r="Q222" s="215">
        <v>15984.738982999996</v>
      </c>
    </row>
    <row r="223" spans="1:17" x14ac:dyDescent="0.35">
      <c r="A223" s="61">
        <v>43252</v>
      </c>
      <c r="B223" s="54">
        <v>1.9352380952380952</v>
      </c>
      <c r="C223" s="81">
        <f>oilprice!B223</f>
        <v>61.901587207404226</v>
      </c>
      <c r="D223" s="81">
        <f>EMBI!B223</f>
        <v>712</v>
      </c>
      <c r="E223" s="76">
        <f>g_consumption!B223</f>
        <v>1408.1322264599899</v>
      </c>
      <c r="F223" s="76">
        <f>g_wages!B223</f>
        <v>2460.59570490022</v>
      </c>
      <c r="G223" s="76">
        <f>g_fbkf!B223</f>
        <v>1294.6917348671398</v>
      </c>
      <c r="H223" s="76">
        <f>g_transfers!B223</f>
        <v>3038.2333833160174</v>
      </c>
      <c r="I223">
        <f>tax_receipts!C223</f>
        <v>586.85889471857354</v>
      </c>
      <c r="J223">
        <f>tax_receipts!F223</f>
        <v>234.87578049000004</v>
      </c>
      <c r="K223" s="148">
        <f>J223*tax_receipts!G223/(tax_receipts!G223+tax_receipts!H223)</f>
        <v>56.330468154816131</v>
      </c>
      <c r="L223" s="148">
        <f t="shared" si="3"/>
        <v>178.54531233518389</v>
      </c>
      <c r="M223">
        <f>debt!B223</f>
        <v>8077.9660000000003</v>
      </c>
      <c r="N223">
        <f>debt!C223</f>
        <v>34000.326999999997</v>
      </c>
      <c r="O223">
        <f>debt!D223</f>
        <v>13978.305878579999</v>
      </c>
      <c r="P223">
        <f>real_exchange_rate!B223</f>
        <v>104.04120409823091</v>
      </c>
      <c r="Q223" s="215">
        <v>15512.892849000003</v>
      </c>
    </row>
    <row r="224" spans="1:17" x14ac:dyDescent="0.35">
      <c r="A224" s="61">
        <v>43282</v>
      </c>
      <c r="B224" s="54">
        <v>1.9947619047619047</v>
      </c>
      <c r="C224" s="81">
        <f>oilprice!B224</f>
        <v>67.14835259204537</v>
      </c>
      <c r="D224" s="81">
        <f>EMBI!B224</f>
        <v>653</v>
      </c>
      <c r="E224" s="76">
        <f>g_consumption!B224</f>
        <v>1221.5308426610134</v>
      </c>
      <c r="F224" s="76">
        <f>g_wages!B224</f>
        <v>2583.3908181252755</v>
      </c>
      <c r="G224" s="76">
        <f>g_fbkf!B224</f>
        <v>1369.6993683152455</v>
      </c>
      <c r="H224" s="76">
        <f>g_transfers!B224</f>
        <v>2763.8737048358607</v>
      </c>
      <c r="I224">
        <f>tax_receipts!C224</f>
        <v>624.00469153143172</v>
      </c>
      <c r="J224">
        <f>tax_receipts!F224</f>
        <v>352.50099999999998</v>
      </c>
      <c r="K224" s="148">
        <f>J224*tax_receipts!G224/(tax_receipts!G224+tax_receipts!H224)</f>
        <v>94.409534764148887</v>
      </c>
      <c r="L224" s="148">
        <f t="shared" si="3"/>
        <v>258.0914652358511</v>
      </c>
      <c r="M224">
        <f>debt!B224</f>
        <v>8094.0410000000002</v>
      </c>
      <c r="N224">
        <f>debt!C224</f>
        <v>34459.660000000003</v>
      </c>
      <c r="O224">
        <f>debt!D224</f>
        <v>13950.41666373</v>
      </c>
      <c r="P224">
        <f>real_exchange_rate!B224</f>
        <v>103.56971652001691</v>
      </c>
      <c r="Q224" s="215">
        <v>16223.568166999994</v>
      </c>
    </row>
    <row r="225" spans="1:17" x14ac:dyDescent="0.35">
      <c r="A225" s="61">
        <v>43313</v>
      </c>
      <c r="B225" s="54">
        <v>2.0726086956521739</v>
      </c>
      <c r="C225" s="81">
        <f>oilprice!B225</f>
        <v>61.164053250843821</v>
      </c>
      <c r="D225" s="81">
        <f>EMBI!B225</f>
        <v>678.9677419354839</v>
      </c>
      <c r="E225" s="76">
        <f>g_consumption!B225</f>
        <v>0</v>
      </c>
      <c r="F225" s="76">
        <f>g_wages!B225</f>
        <v>0</v>
      </c>
      <c r="G225" s="76">
        <f>g_fbkf!B225</f>
        <v>0</v>
      </c>
      <c r="H225" s="76">
        <f>g_transfers!B225</f>
        <v>0</v>
      </c>
      <c r="I225">
        <f>tax_receipts!C225</f>
        <v>638.86210859142932</v>
      </c>
      <c r="J225">
        <f>tax_receipts!F225</f>
        <v>238.08627183000056</v>
      </c>
      <c r="K225" s="148">
        <f>J225*tax_receipts!G225/(tax_receipts!G225+tax_receipts!H225)</f>
        <v>44.529112406447936</v>
      </c>
      <c r="L225" s="148">
        <f t="shared" si="3"/>
        <v>193.5571594235526</v>
      </c>
      <c r="M225">
        <f>debt!B225</f>
        <v>8025.7489999999998</v>
      </c>
      <c r="N225">
        <f>debt!C225</f>
        <v>34940.880000000005</v>
      </c>
      <c r="O225">
        <f>debt!D225</f>
        <v>13877.67643514</v>
      </c>
      <c r="P225">
        <f>real_exchange_rate!B225</f>
        <v>102.62228199065069</v>
      </c>
      <c r="Q225" s="215">
        <v>16439.55682200001</v>
      </c>
    </row>
    <row r="226" spans="1:17" x14ac:dyDescent="0.35">
      <c r="A226" s="61">
        <v>43344</v>
      </c>
      <c r="B226" s="54">
        <v>2.1652631578947368</v>
      </c>
      <c r="C226" s="81">
        <f>oilprice!B226</f>
        <v>66.291104474822902</v>
      </c>
      <c r="D226" s="81">
        <f>EMBI!B226</f>
        <v>689</v>
      </c>
      <c r="E226" s="76">
        <f>g_consumption!B226</f>
        <v>0</v>
      </c>
      <c r="F226" s="76">
        <f>g_wages!B226</f>
        <v>0</v>
      </c>
      <c r="G226" s="76">
        <f>g_fbkf!B226</f>
        <v>0</v>
      </c>
      <c r="H226" s="76">
        <f>g_transfers!B226</f>
        <v>0</v>
      </c>
      <c r="I226">
        <f>tax_receipts!C226</f>
        <v>585.03001724000137</v>
      </c>
      <c r="J226">
        <f>tax_receipts!F226</f>
        <v>372.24159453000101</v>
      </c>
      <c r="K226" s="148">
        <f>J226*tax_receipts!G226/(tax_receipts!G226+tax_receipts!H226)</f>
        <v>80.40495198065409</v>
      </c>
      <c r="L226" s="148">
        <f t="shared" si="3"/>
        <v>291.83664254934695</v>
      </c>
      <c r="M226">
        <f>debt!B226</f>
        <v>7907.7950000000001</v>
      </c>
      <c r="N226">
        <f>debt!C226</f>
        <v>34875.281000000003</v>
      </c>
      <c r="O226">
        <f>debt!D226</f>
        <v>13866.181256869999</v>
      </c>
      <c r="P226">
        <f>real_exchange_rate!B226</f>
        <v>101.91116148692724</v>
      </c>
      <c r="Q226" s="215">
        <v>15555.34492800001</v>
      </c>
    </row>
    <row r="227" spans="1:17" x14ac:dyDescent="0.35">
      <c r="A227" s="61">
        <v>43374</v>
      </c>
      <c r="B227" s="54">
        <v>2.293181818181818</v>
      </c>
      <c r="C227" s="81">
        <f>oilprice!B227</f>
        <v>68.244949410646385</v>
      </c>
      <c r="D227" s="81">
        <f>EMBI!B227</f>
        <v>671.70967741935488</v>
      </c>
      <c r="E227" s="76">
        <f>g_consumption!B227</f>
        <v>0</v>
      </c>
      <c r="F227" s="76">
        <f>g_wages!B227</f>
        <v>0</v>
      </c>
      <c r="G227" s="76">
        <f>g_fbkf!B227</f>
        <v>0</v>
      </c>
      <c r="H227" s="76">
        <f>g_transfers!B227</f>
        <v>0</v>
      </c>
      <c r="I227">
        <f>tax_receipts!C227</f>
        <v>640.41032965999966</v>
      </c>
      <c r="J227">
        <f>tax_receipts!F227</f>
        <v>257.16584084000016</v>
      </c>
      <c r="K227" s="148">
        <f>J227*tax_receipts!G227/(tax_receipts!G227+tax_receipts!H227)</f>
        <v>45.849553153642695</v>
      </c>
      <c r="L227" s="148">
        <f t="shared" si="3"/>
        <v>211.31628768635747</v>
      </c>
      <c r="M227">
        <f>debt!B227</f>
        <v>8028.722999999999</v>
      </c>
      <c r="N227">
        <f>debt!C227</f>
        <v>35193.131999999991</v>
      </c>
      <c r="O227">
        <f>debt!D227</f>
        <v>13876.231325289997</v>
      </c>
      <c r="P227">
        <f>real_exchange_rate!B227</f>
        <v>101.96455178055653</v>
      </c>
      <c r="Q227" s="215">
        <v>15918.219259999998</v>
      </c>
    </row>
    <row r="228" spans="1:17" x14ac:dyDescent="0.35">
      <c r="A228" s="61">
        <v>43405</v>
      </c>
      <c r="B228" s="54">
        <v>2.3740000000000001</v>
      </c>
      <c r="C228" s="81">
        <f>oilprice!B228</f>
        <v>55.201314893905192</v>
      </c>
      <c r="D228" s="81">
        <f>EMBI!B228</f>
        <v>745.5333333333333</v>
      </c>
      <c r="E228" s="76">
        <f>g_consumption!B228</f>
        <v>0</v>
      </c>
      <c r="F228" s="76">
        <f>g_wages!B228</f>
        <v>0</v>
      </c>
      <c r="G228" s="76">
        <f>g_fbkf!B228</f>
        <v>0</v>
      </c>
      <c r="H228" s="76">
        <f>g_transfers!B228</f>
        <v>0</v>
      </c>
      <c r="I228">
        <f>tax_receipts!C228</f>
        <v>609.32101141000282</v>
      </c>
      <c r="J228">
        <f>tax_receipts!F228</f>
        <v>262.72411712000019</v>
      </c>
      <c r="K228" s="148">
        <f>J228*tax_receipts!G228/(tax_receipts!G228+tax_receipts!H228)</f>
        <v>52.224549699644363</v>
      </c>
      <c r="L228" s="148">
        <f t="shared" si="3"/>
        <v>210.49956742035582</v>
      </c>
      <c r="M228">
        <f>debt!B228</f>
        <v>8110.2089999999989</v>
      </c>
      <c r="N228">
        <f>debt!C228</f>
        <v>35052.582999999999</v>
      </c>
      <c r="O228">
        <f>debt!D228</f>
        <v>13904.701799909997</v>
      </c>
      <c r="P228">
        <f>real_exchange_rate!B228</f>
        <v>101.21674247382913</v>
      </c>
      <c r="Q228" s="215">
        <v>15451.849741</v>
      </c>
    </row>
    <row r="229" spans="1:17" x14ac:dyDescent="0.35">
      <c r="A229" s="61">
        <v>43435</v>
      </c>
      <c r="B229" s="54">
        <v>2.4121052631578945</v>
      </c>
      <c r="C229" s="81">
        <f>oilprice!B229</f>
        <v>46.521937045275628</v>
      </c>
      <c r="D229" s="81">
        <f>EMBI!B229</f>
        <v>766</v>
      </c>
      <c r="E229" s="76">
        <f>g_consumption!B229</f>
        <v>0</v>
      </c>
      <c r="F229" s="76">
        <f>g_wages!B229</f>
        <v>0</v>
      </c>
      <c r="G229" s="76">
        <f>g_fbkf!B229</f>
        <v>0</v>
      </c>
      <c r="H229" s="76">
        <f>g_transfers!B229</f>
        <v>0</v>
      </c>
      <c r="I229">
        <f>tax_receipts!C229</f>
        <v>660.59390744000393</v>
      </c>
      <c r="J229">
        <f>tax_receipts!F229</f>
        <v>944.43569370000012</v>
      </c>
      <c r="K229" s="148">
        <f>J229*tax_receipts!G229/(tax_receipts!G229+tax_receipts!H229)</f>
        <v>13.35053674630184</v>
      </c>
      <c r="L229" s="148">
        <f t="shared" si="3"/>
        <v>931.08515695369829</v>
      </c>
      <c r="M229">
        <f>debt!B229</f>
        <v>8319.9549999999981</v>
      </c>
      <c r="N229">
        <f>debt!C229</f>
        <v>35730.101000000002</v>
      </c>
      <c r="O229">
        <f>debt!D229</f>
        <v>13733.712471419998</v>
      </c>
      <c r="P229">
        <f>real_exchange_rate!B229</f>
        <v>101.06760947213695</v>
      </c>
      <c r="Q229" s="215">
        <v>16103.047435000004</v>
      </c>
    </row>
    <row r="230" spans="1:17" x14ac:dyDescent="0.35">
      <c r="A230" s="61">
        <v>43466</v>
      </c>
      <c r="B230" s="54">
        <v>2.4238095238095236</v>
      </c>
      <c r="C230" s="81">
        <f>oilprice!B230</f>
        <v>48.820827804295021</v>
      </c>
      <c r="D230" s="81">
        <f>EMBI!B230</f>
        <v>712</v>
      </c>
      <c r="E230" s="76">
        <f>g_consumption!B230</f>
        <v>0</v>
      </c>
      <c r="F230" s="76">
        <f>g_wages!B230</f>
        <v>0</v>
      </c>
      <c r="G230" s="76">
        <f>g_fbkf!B230</f>
        <v>0</v>
      </c>
      <c r="H230" s="76">
        <f>g_transfers!B230</f>
        <v>0</v>
      </c>
      <c r="I230">
        <f>tax_receipts!C230</f>
        <v>743.48946721999391</v>
      </c>
      <c r="J230">
        <f>tax_receipts!F230</f>
        <v>372.56093718000085</v>
      </c>
      <c r="K230" s="148">
        <f>J230*tax_receipts!G230/(tax_receipts!G230+tax_receipts!H230)</f>
        <v>111.70731788231754</v>
      </c>
      <c r="L230" s="148">
        <f t="shared" si="3"/>
        <v>260.85361929768328</v>
      </c>
      <c r="M230">
        <f>debt!B230</f>
        <v>8740.4249999999993</v>
      </c>
      <c r="N230">
        <f>debt!C230</f>
        <v>38736.656769999994</v>
      </c>
      <c r="O230">
        <f>debt!D230</f>
        <v>17131.995728099999</v>
      </c>
      <c r="P230">
        <f>real_exchange_rate!B230</f>
        <v>101.66137663150734</v>
      </c>
      <c r="Q230" s="215">
        <v>16240.368774000002</v>
      </c>
    </row>
    <row r="231" spans="1:17" x14ac:dyDescent="0.35">
      <c r="A231" s="61">
        <v>43497</v>
      </c>
      <c r="B231" s="54">
        <v>2.4378947368421051</v>
      </c>
      <c r="C231" s="81">
        <f>oilprice!B231</f>
        <v>53.658263958835192</v>
      </c>
      <c r="D231" s="81">
        <f>EMBI!B231</f>
        <v>658.89285714285711</v>
      </c>
      <c r="E231" s="76">
        <f>g_consumption!B231</f>
        <v>0</v>
      </c>
      <c r="F231" s="76">
        <f>g_wages!B231</f>
        <v>0</v>
      </c>
      <c r="G231" s="76">
        <f>g_fbkf!B231</f>
        <v>0</v>
      </c>
      <c r="H231" s="76">
        <f>g_transfers!B231</f>
        <v>0</v>
      </c>
      <c r="I231">
        <f>tax_receipts!C231</f>
        <v>567.409528800006</v>
      </c>
      <c r="J231">
        <f>tax_receipts!F231</f>
        <v>196.12657967000035</v>
      </c>
      <c r="K231" s="148">
        <f>J231*tax_receipts!G231/(tax_receipts!G231+tax_receipts!H231)</f>
        <v>99.891932991218638</v>
      </c>
      <c r="L231" s="148">
        <f t="shared" si="3"/>
        <v>96.234646678781715</v>
      </c>
      <c r="M231">
        <f>debt!B231</f>
        <v>8735.0869999999995</v>
      </c>
      <c r="N231">
        <f>debt!C231</f>
        <v>38602.892999999996</v>
      </c>
      <c r="O231">
        <f>debt!D231</f>
        <v>16819.12061405</v>
      </c>
      <c r="P231">
        <f>real_exchange_rate!B231</f>
        <v>102.70753298443223</v>
      </c>
      <c r="Q231" s="215">
        <v>14934.075671999997</v>
      </c>
    </row>
    <row r="232" spans="1:17" x14ac:dyDescent="0.35">
      <c r="A232" s="61">
        <v>43525</v>
      </c>
      <c r="B232" s="54">
        <v>2.4538095238095239</v>
      </c>
      <c r="C232" s="81">
        <f>oilprice!B232</f>
        <v>58.299777527294623</v>
      </c>
      <c r="D232" s="81">
        <f>EMBI!B232</f>
        <v>611.80645161290317</v>
      </c>
      <c r="E232" s="76">
        <f>g_consumption!B232</f>
        <v>0</v>
      </c>
      <c r="F232" s="76">
        <f>g_wages!B232</f>
        <v>0</v>
      </c>
      <c r="G232" s="76">
        <f>g_fbkf!B232</f>
        <v>0</v>
      </c>
      <c r="H232" s="76">
        <f>g_transfers!B232</f>
        <v>0</v>
      </c>
      <c r="I232">
        <f>tax_receipts!C232</f>
        <v>538.78798655000367</v>
      </c>
      <c r="J232">
        <f>tax_receipts!F232</f>
        <v>303.94822232000081</v>
      </c>
      <c r="K232" s="148">
        <f>J232*tax_receipts!G232/(tax_receipts!G232+tax_receipts!H232)</f>
        <v>227.00572824460798</v>
      </c>
      <c r="L232" s="148">
        <f t="shared" si="3"/>
        <v>76.94249407539283</v>
      </c>
      <c r="M232">
        <f>debt!B232</f>
        <v>9363.1959999999999</v>
      </c>
      <c r="N232">
        <f>debt!C232</f>
        <v>38968.368770000001</v>
      </c>
      <c r="O232">
        <f>debt!D232</f>
        <v>17113.610822475697</v>
      </c>
      <c r="P232">
        <f>real_exchange_rate!B232</f>
        <v>103.05435181346893</v>
      </c>
      <c r="Q232" s="212">
        <v>16434.544004000003</v>
      </c>
    </row>
    <row r="233" spans="1:17" x14ac:dyDescent="0.35">
      <c r="A233" s="61">
        <v>43556</v>
      </c>
      <c r="B233" s="54">
        <v>2.4328571428571428</v>
      </c>
      <c r="C233" s="81">
        <f>oilprice!B233</f>
        <v>64.742709347760893</v>
      </c>
      <c r="D233" s="81">
        <f>EMBI!B233</f>
        <v>551.63333333333333</v>
      </c>
      <c r="E233" s="76">
        <f>g_consumption!B233</f>
        <v>0</v>
      </c>
      <c r="F233" s="76">
        <f>g_wages!B233</f>
        <v>0</v>
      </c>
      <c r="G233" s="76">
        <f>g_fbkf!B233</f>
        <v>0</v>
      </c>
      <c r="H233" s="76">
        <f>g_transfers!B233</f>
        <v>0</v>
      </c>
      <c r="I233">
        <f>tax_receipts!C233</f>
        <v>580.23660495000297</v>
      </c>
      <c r="J233">
        <f>tax_receipts!F233</f>
        <v>1180.0451213800009</v>
      </c>
      <c r="K233" s="148">
        <f>J233*tax_receipts!G233/(tax_receipts!G233+tax_receipts!H233)</f>
        <v>23.382526964159702</v>
      </c>
      <c r="L233" s="148">
        <f t="shared" si="3"/>
        <v>1156.6625944158411</v>
      </c>
      <c r="M233">
        <f>debt!B233</f>
        <v>9786.3220000000001</v>
      </c>
      <c r="N233">
        <f>debt!C233</f>
        <v>38695.521769999999</v>
      </c>
      <c r="O233">
        <f>debt!D233</f>
        <v>17154.935389985694</v>
      </c>
      <c r="P233">
        <f>real_exchange_rate!B233</f>
        <v>103.11487970969702</v>
      </c>
      <c r="Q233" s="212">
        <v>15868.573385000003</v>
      </c>
    </row>
    <row r="234" spans="1:17" x14ac:dyDescent="0.35">
      <c r="A234" s="61">
        <v>43586</v>
      </c>
      <c r="B234" s="54">
        <v>2.4031818181818183</v>
      </c>
      <c r="C234" s="81">
        <f>oilprice!B234</f>
        <v>60.431567196695944</v>
      </c>
      <c r="D234" s="81">
        <f>EMBI!B234</f>
        <v>573.45161290322585</v>
      </c>
      <c r="E234" s="76">
        <f>g_consumption!B234</f>
        <v>0</v>
      </c>
      <c r="F234" s="76">
        <f>g_wages!B234</f>
        <v>0</v>
      </c>
      <c r="G234" s="76">
        <f>g_fbkf!B234</f>
        <v>0</v>
      </c>
      <c r="H234" s="76">
        <f>g_transfers!B234</f>
        <v>0</v>
      </c>
      <c r="I234">
        <f>tax_receipts!C234</f>
        <v>631.47712605000447</v>
      </c>
      <c r="J234">
        <f>tax_receipts!F234</f>
        <v>275.68800598000064</v>
      </c>
      <c r="K234" s="148">
        <f>J234*tax_receipts!G234/(tax_receipts!G234+tax_receipts!H234)</f>
        <v>48.919310674479831</v>
      </c>
      <c r="L234" s="148">
        <f t="shared" si="3"/>
        <v>226.76869530552079</v>
      </c>
      <c r="M234">
        <f>debt!B234</f>
        <v>9995.7319999999982</v>
      </c>
      <c r="N234">
        <f>debt!C234</f>
        <v>39133.20177</v>
      </c>
      <c r="O234">
        <f>debt!D234</f>
        <v>16636.739960505693</v>
      </c>
      <c r="P234">
        <f>real_exchange_rate!B234</f>
        <v>102.11676414173196</v>
      </c>
      <c r="Q234" s="212">
        <v>16487.759054000002</v>
      </c>
    </row>
    <row r="235" spans="1:17" x14ac:dyDescent="0.35">
      <c r="A235" s="61">
        <v>43617</v>
      </c>
      <c r="B235" s="54">
        <v>2.2195</v>
      </c>
      <c r="C235" s="81">
        <f>oilprice!B235</f>
        <v>55.057900320787695</v>
      </c>
      <c r="D235" s="81">
        <f>EMBI!B235</f>
        <v>590</v>
      </c>
      <c r="E235" s="76">
        <f>g_consumption!B235</f>
        <v>0</v>
      </c>
      <c r="F235" s="76">
        <f>g_wages!B235</f>
        <v>0</v>
      </c>
      <c r="G235" s="76">
        <f>g_fbkf!B235</f>
        <v>0</v>
      </c>
      <c r="H235" s="76">
        <f>g_transfers!B235</f>
        <v>0</v>
      </c>
      <c r="I235">
        <f>tax_receipts!C235</f>
        <v>574.34524225000473</v>
      </c>
      <c r="J235">
        <f>tax_receipts!F235</f>
        <v>238.94437011000079</v>
      </c>
      <c r="K235" s="148">
        <f>J235*tax_receipts!G235/(tax_receipts!G235+tax_receipts!H235)</f>
        <v>68.966554808928407</v>
      </c>
      <c r="L235" s="148">
        <f t="shared" si="3"/>
        <v>169.97781530107238</v>
      </c>
      <c r="M235">
        <f>debt!B235</f>
        <v>10316.110999999999</v>
      </c>
      <c r="N235">
        <f>debt!C235</f>
        <v>39331.649770000004</v>
      </c>
      <c r="O235">
        <f>debt!D235</f>
        <v>16626.157943585695</v>
      </c>
      <c r="P235">
        <f>real_exchange_rate!B235</f>
        <v>102.51922386343851</v>
      </c>
      <c r="Q235" s="212">
        <v>15926.697948000001</v>
      </c>
    </row>
    <row r="236" spans="1:17" x14ac:dyDescent="0.35">
      <c r="A236" s="61">
        <v>43647</v>
      </c>
      <c r="B236" s="54">
        <v>2.145</v>
      </c>
      <c r="C236" s="81">
        <f>oilprice!B236</f>
        <v>57.230209201325572</v>
      </c>
      <c r="D236" s="81">
        <f>EMBI!B236</f>
        <v>577.77419354838707</v>
      </c>
      <c r="E236" s="76">
        <f>g_consumption!B236</f>
        <v>0</v>
      </c>
      <c r="F236" s="76">
        <f>g_wages!B236</f>
        <v>0</v>
      </c>
      <c r="G236" s="76">
        <f>g_fbkf!B236</f>
        <v>0</v>
      </c>
      <c r="H236" s="76">
        <f>g_transfers!B236</f>
        <v>0</v>
      </c>
      <c r="I236">
        <f>tax_receipts!C236</f>
        <v>608.82682987000749</v>
      </c>
      <c r="J236">
        <f>tax_receipts!F236</f>
        <v>294.84654059000246</v>
      </c>
      <c r="K236" s="148">
        <f>J236*tax_receipts!G236/(tax_receipts!G236+tax_receipts!H236)</f>
        <v>103.25373278276992</v>
      </c>
      <c r="L236" s="148">
        <f t="shared" si="3"/>
        <v>191.59280780723253</v>
      </c>
      <c r="M236">
        <f>debt!B236</f>
        <v>10355.470999999998</v>
      </c>
      <c r="N236">
        <f>debt!C236</f>
        <v>39495.243770000001</v>
      </c>
      <c r="O236">
        <f>debt!D236</f>
        <v>16367.279384465692</v>
      </c>
      <c r="P236">
        <f>real_exchange_rate!B236</f>
        <v>102.97670573993334</v>
      </c>
      <c r="Q236" s="212">
        <v>16781.882641999997</v>
      </c>
    </row>
    <row r="237" spans="1:17" x14ac:dyDescent="0.35">
      <c r="A237" s="61">
        <v>43678</v>
      </c>
      <c r="B237" s="54">
        <v>1.9904545454545455</v>
      </c>
      <c r="C237" s="81">
        <f>oilprice!B237</f>
        <v>54.020126282427704</v>
      </c>
      <c r="D237" s="81">
        <f>EMBI!B237</f>
        <v>702.29032258064512</v>
      </c>
      <c r="E237" s="76">
        <f>g_consumption!B237</f>
        <v>0</v>
      </c>
      <c r="F237" s="76">
        <f>g_wages!B237</f>
        <v>0</v>
      </c>
      <c r="G237" s="76">
        <f>g_fbkf!B237</f>
        <v>0</v>
      </c>
      <c r="H237" s="76">
        <f>g_transfers!B237</f>
        <v>0</v>
      </c>
      <c r="I237">
        <f>tax_receipts!C237</f>
        <v>618.88165437000953</v>
      </c>
      <c r="J237">
        <f>tax_receipts!F237</f>
        <v>320.77289945999985</v>
      </c>
      <c r="K237" s="148">
        <f>J237*tax_receipts!G237/(tax_receipts!G237+tax_receipts!H237)</f>
        <v>88.483998881077753</v>
      </c>
      <c r="L237" s="148">
        <f t="shared" si="3"/>
        <v>232.2889005789221</v>
      </c>
      <c r="M237">
        <f>debt!B237</f>
        <v>10471.643</v>
      </c>
      <c r="N237">
        <f>debt!C237</f>
        <v>39255.510999999991</v>
      </c>
      <c r="O237">
        <f>debt!D237</f>
        <v>16490.980350545695</v>
      </c>
      <c r="P237">
        <f>real_exchange_rate!B237</f>
        <v>101.45621420327312</v>
      </c>
      <c r="Q237" s="212">
        <v>17057.350693</v>
      </c>
    </row>
    <row r="238" spans="1:17" x14ac:dyDescent="0.35">
      <c r="A238" s="61">
        <v>43709</v>
      </c>
      <c r="B238" s="54">
        <v>1.9345000000000001</v>
      </c>
      <c r="C238" s="81">
        <f>oilprice!B238</f>
        <v>53.739432916595511</v>
      </c>
      <c r="D238" s="81">
        <f>EMBI!B238</f>
        <v>648.23333333333335</v>
      </c>
      <c r="E238" s="76">
        <f>g_consumption!B238</f>
        <v>0</v>
      </c>
      <c r="F238" s="76">
        <f>g_wages!B238</f>
        <v>0</v>
      </c>
      <c r="G238" s="76">
        <f>g_fbkf!B238</f>
        <v>0</v>
      </c>
      <c r="H238" s="76">
        <f>g_transfers!B238</f>
        <v>0</v>
      </c>
      <c r="I238">
        <f>tax_receipts!C238</f>
        <v>577.80067340000301</v>
      </c>
      <c r="J238">
        <f>tax_receipts!F238</f>
        <v>298.12025309000114</v>
      </c>
      <c r="K238" s="148">
        <f>J238*tax_receipts!G238/(tax_receipts!G238+tax_receipts!H238)</f>
        <v>87.84995371538156</v>
      </c>
      <c r="L238" s="148">
        <f t="shared" si="3"/>
        <v>210.27029937461958</v>
      </c>
      <c r="M238">
        <f>debt!B238</f>
        <v>10525.368999999997</v>
      </c>
      <c r="N238">
        <f>debt!C238</f>
        <v>40913.479999999996</v>
      </c>
      <c r="O238">
        <f>debt!D238</f>
        <v>16161.414552229497</v>
      </c>
      <c r="P238">
        <f>real_exchange_rate!B238</f>
        <v>101.36676253122883</v>
      </c>
      <c r="Q238" s="212">
        <v>16407.221756000003</v>
      </c>
    </row>
    <row r="239" spans="1:17" x14ac:dyDescent="0.35">
      <c r="A239" s="61">
        <v>43739</v>
      </c>
      <c r="B239" s="54">
        <v>1.6786363636363637</v>
      </c>
      <c r="C239" s="81">
        <f>oilprice!B239</f>
        <v>50.241077242878227</v>
      </c>
      <c r="D239" s="81">
        <f>EMBI!B239</f>
        <v>762.77419354838707</v>
      </c>
      <c r="E239" s="76">
        <f>g_consumption!B239</f>
        <v>0</v>
      </c>
      <c r="F239" s="76">
        <f>g_wages!B239</f>
        <v>0</v>
      </c>
      <c r="G239" s="76">
        <f>g_fbkf!B239</f>
        <v>0</v>
      </c>
      <c r="H239" s="76">
        <f>g_transfers!B239</f>
        <v>0</v>
      </c>
      <c r="I239">
        <f>tax_receipts!C239</f>
        <v>610.72409783000228</v>
      </c>
      <c r="J239">
        <f>tax_receipts!F239</f>
        <v>286.10375353000086</v>
      </c>
      <c r="K239" s="148">
        <f>J239*tax_receipts!G239/(tax_receipts!G239+tax_receipts!H239)</f>
        <v>75.96980131330298</v>
      </c>
      <c r="L239" s="148">
        <f t="shared" si="3"/>
        <v>210.13395221669788</v>
      </c>
      <c r="M239">
        <f>debt!B239</f>
        <v>10527.935999999998</v>
      </c>
      <c r="N239">
        <f>debt!C239</f>
        <v>40841.349999999991</v>
      </c>
      <c r="O239">
        <f>debt!D239</f>
        <v>16090.525352799492</v>
      </c>
      <c r="P239">
        <f>real_exchange_rate!B239</f>
        <v>101.32865377306352</v>
      </c>
      <c r="Q239" s="216">
        <v>14486.200566</v>
      </c>
    </row>
    <row r="240" spans="1:17" x14ac:dyDescent="0.35">
      <c r="A240" s="61">
        <v>43770</v>
      </c>
      <c r="B240" s="54">
        <v>1.5721052631578947</v>
      </c>
      <c r="C240" s="81">
        <f>oilprice!B240</f>
        <v>52.024694901736439</v>
      </c>
      <c r="D240" s="81">
        <f>EMBI!B240</f>
        <v>978.9</v>
      </c>
      <c r="E240" s="76">
        <f>g_consumption!B240</f>
        <v>0</v>
      </c>
      <c r="F240" s="76">
        <f>g_wages!B240</f>
        <v>0</v>
      </c>
      <c r="G240" s="76">
        <f>g_fbkf!B240</f>
        <v>0</v>
      </c>
      <c r="H240" s="76">
        <f>g_transfers!B240</f>
        <v>0</v>
      </c>
      <c r="I240">
        <f>tax_receipts!C240</f>
        <v>555.88696323000363</v>
      </c>
      <c r="J240">
        <f>tax_receipts!F240</f>
        <v>290.82498235000128</v>
      </c>
      <c r="K240" s="148">
        <f>J240*tax_receipts!G240/(tax_receipts!G240+tax_receipts!H240)</f>
        <v>72.112911234192225</v>
      </c>
      <c r="L240" s="148">
        <f t="shared" si="3"/>
        <v>218.71207111580907</v>
      </c>
      <c r="M240">
        <f>debt!B240</f>
        <v>10618.751</v>
      </c>
      <c r="N240">
        <f>debt!C240</f>
        <v>40791.012999999992</v>
      </c>
      <c r="O240">
        <f>debt!D240</f>
        <v>15991.975128719494</v>
      </c>
      <c r="P240">
        <f>real_exchange_rate!B240</f>
        <v>102.20431745712919</v>
      </c>
      <c r="Q240" s="216">
        <v>16390.600169000001</v>
      </c>
    </row>
    <row r="241" spans="1:17" x14ac:dyDescent="0.35">
      <c r="A241" s="61">
        <v>43800</v>
      </c>
      <c r="B241" s="54">
        <v>1.5652380952380951</v>
      </c>
      <c r="C241" s="81">
        <f>oilprice!B241</f>
        <v>54.026274418427271</v>
      </c>
      <c r="D241" s="81">
        <f>EMBI!B241</f>
        <v>937.87096774193549</v>
      </c>
      <c r="E241" s="76">
        <f>g_consumption!B241</f>
        <v>0</v>
      </c>
      <c r="F241" s="76">
        <f>g_wages!B241</f>
        <v>0</v>
      </c>
      <c r="G241" s="76">
        <f>g_fbkf!B241</f>
        <v>0</v>
      </c>
      <c r="H241" s="76">
        <f>g_transfers!B241</f>
        <v>0</v>
      </c>
      <c r="I241">
        <f>tax_receipts!C241</f>
        <v>560.59832323000489</v>
      </c>
      <c r="J241">
        <f>tax_receipts!F241</f>
        <v>252.67935583000082</v>
      </c>
      <c r="K241" s="148">
        <f>J241*tax_receipts!G241/(tax_receipts!G241+tax_receipts!H241)</f>
        <v>117.67979861308291</v>
      </c>
      <c r="L241" s="148">
        <f t="shared" si="3"/>
        <v>134.99955721691791</v>
      </c>
      <c r="M241">
        <f>debt!B241</f>
        <v>11174.868</v>
      </c>
      <c r="N241">
        <f>debt!C241</f>
        <v>41495.583769999997</v>
      </c>
      <c r="O241">
        <f>debt!D241</f>
        <v>15843.635946339495</v>
      </c>
      <c r="P241">
        <f>real_exchange_rate!B241</f>
        <v>102.66403794526991</v>
      </c>
      <c r="Q241" s="216">
        <v>16800.808516000001</v>
      </c>
    </row>
    <row r="242" spans="1:17" x14ac:dyDescent="0.35">
      <c r="E242" s="76"/>
      <c r="F242" s="76"/>
    </row>
    <row r="243" spans="1:17" x14ac:dyDescent="0.35">
      <c r="E243" s="76"/>
      <c r="F243" s="76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7CE9-4957-466B-8499-43AA150C1CF2}">
  <dimension ref="A1:E21"/>
  <sheetViews>
    <sheetView workbookViewId="0">
      <selection activeCell="E5" sqref="E5:E21"/>
    </sheetView>
  </sheetViews>
  <sheetFormatPr defaultRowHeight="14.5" x14ac:dyDescent="0.35"/>
  <sheetData>
    <row r="1" spans="1:5" x14ac:dyDescent="0.35">
      <c r="B1" s="157" t="s">
        <v>572</v>
      </c>
      <c r="C1" s="158" t="s">
        <v>573</v>
      </c>
      <c r="D1" s="157" t="s">
        <v>574</v>
      </c>
      <c r="E1" s="217" t="s">
        <v>682</v>
      </c>
    </row>
    <row r="2" spans="1:5" x14ac:dyDescent="0.35">
      <c r="A2" s="149">
        <v>2000</v>
      </c>
      <c r="B2" s="150">
        <v>957</v>
      </c>
      <c r="C2" s="151">
        <v>2526</v>
      </c>
      <c r="D2" s="152">
        <v>3483</v>
      </c>
    </row>
    <row r="3" spans="1:5" x14ac:dyDescent="0.35">
      <c r="A3" s="149">
        <v>2001</v>
      </c>
      <c r="B3" s="150">
        <v>1524</v>
      </c>
      <c r="C3" s="151">
        <v>3138</v>
      </c>
      <c r="D3" s="152">
        <v>4662</v>
      </c>
    </row>
    <row r="4" spans="1:5" x14ac:dyDescent="0.35">
      <c r="A4" s="149">
        <v>2002</v>
      </c>
      <c r="B4" s="150">
        <v>1812</v>
      </c>
      <c r="C4" s="151">
        <v>4095</v>
      </c>
      <c r="D4" s="152">
        <v>5907</v>
      </c>
    </row>
    <row r="5" spans="1:5" x14ac:dyDescent="0.35">
      <c r="A5" s="149">
        <v>2003</v>
      </c>
      <c r="B5" s="150">
        <v>1824</v>
      </c>
      <c r="C5" s="151">
        <v>4416</v>
      </c>
      <c r="D5" s="152">
        <v>6240</v>
      </c>
      <c r="E5">
        <v>45.061999999999998</v>
      </c>
    </row>
    <row r="6" spans="1:5" x14ac:dyDescent="0.35">
      <c r="A6" s="149">
        <v>2004</v>
      </c>
      <c r="B6" s="150">
        <v>1941</v>
      </c>
      <c r="C6" s="151">
        <v>5268</v>
      </c>
      <c r="D6" s="152">
        <v>7209</v>
      </c>
      <c r="E6">
        <v>38.664999999999999</v>
      </c>
    </row>
    <row r="7" spans="1:5" x14ac:dyDescent="0.35">
      <c r="A7" s="149">
        <v>2005</v>
      </c>
      <c r="B7" s="150">
        <v>1943</v>
      </c>
      <c r="C7" s="151">
        <v>6533</v>
      </c>
      <c r="D7" s="152">
        <v>8476</v>
      </c>
      <c r="E7">
        <v>34.700000000000003</v>
      </c>
    </row>
    <row r="8" spans="1:5" x14ac:dyDescent="0.35">
      <c r="A8" s="149">
        <v>2006</v>
      </c>
      <c r="B8" s="150">
        <v>1982</v>
      </c>
      <c r="C8" s="151">
        <v>7777</v>
      </c>
      <c r="D8" s="152">
        <v>9759</v>
      </c>
      <c r="E8">
        <v>31.128</v>
      </c>
    </row>
    <row r="9" spans="1:5" x14ac:dyDescent="0.35">
      <c r="A9" s="149">
        <v>2007</v>
      </c>
      <c r="B9" s="150">
        <v>3337</v>
      </c>
      <c r="C9" s="151">
        <v>7257</v>
      </c>
      <c r="D9" s="152">
        <v>10594</v>
      </c>
      <c r="E9">
        <v>28.463999999999999</v>
      </c>
    </row>
    <row r="10" spans="1:5" x14ac:dyDescent="0.35">
      <c r="A10" s="149">
        <v>2008</v>
      </c>
      <c r="B10" s="150">
        <v>4454</v>
      </c>
      <c r="C10" s="151">
        <v>9365</v>
      </c>
      <c r="D10" s="152">
        <v>13819</v>
      </c>
      <c r="E10">
        <v>24.228999999999999</v>
      </c>
    </row>
    <row r="11" spans="1:5" x14ac:dyDescent="0.35">
      <c r="A11" s="149">
        <v>2009</v>
      </c>
      <c r="B11" s="150">
        <v>6794</v>
      </c>
      <c r="C11" s="151">
        <v>7464</v>
      </c>
      <c r="D11" s="152">
        <v>14258</v>
      </c>
      <c r="E11">
        <v>18.568000000000001</v>
      </c>
    </row>
    <row r="12" spans="1:5" x14ac:dyDescent="0.35">
      <c r="A12" s="149">
        <v>2010</v>
      </c>
      <c r="B12" s="150">
        <v>7576</v>
      </c>
      <c r="C12" s="151">
        <v>9551</v>
      </c>
      <c r="D12" s="152">
        <v>17127</v>
      </c>
      <c r="E12">
        <v>17.696000000000002</v>
      </c>
    </row>
    <row r="13" spans="1:5" x14ac:dyDescent="0.35">
      <c r="A13" s="149">
        <v>2011</v>
      </c>
      <c r="B13" s="150">
        <v>8744</v>
      </c>
      <c r="C13" s="151">
        <v>11727</v>
      </c>
      <c r="D13" s="152">
        <v>20471</v>
      </c>
      <c r="E13">
        <v>16.789000000000001</v>
      </c>
    </row>
    <row r="14" spans="1:5" x14ac:dyDescent="0.35">
      <c r="A14" s="149">
        <v>2012</v>
      </c>
      <c r="B14" s="150">
        <v>11065.548000000001</v>
      </c>
      <c r="C14" s="151">
        <v>12642.29</v>
      </c>
      <c r="D14" s="152">
        <v>23707.838</v>
      </c>
      <c r="E14">
        <v>17.495999999999999</v>
      </c>
    </row>
    <row r="15" spans="1:5" x14ac:dyDescent="0.35">
      <c r="A15" s="149">
        <v>2013</v>
      </c>
      <c r="B15" s="150">
        <v>15155</v>
      </c>
      <c r="C15" s="151">
        <v>11057</v>
      </c>
      <c r="D15" s="152">
        <v>26212</v>
      </c>
      <c r="E15">
        <v>20.030999999999999</v>
      </c>
    </row>
    <row r="16" spans="1:5" x14ac:dyDescent="0.35">
      <c r="A16" s="149">
        <v>2014</v>
      </c>
      <c r="B16" s="150">
        <v>15953</v>
      </c>
      <c r="C16" s="151">
        <v>11731</v>
      </c>
      <c r="D16" s="152">
        <v>27684</v>
      </c>
      <c r="E16">
        <v>27.972999999999999</v>
      </c>
    </row>
    <row r="17" spans="1:5" x14ac:dyDescent="0.35">
      <c r="A17" s="149">
        <v>2015</v>
      </c>
      <c r="B17" s="150">
        <v>13344</v>
      </c>
      <c r="C17" s="151">
        <v>13046</v>
      </c>
      <c r="D17" s="152">
        <v>26390</v>
      </c>
      <c r="E17">
        <v>35.218000000000004</v>
      </c>
    </row>
    <row r="18" spans="1:5" x14ac:dyDescent="0.35">
      <c r="A18" s="149" t="s">
        <v>568</v>
      </c>
      <c r="B18" s="150">
        <v>11463.735000000001</v>
      </c>
      <c r="C18" s="151">
        <v>13617.053</v>
      </c>
      <c r="D18" s="152">
        <v>25080.788</v>
      </c>
      <c r="E18">
        <v>44.582000000000001</v>
      </c>
    </row>
    <row r="19" spans="1:5" x14ac:dyDescent="0.35">
      <c r="A19" s="149" t="s">
        <v>569</v>
      </c>
      <c r="B19" s="150">
        <v>11096.674000000001</v>
      </c>
      <c r="C19" s="151">
        <v>15399.582</v>
      </c>
      <c r="D19" s="152">
        <v>26496.256000000001</v>
      </c>
      <c r="E19">
        <v>47.03</v>
      </c>
    </row>
    <row r="20" spans="1:5" x14ac:dyDescent="0.35">
      <c r="A20" s="149" t="s">
        <v>570</v>
      </c>
      <c r="B20" s="150">
        <v>8619.4930000000004</v>
      </c>
      <c r="C20" s="151">
        <v>18898.190999999999</v>
      </c>
      <c r="D20" s="152">
        <v>27517.684000000001</v>
      </c>
      <c r="E20">
        <v>49.087000000000003</v>
      </c>
    </row>
    <row r="21" spans="1:5" x14ac:dyDescent="0.35">
      <c r="A21" s="153" t="s">
        <v>571</v>
      </c>
      <c r="B21" s="154">
        <v>8468</v>
      </c>
      <c r="C21" s="155">
        <v>18439.554</v>
      </c>
      <c r="D21" s="156">
        <v>26908</v>
      </c>
      <c r="E21">
        <v>51.411000000000001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FRSONLY&amp;1#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C392-41F9-4489-A4D4-CCC71A064919}">
  <dimension ref="A1:B241"/>
  <sheetViews>
    <sheetView workbookViewId="0">
      <selection activeCell="B231" sqref="B231:B241"/>
    </sheetView>
  </sheetViews>
  <sheetFormatPr defaultRowHeight="14.5" x14ac:dyDescent="0.35"/>
  <sheetData>
    <row r="1" spans="1:2" x14ac:dyDescent="0.35">
      <c r="B1" t="s">
        <v>567</v>
      </c>
    </row>
    <row r="2" spans="1:2" x14ac:dyDescent="0.35">
      <c r="A2" s="61">
        <v>36526</v>
      </c>
      <c r="B2">
        <v>214.06015441979125</v>
      </c>
    </row>
    <row r="3" spans="1:2" x14ac:dyDescent="0.35">
      <c r="A3" s="61">
        <v>36557</v>
      </c>
      <c r="B3">
        <v>196.54990945515198</v>
      </c>
    </row>
    <row r="4" spans="1:2" x14ac:dyDescent="0.35">
      <c r="A4" s="61">
        <v>36586</v>
      </c>
      <c r="B4">
        <v>183.59854483633595</v>
      </c>
    </row>
    <row r="5" spans="1:2" x14ac:dyDescent="0.35">
      <c r="A5" s="61">
        <v>36617</v>
      </c>
      <c r="B5">
        <v>166.29552170559774</v>
      </c>
    </row>
    <row r="6" spans="1:2" x14ac:dyDescent="0.35">
      <c r="A6" s="61">
        <v>36647</v>
      </c>
      <c r="B6">
        <v>155.41637542579227</v>
      </c>
    </row>
    <row r="7" spans="1:2" x14ac:dyDescent="0.35">
      <c r="A7" s="61">
        <v>36678</v>
      </c>
      <c r="B7">
        <v>149.3033313257111</v>
      </c>
    </row>
    <row r="8" spans="1:2" x14ac:dyDescent="0.35">
      <c r="A8" s="61">
        <v>36708</v>
      </c>
      <c r="B8">
        <v>145.46972739854155</v>
      </c>
    </row>
    <row r="9" spans="1:2" x14ac:dyDescent="0.35">
      <c r="A9" s="61">
        <v>36739</v>
      </c>
      <c r="B9">
        <v>142.25778897307518</v>
      </c>
    </row>
    <row r="10" spans="1:2" x14ac:dyDescent="0.35">
      <c r="A10" s="61">
        <v>36770</v>
      </c>
      <c r="B10">
        <v>136.55918854079613</v>
      </c>
    </row>
    <row r="11" spans="1:2" x14ac:dyDescent="0.35">
      <c r="A11" s="61">
        <v>36800</v>
      </c>
      <c r="B11">
        <v>132.41475186277498</v>
      </c>
    </row>
    <row r="12" spans="1:2" x14ac:dyDescent="0.35">
      <c r="A12" s="61">
        <v>36831</v>
      </c>
      <c r="B12">
        <v>129.9280898559623</v>
      </c>
    </row>
    <row r="13" spans="1:2" x14ac:dyDescent="0.35">
      <c r="A13" s="61">
        <v>36861</v>
      </c>
      <c r="B13">
        <v>127.3378169321991</v>
      </c>
    </row>
    <row r="14" spans="1:2" x14ac:dyDescent="0.35">
      <c r="A14" s="61">
        <v>36892</v>
      </c>
      <c r="B14">
        <v>119.9814418287116</v>
      </c>
    </row>
    <row r="15" spans="1:2" x14ac:dyDescent="0.35">
      <c r="A15" s="61">
        <v>36923</v>
      </c>
      <c r="B15">
        <v>116.45867065239365</v>
      </c>
    </row>
    <row r="16" spans="1:2" x14ac:dyDescent="0.35">
      <c r="A16" s="61">
        <v>36951</v>
      </c>
      <c r="B16">
        <v>113.35034314387781</v>
      </c>
    </row>
    <row r="17" spans="1:2" x14ac:dyDescent="0.35">
      <c r="A17" s="61">
        <v>36982</v>
      </c>
      <c r="B17">
        <v>110.86368113706511</v>
      </c>
    </row>
    <row r="18" spans="1:2" x14ac:dyDescent="0.35">
      <c r="A18" s="61">
        <v>37012</v>
      </c>
      <c r="B18">
        <v>110.55284838621354</v>
      </c>
    </row>
    <row r="19" spans="1:2" x14ac:dyDescent="0.35">
      <c r="A19" s="61">
        <v>37043</v>
      </c>
      <c r="B19">
        <v>109.51673921670826</v>
      </c>
    </row>
    <row r="20" spans="1:2" x14ac:dyDescent="0.35">
      <c r="A20" s="61">
        <v>37073</v>
      </c>
      <c r="B20">
        <v>108.89507371500508</v>
      </c>
    </row>
    <row r="21" spans="1:2" x14ac:dyDescent="0.35">
      <c r="A21" s="61">
        <v>37104</v>
      </c>
      <c r="B21">
        <v>109.93118288451036</v>
      </c>
    </row>
    <row r="22" spans="1:2" x14ac:dyDescent="0.35">
      <c r="A22" s="61">
        <v>37135</v>
      </c>
      <c r="B22">
        <v>107.96257546245035</v>
      </c>
    </row>
    <row r="23" spans="1:2" x14ac:dyDescent="0.35">
      <c r="A23" s="61">
        <v>37165</v>
      </c>
      <c r="B23">
        <v>106.20118987429137</v>
      </c>
    </row>
    <row r="24" spans="1:2" x14ac:dyDescent="0.35">
      <c r="A24" s="61">
        <v>37196</v>
      </c>
      <c r="B24">
        <v>104.33619336918187</v>
      </c>
    </row>
    <row r="25" spans="1:2" x14ac:dyDescent="0.35">
      <c r="A25" s="61">
        <v>37226</v>
      </c>
      <c r="B25">
        <v>103.61091695052816</v>
      </c>
    </row>
    <row r="26" spans="1:2" x14ac:dyDescent="0.35">
      <c r="A26" s="61">
        <v>37257</v>
      </c>
      <c r="B26">
        <v>100.8134221928639</v>
      </c>
    </row>
    <row r="27" spans="1:2" x14ac:dyDescent="0.35">
      <c r="A27" s="61">
        <v>37288</v>
      </c>
      <c r="B27">
        <v>98.430371103001747</v>
      </c>
    </row>
    <row r="28" spans="1:2" x14ac:dyDescent="0.35">
      <c r="A28" s="61">
        <v>37316</v>
      </c>
      <c r="B28">
        <v>97.808705601298584</v>
      </c>
    </row>
    <row r="29" spans="1:2" x14ac:dyDescent="0.35">
      <c r="A29" s="61">
        <v>37347</v>
      </c>
      <c r="B29">
        <v>97.394261933496466</v>
      </c>
    </row>
    <row r="30" spans="1:2" x14ac:dyDescent="0.35">
      <c r="A30" s="61">
        <v>37377</v>
      </c>
      <c r="B30">
        <v>97.187040099595407</v>
      </c>
    </row>
    <row r="31" spans="1:2" x14ac:dyDescent="0.35">
      <c r="A31" s="61">
        <v>37408</v>
      </c>
      <c r="B31">
        <v>96.772596431793303</v>
      </c>
    </row>
    <row r="32" spans="1:2" x14ac:dyDescent="0.35">
      <c r="A32" s="61">
        <v>37438</v>
      </c>
      <c r="B32">
        <v>97.808705601298598</v>
      </c>
    </row>
    <row r="33" spans="1:2" x14ac:dyDescent="0.35">
      <c r="A33" s="61">
        <v>37469</v>
      </c>
      <c r="B33">
        <v>96.565374597892259</v>
      </c>
    </row>
    <row r="34" spans="1:2" x14ac:dyDescent="0.35">
      <c r="A34" s="61">
        <v>37500</v>
      </c>
      <c r="B34">
        <v>95.322043594485919</v>
      </c>
    </row>
    <row r="35" spans="1:2" x14ac:dyDescent="0.35">
      <c r="A35" s="61">
        <v>37530</v>
      </c>
      <c r="B35">
        <v>94.182323508030109</v>
      </c>
    </row>
    <row r="36" spans="1:2" x14ac:dyDescent="0.35">
      <c r="A36" s="61">
        <v>37561</v>
      </c>
      <c r="B36">
        <v>94.803989009733272</v>
      </c>
    </row>
    <row r="37" spans="1:2" x14ac:dyDescent="0.35">
      <c r="A37" s="61">
        <v>37591</v>
      </c>
      <c r="B37">
        <v>95.011210843634331</v>
      </c>
    </row>
    <row r="38" spans="1:2" x14ac:dyDescent="0.35">
      <c r="A38" s="61">
        <v>37622</v>
      </c>
      <c r="B38">
        <v>92.866464862758392</v>
      </c>
    </row>
    <row r="39" spans="1:2" x14ac:dyDescent="0.35">
      <c r="A39" s="61">
        <v>37653</v>
      </c>
      <c r="B39">
        <v>92.752492854112816</v>
      </c>
    </row>
    <row r="40" spans="1:2" x14ac:dyDescent="0.35">
      <c r="A40" s="61">
        <v>37681</v>
      </c>
      <c r="B40">
        <v>93.07368669665945</v>
      </c>
    </row>
    <row r="41" spans="1:2" x14ac:dyDescent="0.35">
      <c r="A41" s="61">
        <v>37712</v>
      </c>
      <c r="B41">
        <v>93.001159054794087</v>
      </c>
    </row>
    <row r="42" spans="1:2" x14ac:dyDescent="0.35">
      <c r="A42" s="61">
        <v>37742</v>
      </c>
      <c r="B42">
        <v>95.042294118719497</v>
      </c>
    </row>
    <row r="43" spans="1:2" x14ac:dyDescent="0.35">
      <c r="A43" s="61">
        <v>37773</v>
      </c>
      <c r="B43">
        <v>95.581070886862236</v>
      </c>
    </row>
    <row r="44" spans="1:2" x14ac:dyDescent="0.35">
      <c r="A44" s="61">
        <v>37803</v>
      </c>
      <c r="B44">
        <v>95.000849751939285</v>
      </c>
    </row>
    <row r="45" spans="1:2" x14ac:dyDescent="0.35">
      <c r="A45" s="61">
        <v>37834</v>
      </c>
      <c r="B45">
        <v>94.565683900747061</v>
      </c>
    </row>
    <row r="46" spans="1:2" x14ac:dyDescent="0.35">
      <c r="A46" s="61">
        <v>37865</v>
      </c>
      <c r="B46">
        <v>94.78326682634318</v>
      </c>
    </row>
    <row r="47" spans="1:2" x14ac:dyDescent="0.35">
      <c r="A47" s="61">
        <v>37895</v>
      </c>
      <c r="B47">
        <v>96.27526403043079</v>
      </c>
    </row>
    <row r="48" spans="1:2" x14ac:dyDescent="0.35">
      <c r="A48" s="61">
        <v>37926</v>
      </c>
      <c r="B48">
        <v>96.088764379919837</v>
      </c>
    </row>
    <row r="49" spans="1:2" x14ac:dyDescent="0.35">
      <c r="A49" s="61">
        <v>37956</v>
      </c>
      <c r="B49">
        <v>97.601483767397553</v>
      </c>
    </row>
    <row r="50" spans="1:2" x14ac:dyDescent="0.35">
      <c r="A50" s="61">
        <v>37987</v>
      </c>
      <c r="B50">
        <v>98.886259137584105</v>
      </c>
    </row>
    <row r="51" spans="1:2" x14ac:dyDescent="0.35">
      <c r="A51" s="61">
        <v>38018</v>
      </c>
      <c r="B51">
        <v>98.192065994015564</v>
      </c>
    </row>
    <row r="52" spans="1:2" x14ac:dyDescent="0.35">
      <c r="A52" s="61">
        <v>38047</v>
      </c>
      <c r="B52">
        <v>97.342456475021237</v>
      </c>
    </row>
    <row r="53" spans="1:2" x14ac:dyDescent="0.35">
      <c r="A53" s="61">
        <v>38078</v>
      </c>
      <c r="B53">
        <v>96.762235340098272</v>
      </c>
    </row>
    <row r="54" spans="1:2" x14ac:dyDescent="0.35">
      <c r="A54" s="61">
        <v>38108</v>
      </c>
      <c r="B54">
        <v>96.472124772636789</v>
      </c>
    </row>
    <row r="55" spans="1:2" x14ac:dyDescent="0.35">
      <c r="A55" s="61">
        <v>38139</v>
      </c>
      <c r="B55">
        <v>97.601483767397553</v>
      </c>
    </row>
    <row r="56" spans="1:2" x14ac:dyDescent="0.35">
      <c r="A56" s="61">
        <v>38169</v>
      </c>
      <c r="B56">
        <v>98.78264822063359</v>
      </c>
    </row>
    <row r="57" spans="1:2" x14ac:dyDescent="0.35">
      <c r="A57" s="61">
        <v>38200</v>
      </c>
      <c r="B57">
        <v>98.927703504364331</v>
      </c>
    </row>
    <row r="58" spans="1:2" x14ac:dyDescent="0.35">
      <c r="A58" s="61">
        <v>38231</v>
      </c>
      <c r="B58">
        <v>99.373230447251601</v>
      </c>
    </row>
    <row r="59" spans="1:2" x14ac:dyDescent="0.35">
      <c r="A59" s="61">
        <v>38261</v>
      </c>
      <c r="B59">
        <v>100.12959014099047</v>
      </c>
    </row>
    <row r="60" spans="1:2" x14ac:dyDescent="0.35">
      <c r="A60" s="61">
        <v>38292</v>
      </c>
      <c r="B60">
        <v>101.50761533643251</v>
      </c>
    </row>
    <row r="61" spans="1:2" x14ac:dyDescent="0.35">
      <c r="A61" s="61">
        <v>38322</v>
      </c>
      <c r="B61">
        <v>103.09286236577559</v>
      </c>
    </row>
    <row r="62" spans="1:2" x14ac:dyDescent="0.35">
      <c r="A62" s="61">
        <v>38353</v>
      </c>
      <c r="B62">
        <v>102.96713102530963</v>
      </c>
    </row>
    <row r="63" spans="1:2" x14ac:dyDescent="0.35">
      <c r="A63" s="61">
        <v>38384</v>
      </c>
      <c r="B63">
        <v>102.97238802595891</v>
      </c>
    </row>
    <row r="64" spans="1:2" x14ac:dyDescent="0.35">
      <c r="A64" s="61">
        <v>38412</v>
      </c>
      <c r="B64">
        <v>103.46221291587737</v>
      </c>
    </row>
    <row r="65" spans="1:2" x14ac:dyDescent="0.35">
      <c r="A65" s="61">
        <v>38443</v>
      </c>
      <c r="B65">
        <v>102.39221385656199</v>
      </c>
    </row>
    <row r="66" spans="1:2" x14ac:dyDescent="0.35">
      <c r="A66" s="61">
        <v>38473</v>
      </c>
      <c r="B66">
        <v>102.21656412060281</v>
      </c>
    </row>
    <row r="67" spans="1:2" x14ac:dyDescent="0.35">
      <c r="A67" s="61">
        <v>38504</v>
      </c>
      <c r="B67">
        <v>101.20189081935369</v>
      </c>
    </row>
    <row r="68" spans="1:2" x14ac:dyDescent="0.35">
      <c r="A68" s="61">
        <v>38534</v>
      </c>
      <c r="B68">
        <v>101.21043498755887</v>
      </c>
    </row>
    <row r="69" spans="1:2" x14ac:dyDescent="0.35">
      <c r="A69" s="61">
        <v>38565</v>
      </c>
      <c r="B69">
        <v>102.54007585478591</v>
      </c>
    </row>
    <row r="70" spans="1:2" x14ac:dyDescent="0.35">
      <c r="A70" s="61">
        <v>38596</v>
      </c>
      <c r="B70">
        <v>102.5985137052005</v>
      </c>
    </row>
    <row r="71" spans="1:2" x14ac:dyDescent="0.35">
      <c r="A71" s="61">
        <v>38626</v>
      </c>
      <c r="B71">
        <v>101.6065447338834</v>
      </c>
    </row>
    <row r="72" spans="1:2" x14ac:dyDescent="0.35">
      <c r="A72" s="61">
        <v>38657</v>
      </c>
      <c r="B72">
        <v>100.62056287493486</v>
      </c>
    </row>
    <row r="73" spans="1:2" x14ac:dyDescent="0.35">
      <c r="A73" s="61">
        <v>38687</v>
      </c>
      <c r="B73">
        <v>100.41864108396661</v>
      </c>
    </row>
    <row r="74" spans="1:2" x14ac:dyDescent="0.35">
      <c r="A74" s="61">
        <v>38718</v>
      </c>
      <c r="B74">
        <v>101.14849932485433</v>
      </c>
    </row>
    <row r="75" spans="1:2" x14ac:dyDescent="0.35">
      <c r="A75" s="61">
        <v>38749</v>
      </c>
      <c r="B75">
        <v>100.44759645222891</v>
      </c>
    </row>
    <row r="76" spans="1:2" x14ac:dyDescent="0.35">
      <c r="A76" s="61">
        <v>38777</v>
      </c>
      <c r="B76">
        <v>100.32052852347886</v>
      </c>
    </row>
    <row r="77" spans="1:2" x14ac:dyDescent="0.35">
      <c r="A77" s="61">
        <v>38808</v>
      </c>
      <c r="B77">
        <v>101.07942684168991</v>
      </c>
    </row>
    <row r="78" spans="1:2" x14ac:dyDescent="0.35">
      <c r="A78" s="61">
        <v>38838</v>
      </c>
      <c r="B78">
        <v>102.83165492480707</v>
      </c>
    </row>
    <row r="79" spans="1:2" x14ac:dyDescent="0.35">
      <c r="A79" s="61">
        <v>38869</v>
      </c>
      <c r="B79">
        <v>101.89819230890456</v>
      </c>
    </row>
    <row r="80" spans="1:2" x14ac:dyDescent="0.35">
      <c r="A80" s="61">
        <v>38899</v>
      </c>
      <c r="B80">
        <v>102.41634874613788</v>
      </c>
    </row>
    <row r="81" spans="1:2" x14ac:dyDescent="0.35">
      <c r="A81" s="61">
        <v>38930</v>
      </c>
      <c r="B81">
        <v>103.37332807244492</v>
      </c>
    </row>
    <row r="82" spans="1:2" x14ac:dyDescent="0.35">
      <c r="A82" s="61">
        <v>38961</v>
      </c>
      <c r="B82">
        <v>102.38829186941445</v>
      </c>
    </row>
    <row r="83" spans="1:2" x14ac:dyDescent="0.35">
      <c r="A83" s="61">
        <v>38991</v>
      </c>
      <c r="B83">
        <v>101.71941625953086</v>
      </c>
    </row>
    <row r="84" spans="1:2" x14ac:dyDescent="0.35">
      <c r="A84" s="61">
        <v>39022</v>
      </c>
      <c r="B84">
        <v>102.5322318565853</v>
      </c>
    </row>
    <row r="85" spans="1:2" x14ac:dyDescent="0.35">
      <c r="A85" s="61">
        <v>39052</v>
      </c>
      <c r="B85">
        <v>103.7019722113947</v>
      </c>
    </row>
    <row r="86" spans="1:2" x14ac:dyDescent="0.35">
      <c r="A86" s="61">
        <v>39083</v>
      </c>
      <c r="B86">
        <v>102.77272341829546</v>
      </c>
    </row>
    <row r="87" spans="1:2" x14ac:dyDescent="0.35">
      <c r="A87" s="61">
        <v>39114</v>
      </c>
      <c r="B87">
        <v>103.35557105839038</v>
      </c>
    </row>
    <row r="88" spans="1:2" x14ac:dyDescent="0.35">
      <c r="A88" s="61">
        <v>39142</v>
      </c>
      <c r="B88">
        <v>104.53061382765546</v>
      </c>
    </row>
    <row r="89" spans="1:2" x14ac:dyDescent="0.35">
      <c r="A89" s="61">
        <v>39173</v>
      </c>
      <c r="B89">
        <v>105.97051099537322</v>
      </c>
    </row>
    <row r="90" spans="1:2" x14ac:dyDescent="0.35">
      <c r="A90" s="61">
        <v>39203</v>
      </c>
      <c r="B90">
        <v>107.1568332392923</v>
      </c>
    </row>
    <row r="91" spans="1:2" x14ac:dyDescent="0.35">
      <c r="A91" s="61">
        <v>39234</v>
      </c>
      <c r="B91">
        <v>107.06335195133518</v>
      </c>
    </row>
    <row r="92" spans="1:2" x14ac:dyDescent="0.35">
      <c r="A92" s="61">
        <v>39264</v>
      </c>
      <c r="B92">
        <v>107.37784369467197</v>
      </c>
    </row>
    <row r="93" spans="1:2" x14ac:dyDescent="0.35">
      <c r="A93" s="61">
        <v>39295</v>
      </c>
      <c r="B93">
        <v>106.62747665756788</v>
      </c>
    </row>
    <row r="94" spans="1:2" x14ac:dyDescent="0.35">
      <c r="A94" s="61">
        <v>39326</v>
      </c>
      <c r="B94">
        <v>106.88963083498345</v>
      </c>
    </row>
    <row r="95" spans="1:2" x14ac:dyDescent="0.35">
      <c r="A95" s="61">
        <v>39356</v>
      </c>
      <c r="B95">
        <v>108.59545640664875</v>
      </c>
    </row>
    <row r="96" spans="1:2" x14ac:dyDescent="0.35">
      <c r="A96" s="61">
        <v>39387</v>
      </c>
      <c r="B96">
        <v>109.74319169814483</v>
      </c>
    </row>
    <row r="97" spans="1:2" x14ac:dyDescent="0.35">
      <c r="A97" s="61">
        <v>39417</v>
      </c>
      <c r="B97">
        <v>109.28402846208594</v>
      </c>
    </row>
    <row r="98" spans="1:2" x14ac:dyDescent="0.35">
      <c r="A98" s="61">
        <v>39448</v>
      </c>
      <c r="B98">
        <v>109.36386366122467</v>
      </c>
    </row>
    <row r="99" spans="1:2" x14ac:dyDescent="0.35">
      <c r="A99" s="61">
        <v>39479</v>
      </c>
      <c r="B99">
        <v>109.52074675637071</v>
      </c>
    </row>
    <row r="100" spans="1:2" x14ac:dyDescent="0.35">
      <c r="A100" s="61">
        <v>39508</v>
      </c>
      <c r="B100">
        <v>111.21030494490743</v>
      </c>
    </row>
    <row r="101" spans="1:2" x14ac:dyDescent="0.35">
      <c r="A101" s="61">
        <v>39539</v>
      </c>
      <c r="B101">
        <v>110.65064574787266</v>
      </c>
    </row>
    <row r="102" spans="1:2" x14ac:dyDescent="0.35">
      <c r="A102" s="61">
        <v>39569</v>
      </c>
      <c r="B102">
        <v>109.78575428815562</v>
      </c>
    </row>
    <row r="103" spans="1:2" x14ac:dyDescent="0.35">
      <c r="A103" s="61">
        <v>39600</v>
      </c>
      <c r="B103">
        <v>109.99583024067397</v>
      </c>
    </row>
    <row r="104" spans="1:2" x14ac:dyDescent="0.35">
      <c r="A104" s="61">
        <v>39630</v>
      </c>
      <c r="B104">
        <v>109.92257269316458</v>
      </c>
    </row>
    <row r="105" spans="1:2" x14ac:dyDescent="0.35">
      <c r="A105" s="61">
        <v>39661</v>
      </c>
      <c r="B105">
        <v>107.61972562009321</v>
      </c>
    </row>
    <row r="106" spans="1:2" x14ac:dyDescent="0.35">
      <c r="A106" s="61">
        <v>39692</v>
      </c>
      <c r="B106">
        <v>104.25430719802365</v>
      </c>
    </row>
    <row r="107" spans="1:2" x14ac:dyDescent="0.35">
      <c r="A107" s="61">
        <v>39722</v>
      </c>
      <c r="B107">
        <v>99.772984292765869</v>
      </c>
    </row>
    <row r="108" spans="1:2" x14ac:dyDescent="0.35">
      <c r="A108" s="61">
        <v>39753</v>
      </c>
      <c r="B108">
        <v>97.656928287481136</v>
      </c>
    </row>
    <row r="109" spans="1:2" x14ac:dyDescent="0.35">
      <c r="A109" s="61">
        <v>39783</v>
      </c>
      <c r="B109">
        <v>98.829476356190341</v>
      </c>
    </row>
    <row r="110" spans="1:2" x14ac:dyDescent="0.35">
      <c r="A110" s="61">
        <v>39814</v>
      </c>
      <c r="B110">
        <v>97.715455776043143</v>
      </c>
    </row>
    <row r="111" spans="1:2" x14ac:dyDescent="0.35">
      <c r="A111" s="61">
        <v>39845</v>
      </c>
      <c r="B111">
        <v>95.632876345337522</v>
      </c>
    </row>
    <row r="112" spans="1:2" x14ac:dyDescent="0.35">
      <c r="A112" s="61">
        <v>39873</v>
      </c>
      <c r="B112">
        <v>94.389545341931182</v>
      </c>
    </row>
    <row r="113" spans="1:2" x14ac:dyDescent="0.35">
      <c r="A113" s="61">
        <v>39904</v>
      </c>
      <c r="B113">
        <v>95.663959620422688</v>
      </c>
    </row>
    <row r="114" spans="1:2" x14ac:dyDescent="0.35">
      <c r="A114" s="61">
        <v>39934</v>
      </c>
      <c r="B114">
        <v>97.684372500957991</v>
      </c>
    </row>
    <row r="115" spans="1:2" x14ac:dyDescent="0.35">
      <c r="A115" s="61">
        <v>39965</v>
      </c>
      <c r="B115">
        <v>99.870562848614128</v>
      </c>
    </row>
    <row r="116" spans="1:2" x14ac:dyDescent="0.35">
      <c r="A116" s="61">
        <v>39995</v>
      </c>
      <c r="B116">
        <v>100.50258944201236</v>
      </c>
    </row>
    <row r="117" spans="1:2" x14ac:dyDescent="0.35">
      <c r="A117" s="61">
        <v>40026</v>
      </c>
      <c r="B117">
        <v>101.62158734507805</v>
      </c>
    </row>
    <row r="118" spans="1:2" x14ac:dyDescent="0.35">
      <c r="A118" s="61">
        <v>40057</v>
      </c>
      <c r="B118">
        <v>102.01530882949005</v>
      </c>
    </row>
    <row r="119" spans="1:2" x14ac:dyDescent="0.35">
      <c r="A119" s="61">
        <v>40087</v>
      </c>
      <c r="B119">
        <v>103.14466782425083</v>
      </c>
    </row>
    <row r="120" spans="1:2" x14ac:dyDescent="0.35">
      <c r="A120" s="61">
        <v>40118</v>
      </c>
      <c r="B120">
        <v>103.11358454916568</v>
      </c>
    </row>
    <row r="121" spans="1:2" x14ac:dyDescent="0.35">
      <c r="A121" s="61">
        <v>40148</v>
      </c>
      <c r="B121">
        <v>101.93242009592966</v>
      </c>
    </row>
    <row r="122" spans="1:2" x14ac:dyDescent="0.35">
      <c r="A122" s="61">
        <v>40179</v>
      </c>
      <c r="B122">
        <v>99.442493048746044</v>
      </c>
    </row>
    <row r="123" spans="1:2" x14ac:dyDescent="0.35">
      <c r="A123" s="61">
        <v>40210</v>
      </c>
      <c r="B123">
        <v>98.25444423939193</v>
      </c>
    </row>
    <row r="124" spans="1:2" x14ac:dyDescent="0.35">
      <c r="A124" s="61">
        <v>40238</v>
      </c>
      <c r="B124">
        <v>98.765352291753914</v>
      </c>
    </row>
    <row r="125" spans="1:2" x14ac:dyDescent="0.35">
      <c r="A125" s="61">
        <v>40269</v>
      </c>
      <c r="B125">
        <v>97.642253543457471</v>
      </c>
    </row>
    <row r="126" spans="1:2" x14ac:dyDescent="0.35">
      <c r="A126" s="61">
        <v>40299</v>
      </c>
      <c r="B126">
        <v>96.566440064270935</v>
      </c>
    </row>
    <row r="127" spans="1:2" x14ac:dyDescent="0.35">
      <c r="A127" s="61">
        <v>40330</v>
      </c>
      <c r="B127">
        <v>96.22531324216088</v>
      </c>
    </row>
    <row r="128" spans="1:2" x14ac:dyDescent="0.35">
      <c r="A128" s="61">
        <v>40360</v>
      </c>
      <c r="B128">
        <v>97.904566291117121</v>
      </c>
    </row>
    <row r="129" spans="1:2" x14ac:dyDescent="0.35">
      <c r="A129" s="61">
        <v>40391</v>
      </c>
      <c r="B129">
        <v>98.988248267515402</v>
      </c>
    </row>
    <row r="130" spans="1:2" x14ac:dyDescent="0.35">
      <c r="A130" s="61">
        <v>40422</v>
      </c>
      <c r="B130">
        <v>99.38809321908461</v>
      </c>
    </row>
    <row r="131" spans="1:2" x14ac:dyDescent="0.35">
      <c r="A131" s="61">
        <v>40452</v>
      </c>
      <c r="B131">
        <v>101.37314502766294</v>
      </c>
    </row>
    <row r="132" spans="1:2" x14ac:dyDescent="0.35">
      <c r="A132" s="61">
        <v>40483</v>
      </c>
      <c r="B132">
        <v>100.61160088454172</v>
      </c>
    </row>
    <row r="133" spans="1:2" x14ac:dyDescent="0.35">
      <c r="A133" s="61">
        <v>40513</v>
      </c>
      <c r="B133">
        <v>99.203631629184429</v>
      </c>
    </row>
    <row r="134" spans="1:2" x14ac:dyDescent="0.35">
      <c r="A134" s="61">
        <v>40544</v>
      </c>
      <c r="B134">
        <v>99.038862622447198</v>
      </c>
    </row>
    <row r="135" spans="1:2" x14ac:dyDescent="0.35">
      <c r="A135" s="61">
        <v>40575</v>
      </c>
      <c r="B135">
        <v>99.406762938120252</v>
      </c>
    </row>
    <row r="136" spans="1:2" x14ac:dyDescent="0.35">
      <c r="A136" s="61">
        <v>40603</v>
      </c>
      <c r="B136">
        <v>100.40978128186215</v>
      </c>
    </row>
    <row r="137" spans="1:2" x14ac:dyDescent="0.35">
      <c r="A137" s="61">
        <v>40634</v>
      </c>
      <c r="B137">
        <v>101.30273594029738</v>
      </c>
    </row>
    <row r="138" spans="1:2" x14ac:dyDescent="0.35">
      <c r="A138" s="61">
        <v>40664</v>
      </c>
      <c r="B138">
        <v>101.44443710177153</v>
      </c>
    </row>
    <row r="139" spans="1:2" x14ac:dyDescent="0.35">
      <c r="A139" s="61">
        <v>40695</v>
      </c>
      <c r="B139">
        <v>101.70382371938437</v>
      </c>
    </row>
    <row r="140" spans="1:2" x14ac:dyDescent="0.35">
      <c r="A140" s="61">
        <v>40725</v>
      </c>
      <c r="B140">
        <v>101.87949955921107</v>
      </c>
    </row>
    <row r="141" spans="1:2" x14ac:dyDescent="0.35">
      <c r="A141" s="61">
        <v>40756</v>
      </c>
      <c r="B141">
        <v>101.71803999331195</v>
      </c>
    </row>
    <row r="142" spans="1:2" x14ac:dyDescent="0.35">
      <c r="A142" s="61">
        <v>40787</v>
      </c>
      <c r="B142">
        <v>99.277310463093315</v>
      </c>
    </row>
    <row r="143" spans="1:2" x14ac:dyDescent="0.35">
      <c r="A143" s="61">
        <v>40817</v>
      </c>
      <c r="B143">
        <v>98.318804345745676</v>
      </c>
    </row>
    <row r="144" spans="1:2" x14ac:dyDescent="0.35">
      <c r="A144" s="61">
        <v>40848</v>
      </c>
      <c r="B144">
        <v>97.790443352080828</v>
      </c>
    </row>
    <row r="145" spans="1:2" x14ac:dyDescent="0.35">
      <c r="A145" s="61">
        <v>40878</v>
      </c>
      <c r="B145">
        <v>96.634029004631529</v>
      </c>
    </row>
    <row r="146" spans="1:2" x14ac:dyDescent="0.35">
      <c r="A146" s="61">
        <v>40909</v>
      </c>
      <c r="B146">
        <v>96.613179253704985</v>
      </c>
    </row>
    <row r="147" spans="1:2" x14ac:dyDescent="0.35">
      <c r="A147" s="61">
        <v>40940</v>
      </c>
      <c r="B147">
        <v>97.427582428408755</v>
      </c>
    </row>
    <row r="148" spans="1:2" x14ac:dyDescent="0.35">
      <c r="A148" s="61">
        <v>40969</v>
      </c>
      <c r="B148">
        <v>96.569618758660042</v>
      </c>
    </row>
    <row r="149" spans="1:2" x14ac:dyDescent="0.35">
      <c r="A149" s="61">
        <v>41000</v>
      </c>
      <c r="B149">
        <v>96.556362971955721</v>
      </c>
    </row>
    <row r="150" spans="1:2" x14ac:dyDescent="0.35">
      <c r="A150" s="61">
        <v>41030</v>
      </c>
      <c r="B150">
        <v>95.803775313909668</v>
      </c>
    </row>
    <row r="151" spans="1:2" x14ac:dyDescent="0.35">
      <c r="A151" s="61">
        <v>41061</v>
      </c>
      <c r="B151">
        <v>94.891924982143934</v>
      </c>
    </row>
    <row r="152" spans="1:2" x14ac:dyDescent="0.35">
      <c r="A152" s="61">
        <v>41091</v>
      </c>
      <c r="B152">
        <v>94.555858022928675</v>
      </c>
    </row>
    <row r="153" spans="1:2" x14ac:dyDescent="0.35">
      <c r="A153" s="61">
        <v>41122</v>
      </c>
      <c r="B153">
        <v>94.947530206328437</v>
      </c>
    </row>
    <row r="154" spans="1:2" x14ac:dyDescent="0.35">
      <c r="A154" s="61">
        <v>41153</v>
      </c>
      <c r="B154">
        <v>95.2323107405808</v>
      </c>
    </row>
    <row r="155" spans="1:2" x14ac:dyDescent="0.35">
      <c r="A155" s="61">
        <v>41183</v>
      </c>
      <c r="B155">
        <v>95.455510117745447</v>
      </c>
    </row>
    <row r="156" spans="1:2" x14ac:dyDescent="0.35">
      <c r="A156" s="61">
        <v>41214</v>
      </c>
      <c r="B156">
        <v>94.489402509285483</v>
      </c>
    </row>
    <row r="157" spans="1:2" x14ac:dyDescent="0.35">
      <c r="A157" s="61">
        <v>41244</v>
      </c>
      <c r="B157">
        <v>95.140565652601822</v>
      </c>
    </row>
    <row r="158" spans="1:2" x14ac:dyDescent="0.35">
      <c r="A158" s="61">
        <v>41275</v>
      </c>
      <c r="B158">
        <v>94.885230728709189</v>
      </c>
    </row>
    <row r="159" spans="1:2" x14ac:dyDescent="0.35">
      <c r="A159" s="61">
        <v>41306</v>
      </c>
      <c r="B159">
        <v>92.828435683516915</v>
      </c>
    </row>
    <row r="160" spans="1:2" x14ac:dyDescent="0.35">
      <c r="A160" s="61">
        <v>41334</v>
      </c>
      <c r="B160">
        <v>90.848951222872103</v>
      </c>
    </row>
    <row r="161" spans="1:2" x14ac:dyDescent="0.35">
      <c r="A161" s="61">
        <v>41365</v>
      </c>
      <c r="B161">
        <v>91.007982202825403</v>
      </c>
    </row>
    <row r="162" spans="1:2" x14ac:dyDescent="0.35">
      <c r="A162" s="61">
        <v>41395</v>
      </c>
      <c r="B162">
        <v>91.454719738022916</v>
      </c>
    </row>
    <row r="163" spans="1:2" x14ac:dyDescent="0.35">
      <c r="A163" s="61">
        <v>41426</v>
      </c>
      <c r="B163">
        <v>91.362296294079954</v>
      </c>
    </row>
    <row r="164" spans="1:2" x14ac:dyDescent="0.35">
      <c r="A164" s="61">
        <v>41456</v>
      </c>
      <c r="B164">
        <v>91.382038098725744</v>
      </c>
    </row>
    <row r="165" spans="1:2" x14ac:dyDescent="0.35">
      <c r="A165" s="61">
        <v>41487</v>
      </c>
      <c r="B165">
        <v>91.627070909665846</v>
      </c>
    </row>
    <row r="166" spans="1:2" x14ac:dyDescent="0.35">
      <c r="A166" s="61">
        <v>41518</v>
      </c>
      <c r="B166">
        <v>91.695545121196133</v>
      </c>
    </row>
    <row r="167" spans="1:2" x14ac:dyDescent="0.35">
      <c r="A167" s="61">
        <v>41548</v>
      </c>
      <c r="B167">
        <v>92.582613157147691</v>
      </c>
    </row>
    <row r="168" spans="1:2" x14ac:dyDescent="0.35">
      <c r="A168" s="61">
        <v>41579</v>
      </c>
      <c r="B168">
        <v>91.734898189639139</v>
      </c>
    </row>
    <row r="169" spans="1:2" x14ac:dyDescent="0.35">
      <c r="A169" s="61">
        <v>41609</v>
      </c>
      <c r="B169">
        <v>91.626845373956002</v>
      </c>
    </row>
    <row r="170" spans="1:2" x14ac:dyDescent="0.35">
      <c r="A170" s="61">
        <v>41640</v>
      </c>
      <c r="B170">
        <v>90.665050506624425</v>
      </c>
    </row>
    <row r="171" spans="1:2" x14ac:dyDescent="0.35">
      <c r="A171" s="61">
        <v>41671</v>
      </c>
      <c r="B171">
        <v>90.410865580941262</v>
      </c>
    </row>
    <row r="172" spans="1:2" x14ac:dyDescent="0.35">
      <c r="A172" s="61">
        <v>41699</v>
      </c>
      <c r="B172">
        <v>90.849941796184496</v>
      </c>
    </row>
    <row r="173" spans="1:2" x14ac:dyDescent="0.35">
      <c r="A173" s="61">
        <v>41730</v>
      </c>
      <c r="B173">
        <v>92.063952035615628</v>
      </c>
    </row>
    <row r="174" spans="1:2" x14ac:dyDescent="0.35">
      <c r="A174" s="61">
        <v>41760</v>
      </c>
      <c r="B174">
        <v>93.008079995383881</v>
      </c>
    </row>
    <row r="175" spans="1:2" x14ac:dyDescent="0.35">
      <c r="A175" s="61">
        <v>41791</v>
      </c>
      <c r="B175">
        <v>93.426875807438066</v>
      </c>
    </row>
    <row r="176" spans="1:2" x14ac:dyDescent="0.35">
      <c r="A176" s="61">
        <v>41821</v>
      </c>
      <c r="B176">
        <v>93.42367127087428</v>
      </c>
    </row>
    <row r="177" spans="1:2" x14ac:dyDescent="0.35">
      <c r="A177" s="61">
        <v>41852</v>
      </c>
      <c r="B177">
        <v>92.975551295152727</v>
      </c>
    </row>
    <row r="178" spans="1:2" x14ac:dyDescent="0.35">
      <c r="A178" s="61">
        <v>41883</v>
      </c>
      <c r="B178">
        <v>91.606361912273456</v>
      </c>
    </row>
    <row r="179" spans="1:2" x14ac:dyDescent="0.35">
      <c r="A179" s="61">
        <v>41913</v>
      </c>
      <c r="B179">
        <v>90.912747088087968</v>
      </c>
    </row>
    <row r="180" spans="1:2" x14ac:dyDescent="0.35">
      <c r="A180" s="61">
        <v>41944</v>
      </c>
      <c r="B180">
        <v>89.911464198667829</v>
      </c>
    </row>
    <row r="181" spans="1:2" x14ac:dyDescent="0.35">
      <c r="A181" s="61">
        <v>41974</v>
      </c>
      <c r="B181">
        <v>88.091455368395458</v>
      </c>
    </row>
    <row r="182" spans="1:2" x14ac:dyDescent="0.35">
      <c r="A182" s="61">
        <v>42005</v>
      </c>
      <c r="B182">
        <v>86.752881713404264</v>
      </c>
    </row>
    <row r="183" spans="1:2" x14ac:dyDescent="0.35">
      <c r="A183" s="61">
        <v>42036</v>
      </c>
      <c r="B183">
        <v>86.044571650477593</v>
      </c>
    </row>
    <row r="184" spans="1:2" x14ac:dyDescent="0.35">
      <c r="A184" s="61">
        <v>42064</v>
      </c>
      <c r="B184">
        <v>84.566596232598329</v>
      </c>
    </row>
    <row r="185" spans="1:2" x14ac:dyDescent="0.35">
      <c r="A185" s="61">
        <v>42095</v>
      </c>
      <c r="B185">
        <v>85.012967245515043</v>
      </c>
    </row>
    <row r="186" spans="1:2" x14ac:dyDescent="0.35">
      <c r="A186" s="61">
        <v>42125</v>
      </c>
      <c r="B186">
        <v>86.130115803577525</v>
      </c>
    </row>
    <row r="187" spans="1:2" x14ac:dyDescent="0.35">
      <c r="A187" s="61">
        <v>42156</v>
      </c>
      <c r="B187">
        <v>85.480381919960436</v>
      </c>
    </row>
    <row r="188" spans="1:2" x14ac:dyDescent="0.35">
      <c r="A188" s="61">
        <v>42186</v>
      </c>
      <c r="B188">
        <v>84.681229095502573</v>
      </c>
    </row>
    <row r="189" spans="1:2" x14ac:dyDescent="0.35">
      <c r="A189" s="61">
        <v>42217</v>
      </c>
      <c r="B189">
        <v>83.313735229534913</v>
      </c>
    </row>
    <row r="190" spans="1:2" x14ac:dyDescent="0.35">
      <c r="A190" s="61">
        <v>42248</v>
      </c>
      <c r="B190">
        <v>85.767223721632533</v>
      </c>
    </row>
    <row r="191" spans="1:2" x14ac:dyDescent="0.35">
      <c r="A191" s="61">
        <v>42278</v>
      </c>
      <c r="B191">
        <v>87.505286286222798</v>
      </c>
    </row>
    <row r="192" spans="1:2" x14ac:dyDescent="0.35">
      <c r="A192" s="61">
        <v>42309</v>
      </c>
      <c r="B192">
        <v>87.432106227573342</v>
      </c>
    </row>
    <row r="193" spans="1:2" x14ac:dyDescent="0.35">
      <c r="A193" s="61">
        <v>42339</v>
      </c>
      <c r="B193">
        <v>86.687689213644092</v>
      </c>
    </row>
    <row r="194" spans="1:2" x14ac:dyDescent="0.35">
      <c r="A194" s="61">
        <v>42370</v>
      </c>
      <c r="B194">
        <v>86.078654195429593</v>
      </c>
    </row>
    <row r="195" spans="1:2" x14ac:dyDescent="0.35">
      <c r="A195" s="61">
        <v>42401</v>
      </c>
      <c r="B195">
        <v>87.037950399508546</v>
      </c>
    </row>
    <row r="196" spans="1:2" x14ac:dyDescent="0.35">
      <c r="A196" s="61">
        <v>42430</v>
      </c>
      <c r="B196">
        <v>87.394904803326114</v>
      </c>
    </row>
    <row r="197" spans="1:2" x14ac:dyDescent="0.35">
      <c r="A197" s="61">
        <v>42461</v>
      </c>
      <c r="B197">
        <v>87.771520105169955</v>
      </c>
    </row>
    <row r="198" spans="1:2" x14ac:dyDescent="0.35">
      <c r="A198" s="61">
        <v>42491</v>
      </c>
      <c r="B198">
        <v>88.673515356816011</v>
      </c>
    </row>
    <row r="199" spans="1:2" x14ac:dyDescent="0.35">
      <c r="A199" s="61">
        <v>42522</v>
      </c>
      <c r="B199">
        <v>89.368406256861761</v>
      </c>
    </row>
    <row r="200" spans="1:2" x14ac:dyDescent="0.35">
      <c r="A200" s="61">
        <v>42552</v>
      </c>
      <c r="B200">
        <v>90.328689938659195</v>
      </c>
    </row>
    <row r="201" spans="1:2" x14ac:dyDescent="0.35">
      <c r="A201" s="61">
        <v>42583</v>
      </c>
      <c r="B201">
        <v>91.836606230271983</v>
      </c>
    </row>
    <row r="202" spans="1:2" x14ac:dyDescent="0.35">
      <c r="A202" s="61">
        <v>42614</v>
      </c>
      <c r="B202">
        <v>92.443500088561464</v>
      </c>
    </row>
    <row r="203" spans="1:2" x14ac:dyDescent="0.35">
      <c r="A203" s="61">
        <v>42644</v>
      </c>
      <c r="B203">
        <v>93.159529859334015</v>
      </c>
    </row>
    <row r="204" spans="1:2" x14ac:dyDescent="0.35">
      <c r="A204" s="61">
        <v>42675</v>
      </c>
      <c r="B204">
        <v>92.437537895628608</v>
      </c>
    </row>
    <row r="205" spans="1:2" x14ac:dyDescent="0.35">
      <c r="A205" s="61">
        <v>42705</v>
      </c>
      <c r="B205">
        <v>92.629584152092377</v>
      </c>
    </row>
    <row r="206" spans="1:2" x14ac:dyDescent="0.35">
      <c r="A206" s="61">
        <v>42736</v>
      </c>
      <c r="B206">
        <v>94.330612084688298</v>
      </c>
    </row>
    <row r="207" spans="1:2" x14ac:dyDescent="0.35">
      <c r="A207" s="61">
        <v>42767</v>
      </c>
      <c r="B207">
        <v>96.260945259115545</v>
      </c>
    </row>
    <row r="208" spans="1:2" x14ac:dyDescent="0.35">
      <c r="A208" s="61">
        <v>42795</v>
      </c>
      <c r="B208">
        <v>97.019161977984382</v>
      </c>
    </row>
    <row r="209" spans="1:2" x14ac:dyDescent="0.35">
      <c r="A209" s="61">
        <v>42826</v>
      </c>
      <c r="B209">
        <v>98.390459784183804</v>
      </c>
    </row>
    <row r="210" spans="1:2" x14ac:dyDescent="0.35">
      <c r="A210" s="61">
        <v>42856</v>
      </c>
      <c r="B210">
        <v>99.27870161124342</v>
      </c>
    </row>
    <row r="211" spans="1:2" x14ac:dyDescent="0.35">
      <c r="A211" s="61">
        <v>42887</v>
      </c>
      <c r="B211">
        <v>100.18122483216507</v>
      </c>
    </row>
    <row r="212" spans="1:2" x14ac:dyDescent="0.35">
      <c r="A212" s="61">
        <v>42917</v>
      </c>
      <c r="B212">
        <v>100.53924372392555</v>
      </c>
    </row>
    <row r="213" spans="1:2" x14ac:dyDescent="0.35">
      <c r="A213" s="61">
        <v>42948</v>
      </c>
      <c r="B213">
        <v>101.78661875174372</v>
      </c>
    </row>
    <row r="214" spans="1:2" x14ac:dyDescent="0.35">
      <c r="A214" s="61">
        <v>42979</v>
      </c>
      <c r="B214">
        <v>102.97374111438135</v>
      </c>
    </row>
    <row r="215" spans="1:2" x14ac:dyDescent="0.35">
      <c r="A215" s="61">
        <v>43009</v>
      </c>
      <c r="B215">
        <v>102.43838946730128</v>
      </c>
    </row>
    <row r="216" spans="1:2" x14ac:dyDescent="0.35">
      <c r="A216" s="61">
        <v>43040</v>
      </c>
      <c r="B216">
        <v>102.42251473200582</v>
      </c>
    </row>
    <row r="217" spans="1:2" x14ac:dyDescent="0.35">
      <c r="A217" s="61">
        <v>43070</v>
      </c>
      <c r="B217">
        <v>102.69879254526099</v>
      </c>
    </row>
    <row r="218" spans="1:2" x14ac:dyDescent="0.35">
      <c r="A218" s="61">
        <v>43101</v>
      </c>
      <c r="B218">
        <v>104.57202312450794</v>
      </c>
    </row>
    <row r="219" spans="1:2" x14ac:dyDescent="0.35">
      <c r="A219" s="61">
        <v>43132</v>
      </c>
      <c r="B219">
        <v>105.54468943783995</v>
      </c>
    </row>
    <row r="220" spans="1:2" x14ac:dyDescent="0.35">
      <c r="A220" s="61">
        <v>43160</v>
      </c>
      <c r="B220">
        <v>105.46353856831327</v>
      </c>
    </row>
    <row r="221" spans="1:2" x14ac:dyDescent="0.35">
      <c r="A221" s="61">
        <v>43191</v>
      </c>
      <c r="B221">
        <v>105.89611712487162</v>
      </c>
    </row>
    <row r="222" spans="1:2" x14ac:dyDescent="0.35">
      <c r="A222" s="61">
        <v>43221</v>
      </c>
      <c r="B222">
        <v>104.51777121350798</v>
      </c>
    </row>
    <row r="223" spans="1:2" x14ac:dyDescent="0.35">
      <c r="A223" s="61">
        <v>43252</v>
      </c>
      <c r="B223">
        <v>104.04120409823091</v>
      </c>
    </row>
    <row r="224" spans="1:2" x14ac:dyDescent="0.35">
      <c r="A224" s="61">
        <v>43282</v>
      </c>
      <c r="B224">
        <v>103.56971652001691</v>
      </c>
    </row>
    <row r="225" spans="1:2" x14ac:dyDescent="0.35">
      <c r="A225" s="61">
        <v>43313</v>
      </c>
      <c r="B225">
        <v>102.62228199065069</v>
      </c>
    </row>
    <row r="226" spans="1:2" x14ac:dyDescent="0.35">
      <c r="A226" s="61">
        <v>43344</v>
      </c>
      <c r="B226">
        <v>101.91116148692724</v>
      </c>
    </row>
    <row r="227" spans="1:2" x14ac:dyDescent="0.35">
      <c r="A227" s="61">
        <v>43374</v>
      </c>
      <c r="B227">
        <v>101.96455178055653</v>
      </c>
    </row>
    <row r="228" spans="1:2" x14ac:dyDescent="0.35">
      <c r="A228" s="61">
        <v>43405</v>
      </c>
      <c r="B228">
        <v>101.21674247382913</v>
      </c>
    </row>
    <row r="229" spans="1:2" x14ac:dyDescent="0.35">
      <c r="A229" s="61">
        <v>43435</v>
      </c>
      <c r="B229">
        <v>101.06760947213695</v>
      </c>
    </row>
    <row r="230" spans="1:2" x14ac:dyDescent="0.35">
      <c r="A230" s="61">
        <v>43466</v>
      </c>
      <c r="B230">
        <v>101.66137663150734</v>
      </c>
    </row>
    <row r="231" spans="1:2" x14ac:dyDescent="0.35">
      <c r="A231" s="61">
        <v>43497</v>
      </c>
      <c r="B231">
        <v>102.70753298443223</v>
      </c>
    </row>
    <row r="232" spans="1:2" x14ac:dyDescent="0.35">
      <c r="A232" s="61">
        <v>43525</v>
      </c>
      <c r="B232">
        <v>103.05435181346893</v>
      </c>
    </row>
    <row r="233" spans="1:2" x14ac:dyDescent="0.35">
      <c r="A233" s="61">
        <v>43556</v>
      </c>
      <c r="B233">
        <v>103.11487970969702</v>
      </c>
    </row>
    <row r="234" spans="1:2" x14ac:dyDescent="0.35">
      <c r="A234" s="61">
        <v>43586</v>
      </c>
      <c r="B234">
        <v>102.11676414173196</v>
      </c>
    </row>
    <row r="235" spans="1:2" x14ac:dyDescent="0.35">
      <c r="A235" s="61">
        <v>43617</v>
      </c>
      <c r="B235">
        <v>102.51922386343851</v>
      </c>
    </row>
    <row r="236" spans="1:2" x14ac:dyDescent="0.35">
      <c r="A236" s="61">
        <v>43647</v>
      </c>
      <c r="B236">
        <v>102.97670573993334</v>
      </c>
    </row>
    <row r="237" spans="1:2" x14ac:dyDescent="0.35">
      <c r="A237" s="61">
        <v>43678</v>
      </c>
      <c r="B237">
        <v>101.45621420327312</v>
      </c>
    </row>
    <row r="238" spans="1:2" x14ac:dyDescent="0.35">
      <c r="A238" s="61">
        <v>43709</v>
      </c>
      <c r="B238">
        <v>101.36676253122883</v>
      </c>
    </row>
    <row r="239" spans="1:2" x14ac:dyDescent="0.35">
      <c r="A239" s="61">
        <v>43739</v>
      </c>
      <c r="B239">
        <v>101.32865377306352</v>
      </c>
    </row>
    <row r="240" spans="1:2" x14ac:dyDescent="0.35">
      <c r="A240" s="61">
        <v>43770</v>
      </c>
      <c r="B240">
        <v>102.20431745712919</v>
      </c>
    </row>
    <row r="241" spans="1:2" x14ac:dyDescent="0.35">
      <c r="A241" s="61">
        <v>43800</v>
      </c>
      <c r="B241">
        <v>102.66403794526991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F571-7453-40B4-AC7E-77FD8D80F940}">
  <dimension ref="A1:D241"/>
  <sheetViews>
    <sheetView workbookViewId="0">
      <selection activeCell="B1" sqref="B1"/>
    </sheetView>
  </sheetViews>
  <sheetFormatPr defaultRowHeight="14.5" x14ac:dyDescent="0.35"/>
  <sheetData>
    <row r="1" spans="1:4" ht="15" thickBot="1" x14ac:dyDescent="0.4">
      <c r="B1" t="s">
        <v>548</v>
      </c>
      <c r="C1" t="s">
        <v>549</v>
      </c>
      <c r="D1" t="s">
        <v>550</v>
      </c>
    </row>
    <row r="2" spans="1:4" ht="15" thickBot="1" x14ac:dyDescent="0.4">
      <c r="A2" s="61">
        <v>36526</v>
      </c>
      <c r="B2" s="62">
        <v>2568.8000000000002</v>
      </c>
      <c r="C2" s="62">
        <v>13646.8</v>
      </c>
      <c r="D2" s="62">
        <v>3303.4</v>
      </c>
    </row>
    <row r="3" spans="1:4" ht="15" thickBot="1" x14ac:dyDescent="0.4">
      <c r="A3" s="61">
        <v>36557</v>
      </c>
      <c r="B3" s="62">
        <v>2532.9</v>
      </c>
      <c r="C3" s="62">
        <v>13699.5</v>
      </c>
      <c r="D3" s="62">
        <v>3289.7</v>
      </c>
    </row>
    <row r="4" spans="1:4" ht="15" thickBot="1" x14ac:dyDescent="0.4">
      <c r="A4" s="61">
        <v>36586</v>
      </c>
      <c r="B4" s="62">
        <v>2440.5</v>
      </c>
      <c r="C4" s="62">
        <v>13770</v>
      </c>
      <c r="D4" s="62">
        <v>3295.3</v>
      </c>
    </row>
    <row r="5" spans="1:4" ht="15" thickBot="1" x14ac:dyDescent="0.4">
      <c r="A5" s="61">
        <v>36617</v>
      </c>
      <c r="B5" s="62">
        <v>2381.4</v>
      </c>
      <c r="C5" s="62">
        <v>13969.4</v>
      </c>
      <c r="D5" s="62">
        <v>3256.9</v>
      </c>
    </row>
    <row r="6" spans="1:4" ht="15" thickBot="1" x14ac:dyDescent="0.4">
      <c r="A6" s="61">
        <v>36647</v>
      </c>
      <c r="B6" s="62">
        <v>2409.6999999999998</v>
      </c>
      <c r="C6" s="62">
        <v>14011.6</v>
      </c>
      <c r="D6" s="62">
        <v>3230.9</v>
      </c>
    </row>
    <row r="7" spans="1:4" ht="15" thickBot="1" x14ac:dyDescent="0.4">
      <c r="A7" s="61">
        <v>36678</v>
      </c>
      <c r="B7" s="62">
        <v>2389</v>
      </c>
      <c r="C7" s="62">
        <v>14073.5</v>
      </c>
      <c r="D7" s="62">
        <v>3219.9</v>
      </c>
    </row>
    <row r="8" spans="1:4" ht="15" thickBot="1" x14ac:dyDescent="0.4">
      <c r="A8" s="61">
        <v>36708</v>
      </c>
      <c r="B8" s="62">
        <v>2437.3000000000002</v>
      </c>
      <c r="C8" s="62">
        <v>13914.5</v>
      </c>
      <c r="D8" s="62">
        <v>3207.1</v>
      </c>
    </row>
    <row r="9" spans="1:4" ht="15" thickBot="1" x14ac:dyDescent="0.4">
      <c r="A9" s="61">
        <v>36739</v>
      </c>
      <c r="B9" s="62">
        <v>2286.3000000000002</v>
      </c>
      <c r="C9" s="62">
        <v>11226.3</v>
      </c>
      <c r="D9" s="62">
        <v>3203.3</v>
      </c>
    </row>
    <row r="10" spans="1:4" ht="15" thickBot="1" x14ac:dyDescent="0.4">
      <c r="A10" s="61">
        <v>36770</v>
      </c>
      <c r="B10" s="62">
        <v>2331.6999999999998</v>
      </c>
      <c r="C10" s="62">
        <v>11257.8</v>
      </c>
      <c r="D10" s="62">
        <v>3164.8</v>
      </c>
    </row>
    <row r="11" spans="1:4" ht="15" thickBot="1" x14ac:dyDescent="0.4">
      <c r="A11" s="61">
        <v>36800</v>
      </c>
      <c r="B11" s="62">
        <v>2318.4</v>
      </c>
      <c r="C11" s="62">
        <v>11186.1</v>
      </c>
      <c r="D11" s="62">
        <v>3129.3</v>
      </c>
    </row>
    <row r="12" spans="1:4" ht="15" thickBot="1" x14ac:dyDescent="0.4">
      <c r="A12" s="61">
        <v>36831</v>
      </c>
      <c r="B12" s="62">
        <v>2292.6999999999998</v>
      </c>
      <c r="C12" s="62">
        <v>11161.9</v>
      </c>
      <c r="D12" s="62">
        <v>3113.9</v>
      </c>
    </row>
    <row r="13" spans="1:4" ht="15" thickBot="1" x14ac:dyDescent="0.4">
      <c r="A13" s="61">
        <v>36861</v>
      </c>
      <c r="B13" s="62">
        <v>2229.1</v>
      </c>
      <c r="C13" s="62">
        <v>11335.4</v>
      </c>
      <c r="D13" s="62">
        <v>2833.5</v>
      </c>
    </row>
    <row r="14" spans="1:4" ht="15" thickBot="1" x14ac:dyDescent="0.4">
      <c r="A14" s="61">
        <v>36892</v>
      </c>
      <c r="B14" s="62">
        <v>2238.8000000000002</v>
      </c>
      <c r="C14" s="62">
        <v>11293.7</v>
      </c>
      <c r="D14" s="62">
        <v>2803.5</v>
      </c>
    </row>
    <row r="15" spans="1:4" ht="15" thickBot="1" x14ac:dyDescent="0.4">
      <c r="A15" s="61">
        <v>36923</v>
      </c>
      <c r="B15" s="62">
        <v>2356.8000000000002</v>
      </c>
      <c r="C15" s="62">
        <v>11322.1</v>
      </c>
      <c r="D15" s="62">
        <v>2752.1</v>
      </c>
    </row>
    <row r="16" spans="1:4" ht="15" thickBot="1" x14ac:dyDescent="0.4">
      <c r="A16" s="61">
        <v>36951</v>
      </c>
      <c r="B16" s="62">
        <v>2342.8000000000002</v>
      </c>
      <c r="C16" s="62">
        <v>11250.1</v>
      </c>
      <c r="D16" s="62">
        <v>2747</v>
      </c>
    </row>
    <row r="17" spans="1:4" ht="15" thickBot="1" x14ac:dyDescent="0.4">
      <c r="A17" s="61">
        <v>36982</v>
      </c>
      <c r="B17" s="62">
        <v>2242</v>
      </c>
      <c r="C17" s="62">
        <v>11210.9</v>
      </c>
      <c r="D17" s="62">
        <v>2694.8</v>
      </c>
    </row>
    <row r="18" spans="1:4" ht="15" thickBot="1" x14ac:dyDescent="0.4">
      <c r="A18" s="61">
        <v>37012</v>
      </c>
      <c r="B18" s="62">
        <v>2397.3000000000002</v>
      </c>
      <c r="C18" s="62">
        <v>11218.2</v>
      </c>
      <c r="D18" s="62">
        <v>2979.7</v>
      </c>
    </row>
    <row r="19" spans="1:4" ht="15" thickBot="1" x14ac:dyDescent="0.4">
      <c r="A19" s="61">
        <v>37043</v>
      </c>
      <c r="B19" s="62">
        <v>2284</v>
      </c>
      <c r="C19" s="62">
        <v>11240.1</v>
      </c>
      <c r="D19" s="62">
        <v>2979.4</v>
      </c>
    </row>
    <row r="20" spans="1:4" ht="15" thickBot="1" x14ac:dyDescent="0.4">
      <c r="A20" s="61">
        <v>37073</v>
      </c>
      <c r="B20" s="62">
        <v>2384</v>
      </c>
      <c r="C20" s="62">
        <v>11158.3</v>
      </c>
      <c r="D20" s="62">
        <v>2944.4</v>
      </c>
    </row>
    <row r="21" spans="1:4" ht="15" thickBot="1" x14ac:dyDescent="0.4">
      <c r="A21" s="61">
        <v>37104</v>
      </c>
      <c r="B21" s="62">
        <v>2336.5</v>
      </c>
      <c r="C21" s="62">
        <v>11214.2</v>
      </c>
      <c r="D21" s="62">
        <v>2886.7</v>
      </c>
    </row>
    <row r="22" spans="1:4" ht="15" thickBot="1" x14ac:dyDescent="0.4">
      <c r="A22" s="61">
        <v>37135</v>
      </c>
      <c r="B22" s="62">
        <v>2442.8000000000002</v>
      </c>
      <c r="C22" s="62">
        <v>11262.5</v>
      </c>
      <c r="D22" s="62">
        <v>2859</v>
      </c>
    </row>
    <row r="23" spans="1:4" ht="15" thickBot="1" x14ac:dyDescent="0.4">
      <c r="A23" s="61">
        <v>37165</v>
      </c>
      <c r="B23" s="62">
        <v>2474.6999999999998</v>
      </c>
      <c r="C23" s="62">
        <v>11227.3</v>
      </c>
      <c r="D23" s="62">
        <v>2849.2</v>
      </c>
    </row>
    <row r="24" spans="1:4" ht="15" thickBot="1" x14ac:dyDescent="0.4">
      <c r="A24" s="61">
        <v>37196</v>
      </c>
      <c r="B24" s="62">
        <v>2865.2</v>
      </c>
      <c r="C24" s="62">
        <v>11185.6</v>
      </c>
      <c r="D24" s="62">
        <v>2893</v>
      </c>
    </row>
    <row r="25" spans="1:4" ht="15" thickBot="1" x14ac:dyDescent="0.4">
      <c r="A25" s="61">
        <v>37226</v>
      </c>
      <c r="B25" s="62">
        <v>3038</v>
      </c>
      <c r="C25" s="62">
        <v>11372.8</v>
      </c>
      <c r="D25" s="62">
        <v>2809.1</v>
      </c>
    </row>
    <row r="26" spans="1:4" x14ac:dyDescent="0.35">
      <c r="A26" s="61">
        <v>37257</v>
      </c>
      <c r="B26" s="133">
        <v>3394.9</v>
      </c>
      <c r="C26" s="133">
        <v>11373.6</v>
      </c>
      <c r="D26" s="134">
        <v>2892.4</v>
      </c>
    </row>
    <row r="27" spans="1:4" x14ac:dyDescent="0.35">
      <c r="A27" s="61">
        <v>37288</v>
      </c>
      <c r="B27" s="133">
        <v>4102.8999999999996</v>
      </c>
      <c r="C27" s="133">
        <v>11347.1</v>
      </c>
      <c r="D27" s="134">
        <v>2774.8</v>
      </c>
    </row>
    <row r="28" spans="1:4" x14ac:dyDescent="0.35">
      <c r="A28" s="61">
        <v>37316</v>
      </c>
      <c r="B28" s="133">
        <v>4169.3999999999996</v>
      </c>
      <c r="C28" s="133">
        <v>11307.4</v>
      </c>
      <c r="D28" s="134">
        <v>2773.5</v>
      </c>
    </row>
    <row r="29" spans="1:4" x14ac:dyDescent="0.35">
      <c r="A29" s="61">
        <v>37347</v>
      </c>
      <c r="B29" s="133">
        <v>4189.5</v>
      </c>
      <c r="C29" s="133">
        <v>11247.5</v>
      </c>
      <c r="D29" s="134">
        <v>2857.6</v>
      </c>
    </row>
    <row r="30" spans="1:4" x14ac:dyDescent="0.35">
      <c r="A30" s="61">
        <v>37377</v>
      </c>
      <c r="B30" s="133">
        <v>4209.2</v>
      </c>
      <c r="C30" s="133">
        <v>11312.7</v>
      </c>
      <c r="D30" s="134">
        <v>2855.4</v>
      </c>
    </row>
    <row r="31" spans="1:4" x14ac:dyDescent="0.35">
      <c r="A31" s="61">
        <v>37408</v>
      </c>
      <c r="B31" s="133">
        <v>4126.8999999999996</v>
      </c>
      <c r="C31" s="133">
        <v>11414.4</v>
      </c>
      <c r="D31" s="134">
        <v>2870.7</v>
      </c>
    </row>
    <row r="32" spans="1:4" x14ac:dyDescent="0.35">
      <c r="A32" s="61">
        <v>37438</v>
      </c>
      <c r="B32" s="133">
        <v>4928.3</v>
      </c>
      <c r="C32" s="133">
        <v>11329.5</v>
      </c>
      <c r="D32" s="134">
        <v>2862.4</v>
      </c>
    </row>
    <row r="33" spans="1:4" x14ac:dyDescent="0.35">
      <c r="A33" s="61">
        <v>37469</v>
      </c>
      <c r="B33" s="133">
        <v>4628.2</v>
      </c>
      <c r="C33" s="133">
        <v>11300.4</v>
      </c>
      <c r="D33" s="134">
        <v>2866.1</v>
      </c>
    </row>
    <row r="34" spans="1:4" x14ac:dyDescent="0.35">
      <c r="A34" s="61">
        <v>37500</v>
      </c>
      <c r="B34" s="133">
        <v>4642</v>
      </c>
      <c r="C34" s="133">
        <v>11256.1</v>
      </c>
      <c r="D34" s="134">
        <v>2850.9</v>
      </c>
    </row>
    <row r="35" spans="1:4" x14ac:dyDescent="0.35">
      <c r="A35" s="61">
        <v>37530</v>
      </c>
      <c r="B35" s="133">
        <v>4511.5</v>
      </c>
      <c r="C35" s="133">
        <v>11245.8</v>
      </c>
      <c r="D35" s="134">
        <v>2796.3</v>
      </c>
    </row>
    <row r="36" spans="1:4" x14ac:dyDescent="0.35">
      <c r="A36" s="61">
        <v>37561</v>
      </c>
      <c r="B36" s="133">
        <v>4355.3999999999996</v>
      </c>
      <c r="C36" s="133">
        <v>11319.9</v>
      </c>
      <c r="D36" s="134">
        <v>2775.2</v>
      </c>
    </row>
    <row r="37" spans="1:4" x14ac:dyDescent="0.35">
      <c r="A37" s="61">
        <v>37591</v>
      </c>
      <c r="B37" s="133">
        <v>4899.3999999999996</v>
      </c>
      <c r="C37" s="133">
        <v>11388.1</v>
      </c>
      <c r="D37" s="134">
        <v>2771.1</v>
      </c>
    </row>
    <row r="38" spans="1:4" x14ac:dyDescent="0.35">
      <c r="A38" s="61">
        <v>37622</v>
      </c>
      <c r="B38" s="133">
        <v>4825.1000000000004</v>
      </c>
      <c r="C38" s="133">
        <v>11413.1</v>
      </c>
      <c r="D38" s="133">
        <v>2777.8</v>
      </c>
    </row>
    <row r="39" spans="1:4" x14ac:dyDescent="0.35">
      <c r="A39" s="61">
        <v>37653</v>
      </c>
      <c r="B39" s="133">
        <v>4985</v>
      </c>
      <c r="C39" s="133">
        <v>11323.4</v>
      </c>
      <c r="D39" s="133">
        <v>2821.1</v>
      </c>
    </row>
    <row r="40" spans="1:4" x14ac:dyDescent="0.35">
      <c r="A40" s="61">
        <v>37681</v>
      </c>
      <c r="B40" s="133">
        <v>4961</v>
      </c>
      <c r="C40" s="133">
        <v>11238.9</v>
      </c>
      <c r="D40" s="133">
        <v>2825.9</v>
      </c>
    </row>
    <row r="41" spans="1:4" x14ac:dyDescent="0.35">
      <c r="A41" s="61">
        <v>37712</v>
      </c>
      <c r="B41" s="133">
        <v>5111.8</v>
      </c>
      <c r="C41" s="133">
        <v>11207.9</v>
      </c>
      <c r="D41" s="133">
        <v>2854.6</v>
      </c>
    </row>
    <row r="42" spans="1:4" x14ac:dyDescent="0.35">
      <c r="A42" s="61">
        <v>37742</v>
      </c>
      <c r="B42" s="133">
        <v>4571.2</v>
      </c>
      <c r="C42" s="133">
        <v>11303.9</v>
      </c>
      <c r="D42" s="133">
        <v>2839.6</v>
      </c>
    </row>
    <row r="43" spans="1:4" x14ac:dyDescent="0.35">
      <c r="A43" s="61">
        <v>37773</v>
      </c>
      <c r="B43" s="133">
        <v>5187.7</v>
      </c>
      <c r="C43" s="133">
        <v>11238.9</v>
      </c>
      <c r="D43" s="133">
        <v>2900.6</v>
      </c>
    </row>
    <row r="44" spans="1:4" x14ac:dyDescent="0.35">
      <c r="A44" s="61">
        <v>37803</v>
      </c>
      <c r="B44" s="133">
        <v>5189.8</v>
      </c>
      <c r="C44" s="133">
        <v>11191.8</v>
      </c>
      <c r="D44" s="133">
        <v>2892.2</v>
      </c>
    </row>
    <row r="45" spans="1:4" x14ac:dyDescent="0.35">
      <c r="A45" s="61">
        <v>37834</v>
      </c>
      <c r="B45" s="133">
        <v>5264.3</v>
      </c>
      <c r="C45" s="133">
        <v>11191.1</v>
      </c>
      <c r="D45" s="133">
        <v>2908.4</v>
      </c>
    </row>
    <row r="46" spans="1:4" x14ac:dyDescent="0.35">
      <c r="A46" s="61">
        <v>37865</v>
      </c>
      <c r="B46" s="133">
        <v>5093.8999999999996</v>
      </c>
      <c r="C46" s="133">
        <v>11363.4</v>
      </c>
      <c r="D46" s="133">
        <v>2976.8</v>
      </c>
    </row>
    <row r="47" spans="1:4" x14ac:dyDescent="0.35">
      <c r="A47" s="61">
        <v>37895</v>
      </c>
      <c r="B47" s="133">
        <v>5134.8999999999996</v>
      </c>
      <c r="C47" s="133">
        <v>11444.7</v>
      </c>
      <c r="D47" s="133">
        <v>3008.3</v>
      </c>
    </row>
    <row r="48" spans="1:4" x14ac:dyDescent="0.35">
      <c r="A48" s="61">
        <v>37926</v>
      </c>
      <c r="B48" s="133">
        <v>5304.4</v>
      </c>
      <c r="C48" s="133">
        <v>11465.8</v>
      </c>
      <c r="D48" s="133">
        <v>3027.2</v>
      </c>
    </row>
    <row r="49" spans="1:4" x14ac:dyDescent="0.35">
      <c r="A49" s="61">
        <v>37956</v>
      </c>
      <c r="B49" s="133">
        <v>5101.8999999999996</v>
      </c>
      <c r="C49" s="133">
        <v>11493.2</v>
      </c>
      <c r="D49" s="133">
        <v>3016.2</v>
      </c>
    </row>
    <row r="50" spans="1:4" x14ac:dyDescent="0.35">
      <c r="A50" s="61">
        <v>37987</v>
      </c>
      <c r="B50" s="133">
        <v>5534.3</v>
      </c>
      <c r="C50" s="133">
        <v>11471.1</v>
      </c>
      <c r="D50" s="133">
        <v>2965.9</v>
      </c>
    </row>
    <row r="51" spans="1:4" x14ac:dyDescent="0.35">
      <c r="A51" s="61">
        <v>38018</v>
      </c>
      <c r="B51" s="133">
        <v>5461.4</v>
      </c>
      <c r="C51" s="133">
        <v>11393.2</v>
      </c>
      <c r="D51" s="133">
        <v>3056.6</v>
      </c>
    </row>
    <row r="52" spans="1:4" x14ac:dyDescent="0.35">
      <c r="A52" s="61">
        <v>38047</v>
      </c>
      <c r="B52" s="133">
        <v>5656.4</v>
      </c>
      <c r="C52" s="133">
        <v>11369.6</v>
      </c>
      <c r="D52" s="133">
        <v>3159.7</v>
      </c>
    </row>
    <row r="53" spans="1:4" x14ac:dyDescent="0.35">
      <c r="A53" s="61">
        <v>38078</v>
      </c>
      <c r="B53" s="133">
        <v>5612</v>
      </c>
      <c r="C53" s="133">
        <v>11218.3</v>
      </c>
      <c r="D53" s="133">
        <v>3230.1</v>
      </c>
    </row>
    <row r="54" spans="1:4" x14ac:dyDescent="0.35">
      <c r="A54" s="61">
        <v>38108</v>
      </c>
      <c r="B54" s="133">
        <v>5013.3</v>
      </c>
      <c r="C54" s="133">
        <v>11236.3</v>
      </c>
      <c r="D54" s="133">
        <v>3249.6</v>
      </c>
    </row>
    <row r="55" spans="1:4" x14ac:dyDescent="0.35">
      <c r="A55" s="61">
        <v>38139</v>
      </c>
      <c r="B55" s="133">
        <v>5389.5</v>
      </c>
      <c r="C55" s="133">
        <v>11165.1</v>
      </c>
      <c r="D55" s="133">
        <v>3270.9</v>
      </c>
    </row>
    <row r="56" spans="1:4" x14ac:dyDescent="0.35">
      <c r="A56" s="61">
        <v>38169</v>
      </c>
      <c r="B56" s="133">
        <v>5318.7</v>
      </c>
      <c r="C56" s="133">
        <v>11090.7</v>
      </c>
      <c r="D56" s="133">
        <v>3325.4</v>
      </c>
    </row>
    <row r="57" spans="1:4" x14ac:dyDescent="0.35">
      <c r="A57" s="61">
        <v>38200</v>
      </c>
      <c r="B57" s="133">
        <v>5432.9</v>
      </c>
      <c r="C57" s="133">
        <v>11028.4</v>
      </c>
      <c r="D57" s="133">
        <v>3480.1</v>
      </c>
    </row>
    <row r="58" spans="1:4" x14ac:dyDescent="0.35">
      <c r="A58" s="61">
        <v>38231</v>
      </c>
      <c r="B58" s="133">
        <v>5804</v>
      </c>
      <c r="C58" s="133">
        <v>11072</v>
      </c>
      <c r="D58" s="133">
        <v>3491.2</v>
      </c>
    </row>
    <row r="59" spans="1:4" x14ac:dyDescent="0.35">
      <c r="A59" s="61">
        <v>38261</v>
      </c>
      <c r="B59" s="133">
        <v>5849.1</v>
      </c>
      <c r="C59" s="133">
        <v>11045.3</v>
      </c>
      <c r="D59" s="133">
        <v>3624.2</v>
      </c>
    </row>
    <row r="60" spans="1:4" x14ac:dyDescent="0.35">
      <c r="A60" s="61">
        <v>38292</v>
      </c>
      <c r="B60" s="133">
        <v>6157.4</v>
      </c>
      <c r="C60" s="133">
        <v>11051.8</v>
      </c>
      <c r="D60" s="133">
        <v>3570.1</v>
      </c>
    </row>
    <row r="61" spans="1:4" x14ac:dyDescent="0.35">
      <c r="A61" s="61">
        <v>38322</v>
      </c>
      <c r="B61" s="133">
        <v>5948.5</v>
      </c>
      <c r="C61" s="133">
        <v>11061.6</v>
      </c>
      <c r="D61" s="133">
        <v>3489.1</v>
      </c>
    </row>
    <row r="62" spans="1:4" x14ac:dyDescent="0.35">
      <c r="A62" s="61">
        <v>38353</v>
      </c>
      <c r="B62" s="132">
        <v>6310.0110000000004</v>
      </c>
      <c r="C62" s="130">
        <v>10933.045000000002</v>
      </c>
      <c r="D62" s="135">
        <v>3650.4</v>
      </c>
    </row>
    <row r="63" spans="1:4" x14ac:dyDescent="0.35">
      <c r="A63" s="61">
        <v>38384</v>
      </c>
      <c r="B63" s="132">
        <v>6335.1240000000007</v>
      </c>
      <c r="C63" s="130">
        <v>10877.936000000002</v>
      </c>
      <c r="D63" s="135">
        <v>3738.2</v>
      </c>
    </row>
    <row r="64" spans="1:4" x14ac:dyDescent="0.35">
      <c r="A64" s="61">
        <v>38412</v>
      </c>
      <c r="B64" s="132">
        <v>6259.5500000000011</v>
      </c>
      <c r="C64" s="130">
        <v>10860.507000000001</v>
      </c>
      <c r="D64" s="135">
        <v>3810.9</v>
      </c>
    </row>
    <row r="65" spans="1:4" x14ac:dyDescent="0.35">
      <c r="A65" s="61">
        <v>38443</v>
      </c>
      <c r="B65" s="132">
        <v>6296.0920000000006</v>
      </c>
      <c r="C65" s="130">
        <v>10768.296</v>
      </c>
      <c r="D65" s="135">
        <v>3875.9</v>
      </c>
    </row>
    <row r="66" spans="1:4" x14ac:dyDescent="0.35">
      <c r="A66" s="61">
        <v>38473</v>
      </c>
      <c r="B66" s="132">
        <v>5870.2940000000008</v>
      </c>
      <c r="C66" s="130">
        <v>10655.107</v>
      </c>
      <c r="D66" s="135">
        <v>3854.4</v>
      </c>
    </row>
    <row r="67" spans="1:4" x14ac:dyDescent="0.35">
      <c r="A67" s="61">
        <v>38504</v>
      </c>
      <c r="B67" s="132">
        <v>6031.6840000000002</v>
      </c>
      <c r="C67" s="130">
        <v>10538.092999999999</v>
      </c>
      <c r="D67" s="135">
        <v>3879.1</v>
      </c>
    </row>
    <row r="68" spans="1:4" x14ac:dyDescent="0.35">
      <c r="A68" s="61">
        <v>38534</v>
      </c>
      <c r="B68" s="132">
        <v>6133.6490000000013</v>
      </c>
      <c r="C68" s="130">
        <v>10448.133000000002</v>
      </c>
      <c r="D68" s="135">
        <v>3807.1</v>
      </c>
    </row>
    <row r="69" spans="1:4" x14ac:dyDescent="0.35">
      <c r="A69" s="61">
        <v>38565</v>
      </c>
      <c r="B69" s="132">
        <v>6278.5830000000005</v>
      </c>
      <c r="C69" s="130">
        <v>10447.805</v>
      </c>
      <c r="D69" s="135">
        <v>3919</v>
      </c>
    </row>
    <row r="70" spans="1:4" x14ac:dyDescent="0.35">
      <c r="A70" s="61">
        <v>38596</v>
      </c>
      <c r="B70" s="132">
        <v>6349.2310000000016</v>
      </c>
      <c r="C70" s="130">
        <v>10394.889000000001</v>
      </c>
      <c r="D70" s="135">
        <v>3926.1</v>
      </c>
    </row>
    <row r="71" spans="1:4" x14ac:dyDescent="0.35">
      <c r="A71" s="61">
        <v>38626</v>
      </c>
      <c r="B71" s="132">
        <v>6247.4100000000008</v>
      </c>
      <c r="C71" s="130">
        <v>10336.244000000001</v>
      </c>
      <c r="D71" s="135">
        <v>3854.5</v>
      </c>
    </row>
    <row r="72" spans="1:4" x14ac:dyDescent="0.35">
      <c r="A72" s="61">
        <v>38657</v>
      </c>
      <c r="B72" s="132">
        <v>6300.8820000000005</v>
      </c>
      <c r="C72" s="130">
        <v>10211.271999999999</v>
      </c>
      <c r="D72" s="135">
        <v>3817.1</v>
      </c>
    </row>
    <row r="73" spans="1:4" x14ac:dyDescent="0.35">
      <c r="A73" s="61">
        <v>38687</v>
      </c>
      <c r="B73" s="132">
        <v>6386.677999999999</v>
      </c>
      <c r="C73" s="130">
        <v>10851.012999999999</v>
      </c>
      <c r="D73" s="135">
        <v>3686.3</v>
      </c>
    </row>
    <row r="74" spans="1:4" x14ac:dyDescent="0.35">
      <c r="A74" s="61">
        <v>38718</v>
      </c>
      <c r="B74" s="132">
        <v>6539.2169999999987</v>
      </c>
      <c r="C74" s="130">
        <v>10804.783000000001</v>
      </c>
      <c r="D74" s="136">
        <v>3544.8726689500018</v>
      </c>
    </row>
    <row r="75" spans="1:4" x14ac:dyDescent="0.35">
      <c r="A75" s="61">
        <v>38749</v>
      </c>
      <c r="B75" s="132">
        <v>6300.985999999999</v>
      </c>
      <c r="C75" s="130">
        <v>10840.046999999999</v>
      </c>
      <c r="D75" s="136">
        <v>3578.1736689500017</v>
      </c>
    </row>
    <row r="76" spans="1:4" x14ac:dyDescent="0.35">
      <c r="A76" s="61">
        <v>38777</v>
      </c>
      <c r="B76" s="132">
        <v>6348.6129999999994</v>
      </c>
      <c r="C76" s="130">
        <v>11234.585999999999</v>
      </c>
      <c r="D76" s="136">
        <v>3828.7256689500023</v>
      </c>
    </row>
    <row r="77" spans="1:4" x14ac:dyDescent="0.35">
      <c r="A77" s="61">
        <v>38808</v>
      </c>
      <c r="B77" s="132">
        <v>6517.2599999999984</v>
      </c>
      <c r="C77" s="130">
        <v>11251.293</v>
      </c>
      <c r="D77" s="136">
        <v>3759.5146689500016</v>
      </c>
    </row>
    <row r="78" spans="1:4" x14ac:dyDescent="0.35">
      <c r="A78" s="61">
        <v>38838</v>
      </c>
      <c r="B78" s="132">
        <v>6412.8229999999985</v>
      </c>
      <c r="C78" s="130">
        <v>10502.025999999998</v>
      </c>
      <c r="D78" s="136">
        <v>3743.5696689500019</v>
      </c>
    </row>
    <row r="79" spans="1:4" x14ac:dyDescent="0.35">
      <c r="A79" s="61">
        <v>38869</v>
      </c>
      <c r="B79" s="132">
        <v>6494.445999999999</v>
      </c>
      <c r="C79" s="130">
        <v>10402.148999999999</v>
      </c>
      <c r="D79" s="136">
        <v>3629.4986689500015</v>
      </c>
    </row>
    <row r="80" spans="1:4" x14ac:dyDescent="0.35">
      <c r="A80" s="61">
        <v>38899</v>
      </c>
      <c r="B80" s="132">
        <v>6518.2409999999991</v>
      </c>
      <c r="C80" s="130">
        <v>10371.397999999999</v>
      </c>
      <c r="D80" s="136">
        <v>3530.5096689500019</v>
      </c>
    </row>
    <row r="81" spans="1:4" x14ac:dyDescent="0.35">
      <c r="A81" s="61">
        <v>38930</v>
      </c>
      <c r="B81" s="132">
        <v>6656.1669999999995</v>
      </c>
      <c r="C81" s="130">
        <v>10276.947999999999</v>
      </c>
      <c r="D81" s="136">
        <v>3521.4436689500026</v>
      </c>
    </row>
    <row r="82" spans="1:4" x14ac:dyDescent="0.35">
      <c r="A82" s="61">
        <v>38961</v>
      </c>
      <c r="B82" s="132">
        <v>6704.7920000000004</v>
      </c>
      <c r="C82" s="130">
        <v>10247.182999999999</v>
      </c>
      <c r="D82" s="136">
        <v>3284.628668950003</v>
      </c>
    </row>
    <row r="83" spans="1:4" x14ac:dyDescent="0.35">
      <c r="A83" s="61">
        <v>38991</v>
      </c>
      <c r="B83" s="132">
        <v>6783.811999999999</v>
      </c>
      <c r="C83" s="130">
        <v>10328.251</v>
      </c>
      <c r="D83" s="136">
        <v>3392.9886689500026</v>
      </c>
    </row>
    <row r="84" spans="1:4" x14ac:dyDescent="0.35">
      <c r="A84" s="61">
        <v>39022</v>
      </c>
      <c r="B84" s="132">
        <v>7027.7729999999974</v>
      </c>
      <c r="C84" s="130">
        <v>10312.526999999998</v>
      </c>
      <c r="D84" s="136">
        <v>3377.7856689500027</v>
      </c>
    </row>
    <row r="85" spans="1:4" x14ac:dyDescent="0.35">
      <c r="A85" s="61">
        <v>39052</v>
      </c>
      <c r="B85" s="132">
        <v>6884.1359999999986</v>
      </c>
      <c r="C85" s="130">
        <v>10215.672999999999</v>
      </c>
      <c r="D85" s="136">
        <v>3277.6356689500026</v>
      </c>
    </row>
    <row r="86" spans="1:4" x14ac:dyDescent="0.35">
      <c r="A86" s="61">
        <v>39083</v>
      </c>
      <c r="B86" s="132">
        <v>6858.9599999999991</v>
      </c>
      <c r="C86" s="130">
        <v>10172.418999999998</v>
      </c>
      <c r="D86" s="137">
        <v>3254.8889815600023</v>
      </c>
    </row>
    <row r="87" spans="1:4" x14ac:dyDescent="0.35">
      <c r="A87" s="61">
        <v>39114</v>
      </c>
      <c r="B87" s="132">
        <v>6876.2059999999983</v>
      </c>
      <c r="C87" s="130">
        <v>10483.447999999999</v>
      </c>
      <c r="D87" s="137">
        <v>3304.0459815600025</v>
      </c>
    </row>
    <row r="88" spans="1:4" x14ac:dyDescent="0.35">
      <c r="A88" s="61">
        <v>39142</v>
      </c>
      <c r="B88" s="132">
        <v>6979.9759999999987</v>
      </c>
      <c r="C88" s="130">
        <v>10379.413</v>
      </c>
      <c r="D88" s="137">
        <v>3213.7889815600024</v>
      </c>
    </row>
    <row r="89" spans="1:4" x14ac:dyDescent="0.35">
      <c r="A89" s="61">
        <v>39173</v>
      </c>
      <c r="B89" s="132">
        <v>7039.2539999999981</v>
      </c>
      <c r="C89" s="130">
        <v>10306.784</v>
      </c>
      <c r="D89" s="137">
        <v>3013.8809815600025</v>
      </c>
    </row>
    <row r="90" spans="1:4" x14ac:dyDescent="0.35">
      <c r="A90" s="61">
        <v>39203</v>
      </c>
      <c r="B90" s="132">
        <v>7038.3869999999997</v>
      </c>
      <c r="C90" s="130">
        <v>10355.175000000001</v>
      </c>
      <c r="D90" s="137">
        <v>2863.5369815600029</v>
      </c>
    </row>
    <row r="91" spans="1:4" x14ac:dyDescent="0.35">
      <c r="A91" s="61">
        <v>39234</v>
      </c>
      <c r="B91" s="132">
        <v>7178.9649999999992</v>
      </c>
      <c r="C91" s="130">
        <v>10369.189999999999</v>
      </c>
      <c r="D91" s="137">
        <v>2880.0029815600028</v>
      </c>
    </row>
    <row r="92" spans="1:4" x14ac:dyDescent="0.35">
      <c r="A92" s="61">
        <v>39264</v>
      </c>
      <c r="B92" s="132">
        <v>7274.7880000000005</v>
      </c>
      <c r="C92" s="130">
        <v>10383.156999999997</v>
      </c>
      <c r="D92" s="137">
        <v>2969.1119815600027</v>
      </c>
    </row>
    <row r="93" spans="1:4" x14ac:dyDescent="0.35">
      <c r="A93" s="61">
        <v>39295</v>
      </c>
      <c r="B93" s="132">
        <v>7387.4529999999986</v>
      </c>
      <c r="C93" s="130">
        <v>10357.796999999999</v>
      </c>
      <c r="D93" s="137">
        <v>3038.1729815600029</v>
      </c>
    </row>
    <row r="94" spans="1:4" x14ac:dyDescent="0.35">
      <c r="A94" s="61">
        <v>39326</v>
      </c>
      <c r="B94" s="132">
        <v>7368.5969999999988</v>
      </c>
      <c r="C94" s="130">
        <v>10349.483</v>
      </c>
      <c r="D94" s="137">
        <v>3066.2329815600033</v>
      </c>
    </row>
    <row r="95" spans="1:4" x14ac:dyDescent="0.35">
      <c r="A95" s="61">
        <v>39356</v>
      </c>
      <c r="B95" s="132">
        <v>7369.869999999999</v>
      </c>
      <c r="C95" s="130">
        <v>10379.51</v>
      </c>
      <c r="D95" s="137">
        <v>3114.4689815600032</v>
      </c>
    </row>
    <row r="96" spans="1:4" x14ac:dyDescent="0.35">
      <c r="A96" s="61">
        <v>39387</v>
      </c>
      <c r="B96" s="132">
        <v>6918.1880000000001</v>
      </c>
      <c r="C96" s="130">
        <v>10357.311</v>
      </c>
      <c r="D96" s="137">
        <v>3148.5919815600032</v>
      </c>
    </row>
    <row r="97" spans="1:4" x14ac:dyDescent="0.35">
      <c r="A97" s="61">
        <v>39417</v>
      </c>
      <c r="B97" s="132">
        <v>6839.3560000000007</v>
      </c>
      <c r="C97" s="130">
        <v>10633.373</v>
      </c>
      <c r="D97" s="137">
        <v>3240.081981560003</v>
      </c>
    </row>
    <row r="98" spans="1:4" x14ac:dyDescent="0.35">
      <c r="A98" s="61">
        <v>39448</v>
      </c>
      <c r="B98" s="132">
        <v>7018.0790000000006</v>
      </c>
      <c r="C98" s="130">
        <v>10451.919</v>
      </c>
      <c r="D98" s="131">
        <v>3183.4519815600033</v>
      </c>
    </row>
    <row r="99" spans="1:4" x14ac:dyDescent="0.35">
      <c r="A99" s="61">
        <v>39479</v>
      </c>
      <c r="B99" s="132">
        <v>6971.5819999999994</v>
      </c>
      <c r="C99" s="130">
        <v>10445.585999999999</v>
      </c>
      <c r="D99" s="131">
        <v>3147.5529815600034</v>
      </c>
    </row>
    <row r="100" spans="1:4" x14ac:dyDescent="0.35">
      <c r="A100" s="61">
        <v>39508</v>
      </c>
      <c r="B100" s="132">
        <v>6735.148000000001</v>
      </c>
      <c r="C100" s="130">
        <v>10392.182999999999</v>
      </c>
      <c r="D100" s="131">
        <v>3088.6409815600036</v>
      </c>
    </row>
    <row r="101" spans="1:4" x14ac:dyDescent="0.35">
      <c r="A101" s="61">
        <v>39539</v>
      </c>
      <c r="B101" s="132">
        <v>6878.0910000000003</v>
      </c>
      <c r="C101" s="130">
        <v>10296.33</v>
      </c>
      <c r="D101" s="131">
        <v>3050.7169815600037</v>
      </c>
    </row>
    <row r="102" spans="1:4" x14ac:dyDescent="0.35">
      <c r="A102" s="61">
        <v>39569</v>
      </c>
      <c r="B102" s="132">
        <v>6891.9250000000011</v>
      </c>
      <c r="C102" s="130">
        <v>10134.933999999997</v>
      </c>
      <c r="D102" s="131">
        <v>3061.9069815600042</v>
      </c>
    </row>
    <row r="103" spans="1:4" x14ac:dyDescent="0.35">
      <c r="A103" s="61">
        <v>39600</v>
      </c>
      <c r="B103" s="132">
        <v>6730.9680000000017</v>
      </c>
      <c r="C103" s="130">
        <v>10081.232</v>
      </c>
      <c r="D103" s="131">
        <v>3038.307981560004</v>
      </c>
    </row>
    <row r="104" spans="1:4" x14ac:dyDescent="0.35">
      <c r="A104" s="61">
        <v>39630</v>
      </c>
      <c r="B104" s="132">
        <v>6712.152000000001</v>
      </c>
      <c r="C104" s="130">
        <v>10094.484999999999</v>
      </c>
      <c r="D104" s="131">
        <v>2995.066981560004</v>
      </c>
    </row>
    <row r="105" spans="1:4" x14ac:dyDescent="0.35">
      <c r="A105" s="61">
        <v>39661</v>
      </c>
      <c r="B105" s="132">
        <v>6947.3350000000009</v>
      </c>
      <c r="C105" s="130">
        <v>10030.141999999998</v>
      </c>
      <c r="D105" s="131">
        <v>2963.7559815600039</v>
      </c>
    </row>
    <row r="106" spans="1:4" x14ac:dyDescent="0.35">
      <c r="A106" s="61">
        <v>39692</v>
      </c>
      <c r="B106" s="132">
        <v>6988.5670000000009</v>
      </c>
      <c r="C106" s="130">
        <v>10012.795999999997</v>
      </c>
      <c r="D106" s="131">
        <v>2967.3319815600039</v>
      </c>
    </row>
    <row r="107" spans="1:4" x14ac:dyDescent="0.35">
      <c r="A107" s="61">
        <v>39722</v>
      </c>
      <c r="B107" s="132">
        <v>6983.7280000000001</v>
      </c>
      <c r="C107" s="130">
        <v>9936.744999999999</v>
      </c>
      <c r="D107" s="131">
        <v>2972.1319815600041</v>
      </c>
    </row>
    <row r="108" spans="1:4" x14ac:dyDescent="0.35">
      <c r="A108" s="61">
        <v>39753</v>
      </c>
      <c r="B108" s="132">
        <v>6914.1239999999998</v>
      </c>
      <c r="C108" s="130">
        <v>9984.5669999999973</v>
      </c>
      <c r="D108" s="131">
        <v>2972.9839815600044</v>
      </c>
    </row>
    <row r="109" spans="1:4" x14ac:dyDescent="0.35">
      <c r="A109" s="61">
        <v>39783</v>
      </c>
      <c r="B109" s="132">
        <v>6692.0320000000011</v>
      </c>
      <c r="C109" s="130">
        <v>10089.946999999998</v>
      </c>
      <c r="D109" s="131">
        <v>3645.4169815600039</v>
      </c>
    </row>
    <row r="110" spans="1:4" x14ac:dyDescent="0.35">
      <c r="A110" s="61">
        <v>39814</v>
      </c>
      <c r="B110" s="132">
        <v>6891.3020000000006</v>
      </c>
      <c r="C110" s="130">
        <v>9994.5019999999986</v>
      </c>
      <c r="D110" s="131">
        <v>3617.3629815600043</v>
      </c>
    </row>
    <row r="111" spans="1:4" x14ac:dyDescent="0.35">
      <c r="A111" s="61">
        <v>39845</v>
      </c>
      <c r="B111" s="132">
        <v>6846.4970000000003</v>
      </c>
      <c r="C111" s="130">
        <v>10062.248</v>
      </c>
      <c r="D111" s="131">
        <v>4133.8199815600046</v>
      </c>
    </row>
    <row r="112" spans="1:4" x14ac:dyDescent="0.35">
      <c r="A112" s="61">
        <v>39873</v>
      </c>
      <c r="B112" s="132">
        <v>6826.768</v>
      </c>
      <c r="C112" s="130">
        <v>10045.130999999999</v>
      </c>
      <c r="D112" s="131">
        <v>4133.7089815600048</v>
      </c>
    </row>
    <row r="113" spans="1:4" x14ac:dyDescent="0.35">
      <c r="A113" s="61">
        <v>39904</v>
      </c>
      <c r="B113" s="132">
        <v>6971.1489999999994</v>
      </c>
      <c r="C113" s="130">
        <v>10048.083999999999</v>
      </c>
      <c r="D113" s="131">
        <v>3049.6199815600044</v>
      </c>
    </row>
    <row r="114" spans="1:4" x14ac:dyDescent="0.35">
      <c r="A114" s="61">
        <v>39934</v>
      </c>
      <c r="B114" s="132">
        <v>7091.3279999999995</v>
      </c>
      <c r="C114" s="130">
        <v>10124.383</v>
      </c>
      <c r="D114" s="131">
        <v>3049.6339815600045</v>
      </c>
    </row>
    <row r="115" spans="1:4" x14ac:dyDescent="0.35">
      <c r="A115" s="61">
        <v>39965</v>
      </c>
      <c r="B115" s="132">
        <v>6744.1590000000006</v>
      </c>
      <c r="C115" s="130">
        <v>7014.998999999998</v>
      </c>
      <c r="D115" s="131">
        <v>3019.2109815600047</v>
      </c>
    </row>
    <row r="116" spans="1:4" x14ac:dyDescent="0.35">
      <c r="A116" s="61">
        <v>39995</v>
      </c>
      <c r="B116" s="132">
        <v>6709.9680000000017</v>
      </c>
      <c r="C116" s="130">
        <v>7503.820999999999</v>
      </c>
      <c r="D116" s="131">
        <v>3000.6179815600044</v>
      </c>
    </row>
    <row r="117" spans="1:4" x14ac:dyDescent="0.35">
      <c r="A117" s="61">
        <v>40026</v>
      </c>
      <c r="B117" s="132">
        <v>6542.652000000001</v>
      </c>
      <c r="C117" s="130">
        <v>7493.9029999999984</v>
      </c>
      <c r="D117" s="131">
        <v>2967.9579815600046</v>
      </c>
    </row>
    <row r="118" spans="1:4" x14ac:dyDescent="0.35">
      <c r="A118" s="61">
        <v>40057</v>
      </c>
      <c r="B118" s="132">
        <v>6429.6380000000008</v>
      </c>
      <c r="C118" s="130">
        <v>7517.8509999999987</v>
      </c>
      <c r="D118" s="131">
        <v>2968.7509815600047</v>
      </c>
    </row>
    <row r="119" spans="1:4" x14ac:dyDescent="0.35">
      <c r="A119" s="61">
        <v>40087</v>
      </c>
      <c r="B119" s="132">
        <v>6586.9419999999982</v>
      </c>
      <c r="C119" s="130">
        <v>7521.1109999999971</v>
      </c>
      <c r="D119" s="131">
        <v>2872.6739815600049</v>
      </c>
    </row>
    <row r="120" spans="1:4" x14ac:dyDescent="0.35">
      <c r="A120" s="61">
        <v>40118</v>
      </c>
      <c r="B120" s="132">
        <v>6372.8350000000009</v>
      </c>
      <c r="C120" s="130">
        <v>7534.5399999999981</v>
      </c>
      <c r="D120" s="131">
        <v>2870.2799815600051</v>
      </c>
    </row>
    <row r="121" spans="1:4" x14ac:dyDescent="0.35">
      <c r="A121" s="61">
        <v>40148</v>
      </c>
      <c r="B121" s="132">
        <v>6115.7300000000023</v>
      </c>
      <c r="C121" s="130">
        <v>7392.6949999999979</v>
      </c>
      <c r="D121" s="131">
        <v>2842.2429815600049</v>
      </c>
    </row>
    <row r="122" spans="1:4" x14ac:dyDescent="0.35">
      <c r="A122" s="61">
        <v>40179</v>
      </c>
      <c r="B122" s="132">
        <v>6086.3330000000024</v>
      </c>
      <c r="C122" s="130">
        <v>7368.1629999999977</v>
      </c>
      <c r="D122" s="131">
        <v>2826.4919815600047</v>
      </c>
    </row>
    <row r="123" spans="1:4" x14ac:dyDescent="0.35">
      <c r="A123" s="61">
        <v>40210</v>
      </c>
      <c r="B123" s="132">
        <v>6035.7670000000044</v>
      </c>
      <c r="C123" s="130">
        <v>7325.7139999999981</v>
      </c>
      <c r="D123" s="131">
        <v>2825.5199815600049</v>
      </c>
    </row>
    <row r="124" spans="1:4" x14ac:dyDescent="0.35">
      <c r="A124" s="61">
        <v>40238</v>
      </c>
      <c r="B124" s="132">
        <v>5944.7970000000005</v>
      </c>
      <c r="C124" s="130">
        <v>7658.2139999999981</v>
      </c>
      <c r="D124" s="131">
        <v>2838.2499815600049</v>
      </c>
    </row>
    <row r="125" spans="1:4" x14ac:dyDescent="0.35">
      <c r="A125" s="61">
        <v>40269</v>
      </c>
      <c r="B125" s="132">
        <v>6019.3829999999998</v>
      </c>
      <c r="C125" s="130">
        <v>7651.1359999999977</v>
      </c>
      <c r="D125" s="131">
        <v>2836.9849815600046</v>
      </c>
    </row>
    <row r="126" spans="1:4" x14ac:dyDescent="0.35">
      <c r="A126" s="61">
        <v>40299</v>
      </c>
      <c r="B126" s="132">
        <v>6199.3770000000031</v>
      </c>
      <c r="C126" s="130">
        <v>7656.5979999999972</v>
      </c>
      <c r="D126" s="131">
        <v>3412.4584815600051</v>
      </c>
    </row>
    <row r="127" spans="1:4" x14ac:dyDescent="0.35">
      <c r="A127" s="61">
        <v>40330</v>
      </c>
      <c r="B127" s="132">
        <v>5882.4920000000047</v>
      </c>
      <c r="C127" s="130">
        <v>7861.8449999999984</v>
      </c>
      <c r="D127" s="131">
        <v>3467.0244815600054</v>
      </c>
    </row>
    <row r="128" spans="1:4" x14ac:dyDescent="0.35">
      <c r="A128" s="61">
        <v>40360</v>
      </c>
      <c r="B128" s="132">
        <v>5820.5330000000004</v>
      </c>
      <c r="C128" s="130">
        <v>7902.9609999999975</v>
      </c>
      <c r="D128" s="131">
        <v>4317.1714815600053</v>
      </c>
    </row>
    <row r="129" spans="1:4" x14ac:dyDescent="0.35">
      <c r="A129" s="61">
        <v>40391</v>
      </c>
      <c r="B129" s="132">
        <v>5736.7820000000011</v>
      </c>
      <c r="C129" s="130">
        <v>7877.8719999999985</v>
      </c>
      <c r="D129" s="131">
        <v>4835.4354815600054</v>
      </c>
    </row>
    <row r="130" spans="1:4" x14ac:dyDescent="0.35">
      <c r="A130" s="61">
        <v>40422</v>
      </c>
      <c r="B130" s="132">
        <v>5674.2610000000041</v>
      </c>
      <c r="C130" s="130">
        <v>8708.2719999999972</v>
      </c>
      <c r="D130" s="131">
        <v>4833.2151715600048</v>
      </c>
    </row>
    <row r="131" spans="1:4" x14ac:dyDescent="0.35">
      <c r="A131" s="61">
        <v>40452</v>
      </c>
      <c r="B131" s="132">
        <v>5576.1040000000039</v>
      </c>
      <c r="C131" s="130">
        <v>8589.6180000000004</v>
      </c>
      <c r="D131" s="131">
        <v>4517.2576715600053</v>
      </c>
    </row>
    <row r="132" spans="1:4" x14ac:dyDescent="0.35">
      <c r="A132" s="61">
        <v>40483</v>
      </c>
      <c r="B132" s="132">
        <v>5577.2499999999991</v>
      </c>
      <c r="C132" s="130">
        <v>8564.0649999999987</v>
      </c>
      <c r="D132" s="131">
        <v>4693.1625175600057</v>
      </c>
    </row>
    <row r="133" spans="1:4" x14ac:dyDescent="0.35">
      <c r="A133" s="61">
        <v>40513</v>
      </c>
      <c r="B133" s="132">
        <v>5216.2390000000014</v>
      </c>
      <c r="C133" s="130">
        <v>8672.5959999999959</v>
      </c>
      <c r="D133" s="131">
        <v>4664.9857465600053</v>
      </c>
    </row>
    <row r="134" spans="1:4" x14ac:dyDescent="0.35">
      <c r="A134" s="61">
        <v>40544</v>
      </c>
      <c r="B134" s="132">
        <v>5283.3410000000003</v>
      </c>
      <c r="C134" s="130">
        <v>8729.1399999999958</v>
      </c>
      <c r="D134" s="131">
        <v>4557.2865055600059</v>
      </c>
    </row>
    <row r="135" spans="1:4" x14ac:dyDescent="0.35">
      <c r="A135" s="61">
        <v>40575</v>
      </c>
      <c r="B135" s="132">
        <v>5259.3869999999997</v>
      </c>
      <c r="C135" s="130">
        <v>8762.042999999996</v>
      </c>
      <c r="D135" s="131">
        <v>4555.2153665600063</v>
      </c>
    </row>
    <row r="136" spans="1:4" x14ac:dyDescent="0.35">
      <c r="A136" s="61">
        <v>40603</v>
      </c>
      <c r="B136" s="132">
        <v>5393.8360000000002</v>
      </c>
      <c r="C136" s="130">
        <v>8759.3489999999965</v>
      </c>
      <c r="D136" s="131">
        <v>4552.6920805600057</v>
      </c>
    </row>
    <row r="137" spans="1:4" x14ac:dyDescent="0.35">
      <c r="A137" s="61">
        <v>40634</v>
      </c>
      <c r="B137" s="132">
        <v>5378.3620000000001</v>
      </c>
      <c r="C137" s="130">
        <v>8781.4319999999952</v>
      </c>
      <c r="D137" s="131">
        <v>4483.2557165600065</v>
      </c>
    </row>
    <row r="138" spans="1:4" x14ac:dyDescent="0.35">
      <c r="A138" s="61">
        <v>40664</v>
      </c>
      <c r="B138" s="132">
        <v>5326.1540000000005</v>
      </c>
      <c r="C138" s="130">
        <v>8705.1639999999989</v>
      </c>
      <c r="D138" s="131">
        <v>4473.6528075800061</v>
      </c>
    </row>
    <row r="139" spans="1:4" x14ac:dyDescent="0.35">
      <c r="A139" s="61">
        <v>40695</v>
      </c>
      <c r="B139" s="132">
        <v>5283.2120000000004</v>
      </c>
      <c r="C139" s="130">
        <v>8725.5229999999992</v>
      </c>
      <c r="D139" s="131">
        <v>4371.2698595800057</v>
      </c>
    </row>
    <row r="140" spans="1:4" x14ac:dyDescent="0.35">
      <c r="A140" s="61">
        <v>40725</v>
      </c>
      <c r="B140" s="132">
        <v>5318.4620000000004</v>
      </c>
      <c r="C140" s="130">
        <v>8670.0819999999985</v>
      </c>
      <c r="D140" s="131">
        <v>4436.6237138300057</v>
      </c>
    </row>
    <row r="141" spans="1:4" x14ac:dyDescent="0.35">
      <c r="A141" s="61">
        <v>40756</v>
      </c>
      <c r="B141" s="132">
        <v>5303.9219999999996</v>
      </c>
      <c r="C141" s="130">
        <v>8696.0829999999969</v>
      </c>
      <c r="D141" s="131">
        <v>4476.768092830006</v>
      </c>
    </row>
    <row r="142" spans="1:4" x14ac:dyDescent="0.35">
      <c r="A142" s="61">
        <v>40787</v>
      </c>
      <c r="B142" s="132">
        <v>5304.1989999999996</v>
      </c>
      <c r="C142" s="130">
        <v>8653.176999999996</v>
      </c>
      <c r="D142" s="131">
        <v>4482.466631830006</v>
      </c>
    </row>
    <row r="143" spans="1:4" x14ac:dyDescent="0.35">
      <c r="A143" s="61">
        <v>40817</v>
      </c>
      <c r="B143" s="132">
        <v>5279.1289999999999</v>
      </c>
      <c r="C143" s="130">
        <v>9948.4869999999974</v>
      </c>
      <c r="D143" s="131">
        <v>4372.7834188300058</v>
      </c>
    </row>
    <row r="144" spans="1:4" x14ac:dyDescent="0.35">
      <c r="A144" s="61">
        <v>40848</v>
      </c>
      <c r="B144" s="132">
        <v>5325.83</v>
      </c>
      <c r="C144" s="130">
        <v>9868.6859999999961</v>
      </c>
      <c r="D144" s="131">
        <v>4369.2703868300059</v>
      </c>
    </row>
    <row r="145" spans="1:4" x14ac:dyDescent="0.35">
      <c r="A145" s="61">
        <v>40878</v>
      </c>
      <c r="B145" s="132">
        <v>5252.17</v>
      </c>
      <c r="C145" s="130">
        <v>10055.337999999996</v>
      </c>
      <c r="D145" s="131">
        <v>4506.4472978300064</v>
      </c>
    </row>
    <row r="146" spans="1:4" x14ac:dyDescent="0.35">
      <c r="A146" s="61">
        <v>40909</v>
      </c>
      <c r="B146" s="132">
        <v>5222.3969999999999</v>
      </c>
      <c r="C146" s="130">
        <v>9947.7649999999958</v>
      </c>
      <c r="D146" s="131">
        <v>4503.4078694900063</v>
      </c>
    </row>
    <row r="147" spans="1:4" x14ac:dyDescent="0.35">
      <c r="A147" s="61">
        <v>40940</v>
      </c>
      <c r="B147" s="132">
        <v>5219.4459999999999</v>
      </c>
      <c r="C147" s="130">
        <v>10068.273799999997</v>
      </c>
      <c r="D147" s="131">
        <v>4505.3995404900061</v>
      </c>
    </row>
    <row r="148" spans="1:4" x14ac:dyDescent="0.35">
      <c r="A148" s="61">
        <v>40969</v>
      </c>
      <c r="B148" s="132">
        <v>5172.3090000000002</v>
      </c>
      <c r="C148" s="130">
        <v>10177.672999999995</v>
      </c>
      <c r="D148" s="131">
        <v>4822.5425514900062</v>
      </c>
    </row>
    <row r="149" spans="1:4" x14ac:dyDescent="0.35">
      <c r="A149" s="61">
        <v>41000</v>
      </c>
      <c r="B149" s="132">
        <v>5166.5280000000002</v>
      </c>
      <c r="C149" s="130">
        <v>10113.160999999996</v>
      </c>
      <c r="D149" s="131">
        <v>6147.5569504900068</v>
      </c>
    </row>
    <row r="150" spans="1:4" x14ac:dyDescent="0.35">
      <c r="A150" s="61">
        <v>41030</v>
      </c>
      <c r="B150" s="132">
        <v>5181.232</v>
      </c>
      <c r="C150" s="130">
        <v>10094.610999999995</v>
      </c>
      <c r="D150" s="131">
        <v>6033.2015534900056</v>
      </c>
    </row>
    <row r="151" spans="1:4" x14ac:dyDescent="0.35">
      <c r="A151" s="61">
        <v>41061</v>
      </c>
      <c r="B151" s="132">
        <v>5121.7610000000004</v>
      </c>
      <c r="C151" s="130">
        <v>10014.868999999997</v>
      </c>
      <c r="D151" s="131">
        <v>6115.6269731200055</v>
      </c>
    </row>
    <row r="152" spans="1:4" x14ac:dyDescent="0.35">
      <c r="A152" s="61">
        <v>41091</v>
      </c>
      <c r="B152" s="132">
        <v>5151.0690000000004</v>
      </c>
      <c r="C152" s="130">
        <v>10027.863999999996</v>
      </c>
      <c r="D152" s="131">
        <v>6151.7164261200051</v>
      </c>
    </row>
    <row r="153" spans="1:4" x14ac:dyDescent="0.35">
      <c r="A153" s="61">
        <v>41122</v>
      </c>
      <c r="B153" s="132">
        <v>5133.3490000000002</v>
      </c>
      <c r="C153" s="130">
        <v>10007.870999999997</v>
      </c>
      <c r="D153" s="131">
        <v>6415.117550120005</v>
      </c>
    </row>
    <row r="154" spans="1:4" x14ac:dyDescent="0.35">
      <c r="A154" s="61">
        <v>41153</v>
      </c>
      <c r="B154" s="132">
        <v>5047.6210000000001</v>
      </c>
      <c r="C154" s="130">
        <v>10658.650999999994</v>
      </c>
      <c r="D154" s="131">
        <v>6531.0316961200051</v>
      </c>
    </row>
    <row r="155" spans="1:4" x14ac:dyDescent="0.35">
      <c r="A155" s="61">
        <v>41183</v>
      </c>
      <c r="B155" s="132">
        <v>5081.3530000000001</v>
      </c>
      <c r="C155" s="130">
        <v>10709.321999999995</v>
      </c>
      <c r="D155" s="131">
        <v>6708.0028361200048</v>
      </c>
    </row>
    <row r="156" spans="1:4" x14ac:dyDescent="0.35">
      <c r="A156" s="61">
        <v>41214</v>
      </c>
      <c r="B156" s="132">
        <v>5089.7969999999996</v>
      </c>
      <c r="C156" s="130">
        <v>10744.478999999998</v>
      </c>
      <c r="D156" s="131">
        <v>7334.924983120005</v>
      </c>
    </row>
    <row r="157" spans="1:4" x14ac:dyDescent="0.35">
      <c r="A157" s="61">
        <v>41244</v>
      </c>
      <c r="B157" s="132">
        <v>5135.0050000000001</v>
      </c>
      <c r="C157" s="130">
        <v>10871.845999999998</v>
      </c>
      <c r="D157" s="131">
        <v>7780.502439120005</v>
      </c>
    </row>
    <row r="158" spans="1:4" x14ac:dyDescent="0.35">
      <c r="A158" s="61">
        <v>41275</v>
      </c>
      <c r="B158" s="132">
        <v>5186.7120000000004</v>
      </c>
      <c r="C158" s="130">
        <v>10899.22</v>
      </c>
      <c r="D158" s="131">
        <v>7874.4334241200058</v>
      </c>
    </row>
    <row r="159" spans="1:4" x14ac:dyDescent="0.35">
      <c r="A159" s="61">
        <v>41306</v>
      </c>
      <c r="B159" s="132">
        <v>5243.4359999999997</v>
      </c>
      <c r="C159" s="130">
        <v>12283.610999999997</v>
      </c>
      <c r="D159" s="131">
        <v>7766.8535321200061</v>
      </c>
    </row>
    <row r="160" spans="1:4" x14ac:dyDescent="0.35">
      <c r="A160" s="61">
        <v>41334</v>
      </c>
      <c r="B160" s="132">
        <v>5357.0249999999996</v>
      </c>
      <c r="C160" s="130">
        <v>12330.808999999997</v>
      </c>
      <c r="D160" s="131">
        <v>7866.2972901200064</v>
      </c>
    </row>
    <row r="161" spans="1:4" x14ac:dyDescent="0.35">
      <c r="A161" s="61">
        <v>41365</v>
      </c>
      <c r="B161" s="132">
        <v>5408.0220000000008</v>
      </c>
      <c r="C161" s="130">
        <v>12325.047999999997</v>
      </c>
      <c r="D161" s="131">
        <v>8035.1828171200068</v>
      </c>
    </row>
    <row r="162" spans="1:4" x14ac:dyDescent="0.35">
      <c r="A162" s="61">
        <v>41395</v>
      </c>
      <c r="B162" s="132">
        <v>5641.9809999999998</v>
      </c>
      <c r="C162" s="130">
        <v>12375.262999999997</v>
      </c>
      <c r="D162" s="131">
        <v>8208.813881120006</v>
      </c>
    </row>
    <row r="163" spans="1:4" x14ac:dyDescent="0.35">
      <c r="A163" s="61">
        <v>41426</v>
      </c>
      <c r="B163" s="132">
        <v>5713.6189999999988</v>
      </c>
      <c r="C163" s="130">
        <v>12532.583999999999</v>
      </c>
      <c r="D163" s="131">
        <v>8418.6961721200059</v>
      </c>
    </row>
    <row r="164" spans="1:4" x14ac:dyDescent="0.35">
      <c r="A164" s="61">
        <v>41456</v>
      </c>
      <c r="B164" s="132">
        <v>5781.1729999999998</v>
      </c>
      <c r="C164" s="130">
        <v>12578.165999999997</v>
      </c>
      <c r="D164" s="131">
        <v>8546.6056081200059</v>
      </c>
    </row>
    <row r="165" spans="1:4" x14ac:dyDescent="0.35">
      <c r="A165" s="61">
        <v>41487</v>
      </c>
      <c r="B165" s="132">
        <v>5803.1139999999996</v>
      </c>
      <c r="C165" s="130">
        <v>12518.636999999999</v>
      </c>
      <c r="D165" s="131">
        <v>8624.5777641200057</v>
      </c>
    </row>
    <row r="166" spans="1:4" x14ac:dyDescent="0.35">
      <c r="A166" s="61">
        <v>41518</v>
      </c>
      <c r="B166" s="132">
        <v>5833.2160000000003</v>
      </c>
      <c r="C166" s="130">
        <v>12529.303999999996</v>
      </c>
      <c r="D166" s="131">
        <v>8744.9517211200055</v>
      </c>
    </row>
    <row r="167" spans="1:4" x14ac:dyDescent="0.35">
      <c r="A167" s="61">
        <v>41548</v>
      </c>
      <c r="B167" s="132">
        <v>5850.8940000000002</v>
      </c>
      <c r="C167" s="130">
        <v>12606.831999999997</v>
      </c>
      <c r="D167" s="131">
        <v>9287.783581690006</v>
      </c>
    </row>
    <row r="168" spans="1:4" x14ac:dyDescent="0.35">
      <c r="A168" s="61">
        <v>41579</v>
      </c>
      <c r="B168" s="132">
        <v>5819.5079999999989</v>
      </c>
      <c r="C168" s="130">
        <v>12847.507999999998</v>
      </c>
      <c r="D168" s="131">
        <v>9644.2859556900057</v>
      </c>
    </row>
    <row r="169" spans="1:4" x14ac:dyDescent="0.35">
      <c r="A169" s="61">
        <v>41609</v>
      </c>
      <c r="B169" s="132">
        <v>5881.4340000000002</v>
      </c>
      <c r="C169" s="130">
        <v>12920.167999999998</v>
      </c>
      <c r="D169" s="131">
        <v>9926.5837172900046</v>
      </c>
    </row>
    <row r="170" spans="1:4" x14ac:dyDescent="0.35">
      <c r="A170" s="61">
        <v>41640</v>
      </c>
      <c r="B170" s="132">
        <v>5970.6450000000004</v>
      </c>
      <c r="C170" s="130">
        <v>12955.642999999998</v>
      </c>
      <c r="D170" s="131">
        <v>10047.492712840003</v>
      </c>
    </row>
    <row r="171" spans="1:4" x14ac:dyDescent="0.35">
      <c r="A171" s="61">
        <v>41671</v>
      </c>
      <c r="B171" s="132">
        <v>5994.5940000000001</v>
      </c>
      <c r="C171" s="130">
        <v>13029.103999999999</v>
      </c>
      <c r="D171" s="131">
        <v>10456.405704840003</v>
      </c>
    </row>
    <row r="172" spans="1:4" x14ac:dyDescent="0.35">
      <c r="A172" s="61">
        <v>41699</v>
      </c>
      <c r="B172" s="132">
        <v>5902.1440000000002</v>
      </c>
      <c r="C172" s="130">
        <v>12899.050999999998</v>
      </c>
      <c r="D172" s="131">
        <v>10869.743882150004</v>
      </c>
    </row>
    <row r="173" spans="1:4" x14ac:dyDescent="0.35">
      <c r="A173" s="61">
        <v>41730</v>
      </c>
      <c r="B173" s="132">
        <v>5912.2039999999997</v>
      </c>
      <c r="C173" s="130">
        <v>12930.409999999998</v>
      </c>
      <c r="D173" s="131">
        <v>11075.617159150004</v>
      </c>
    </row>
    <row r="174" spans="1:4" x14ac:dyDescent="0.35">
      <c r="A174" s="61">
        <v>41760</v>
      </c>
      <c r="B174" s="132">
        <v>5995.0730000000003</v>
      </c>
      <c r="C174" s="130">
        <v>13300.862999999999</v>
      </c>
      <c r="D174" s="131">
        <v>11309.879650150004</v>
      </c>
    </row>
    <row r="175" spans="1:4" x14ac:dyDescent="0.35">
      <c r="A175" s="61">
        <v>41791</v>
      </c>
      <c r="B175" s="132">
        <v>5983.03</v>
      </c>
      <c r="C175" s="130">
        <v>15163.960999999998</v>
      </c>
      <c r="D175" s="131">
        <v>11295.032799150003</v>
      </c>
    </row>
    <row r="176" spans="1:4" x14ac:dyDescent="0.35">
      <c r="A176" s="61">
        <v>41821</v>
      </c>
      <c r="B176" s="132">
        <v>6333.1930000000002</v>
      </c>
      <c r="C176" s="130">
        <v>15229.508999999998</v>
      </c>
      <c r="D176" s="131">
        <v>11152.560744150003</v>
      </c>
    </row>
    <row r="177" spans="1:4" x14ac:dyDescent="0.35">
      <c r="A177" s="61">
        <v>41852</v>
      </c>
      <c r="B177" s="132">
        <v>6222.973</v>
      </c>
      <c r="C177" s="130">
        <v>15386.512999999999</v>
      </c>
      <c r="D177" s="131">
        <v>11176.534139150002</v>
      </c>
    </row>
    <row r="178" spans="1:4" x14ac:dyDescent="0.35">
      <c r="A178" s="61">
        <v>41883</v>
      </c>
      <c r="B178" s="132">
        <v>6499.8419999999996</v>
      </c>
      <c r="C178" s="130">
        <v>16724.299999999996</v>
      </c>
      <c r="D178" s="131">
        <v>11279.644629150001</v>
      </c>
    </row>
    <row r="179" spans="1:4" x14ac:dyDescent="0.35">
      <c r="A179" s="61">
        <v>41913</v>
      </c>
      <c r="B179" s="132">
        <v>6525.2640000000001</v>
      </c>
      <c r="C179" s="130">
        <v>16754.079000000002</v>
      </c>
      <c r="D179" s="131">
        <v>11651.972281150001</v>
      </c>
    </row>
    <row r="180" spans="1:4" x14ac:dyDescent="0.35">
      <c r="A180" s="61">
        <v>41944</v>
      </c>
      <c r="B180" s="132">
        <v>6656.9530000000004</v>
      </c>
      <c r="C180" s="130">
        <v>16913.621999999996</v>
      </c>
      <c r="D180" s="131">
        <v>11893.105432150001</v>
      </c>
    </row>
    <row r="181" spans="1:4" x14ac:dyDescent="0.35">
      <c r="A181" s="61">
        <v>41974</v>
      </c>
      <c r="B181" s="132">
        <v>6698.3310000000001</v>
      </c>
      <c r="C181" s="130">
        <v>17581.940999999999</v>
      </c>
      <c r="D181" s="131">
        <v>12558.316293150001</v>
      </c>
    </row>
    <row r="182" spans="1:4" ht="15.5" x14ac:dyDescent="0.35">
      <c r="A182" s="61">
        <v>42005</v>
      </c>
      <c r="B182" s="129">
        <v>6485.6490000000003</v>
      </c>
      <c r="C182" s="126">
        <v>17645.823</v>
      </c>
      <c r="D182" s="138">
        <v>12669.11507915</v>
      </c>
    </row>
    <row r="183" spans="1:4" ht="15.5" x14ac:dyDescent="0.35">
      <c r="A183" s="61">
        <v>42036</v>
      </c>
      <c r="B183" s="129">
        <v>6501.3</v>
      </c>
      <c r="C183" s="126">
        <v>18499.956000000002</v>
      </c>
      <c r="D183" s="138">
        <v>12587.091658150001</v>
      </c>
    </row>
    <row r="184" spans="1:4" ht="15.5" x14ac:dyDescent="0.35">
      <c r="A184" s="61">
        <v>42064</v>
      </c>
      <c r="B184" s="129">
        <v>6607.0150000000003</v>
      </c>
      <c r="C184" s="126">
        <v>19067.163999999993</v>
      </c>
      <c r="D184" s="138">
        <v>12630.708787150003</v>
      </c>
    </row>
    <row r="185" spans="1:4" ht="15.5" x14ac:dyDescent="0.35">
      <c r="A185" s="61">
        <v>42095</v>
      </c>
      <c r="B185" s="129">
        <v>6972.0219999999999</v>
      </c>
      <c r="C185" s="126">
        <v>19325.936000000002</v>
      </c>
      <c r="D185" s="138">
        <v>12526.371800150002</v>
      </c>
    </row>
    <row r="186" spans="1:4" ht="15.5" x14ac:dyDescent="0.35">
      <c r="A186" s="61">
        <v>42125</v>
      </c>
      <c r="B186" s="129">
        <v>7010.6790000000001</v>
      </c>
      <c r="C186" s="126">
        <v>20092.82</v>
      </c>
      <c r="D186" s="138">
        <v>12496.260611150003</v>
      </c>
    </row>
    <row r="187" spans="1:4" ht="15.5" x14ac:dyDescent="0.35">
      <c r="A187" s="61">
        <v>42156</v>
      </c>
      <c r="B187" s="129">
        <v>7059.0929999999998</v>
      </c>
      <c r="C187" s="126">
        <v>20038.011999999999</v>
      </c>
      <c r="D187" s="138">
        <v>12303.667902150002</v>
      </c>
    </row>
    <row r="188" spans="1:4" ht="15.5" x14ac:dyDescent="0.35">
      <c r="A188" s="61">
        <v>42186</v>
      </c>
      <c r="B188" s="129">
        <v>7137.7640000000001</v>
      </c>
      <c r="C188" s="126">
        <v>20385.482000000004</v>
      </c>
      <c r="D188" s="138">
        <v>12239.756276150003</v>
      </c>
    </row>
    <row r="189" spans="1:4" ht="15.5" x14ac:dyDescent="0.35">
      <c r="A189" s="61">
        <v>42217</v>
      </c>
      <c r="B189" s="129">
        <v>7223.3649999999998</v>
      </c>
      <c r="C189" s="126">
        <v>20382.656999999999</v>
      </c>
      <c r="D189" s="138">
        <v>12176.554455150004</v>
      </c>
    </row>
    <row r="190" spans="1:4" ht="15.5" x14ac:dyDescent="0.35">
      <c r="A190" s="61">
        <v>42248</v>
      </c>
      <c r="B190" s="129">
        <v>7118.3770000000004</v>
      </c>
      <c r="C190" s="126">
        <v>20321.459000000003</v>
      </c>
      <c r="D190" s="138">
        <v>12109.481808750004</v>
      </c>
    </row>
    <row r="191" spans="1:4" ht="15.5" x14ac:dyDescent="0.35">
      <c r="A191" s="61">
        <v>42278</v>
      </c>
      <c r="B191" s="129">
        <v>7204.268</v>
      </c>
      <c r="C191" s="126">
        <v>20330.139000000003</v>
      </c>
      <c r="D191" s="138">
        <v>12103.049054750003</v>
      </c>
    </row>
    <row r="192" spans="1:4" ht="15.5" x14ac:dyDescent="0.35">
      <c r="A192" s="61">
        <v>42309</v>
      </c>
      <c r="B192" s="129">
        <v>7252.5190000000002</v>
      </c>
      <c r="C192" s="126">
        <v>20575.595999999998</v>
      </c>
      <c r="D192" s="138">
        <v>12385.783458150005</v>
      </c>
    </row>
    <row r="193" spans="1:4" ht="15.5" x14ac:dyDescent="0.35">
      <c r="A193" s="61">
        <v>42339</v>
      </c>
      <c r="B193" s="129">
        <v>7491.9759999999997</v>
      </c>
      <c r="C193" s="126">
        <v>20225.658999999996</v>
      </c>
      <c r="D193" s="138">
        <v>12546.003827150003</v>
      </c>
    </row>
    <row r="194" spans="1:4" ht="15.5" x14ac:dyDescent="0.35">
      <c r="A194" s="61">
        <v>42370</v>
      </c>
      <c r="B194" s="129">
        <v>7604.7110000000002</v>
      </c>
      <c r="C194" s="126">
        <v>20371.513999999996</v>
      </c>
      <c r="D194" s="138">
        <v>12876.944175249999</v>
      </c>
    </row>
    <row r="195" spans="1:4" ht="15.5" x14ac:dyDescent="0.35">
      <c r="A195" s="61">
        <v>42401</v>
      </c>
      <c r="B195" s="129">
        <v>7725.5789999999997</v>
      </c>
      <c r="C195" s="126">
        <v>21266.814000000002</v>
      </c>
      <c r="D195" s="138">
        <v>13078.619035330001</v>
      </c>
    </row>
    <row r="196" spans="1:4" ht="15.5" x14ac:dyDescent="0.35">
      <c r="A196" s="61">
        <v>42430</v>
      </c>
      <c r="B196" s="129">
        <v>7800.43</v>
      </c>
      <c r="C196" s="126">
        <v>21091.933000000001</v>
      </c>
      <c r="D196" s="138">
        <v>13863.410839009997</v>
      </c>
    </row>
    <row r="197" spans="1:4" ht="15.5" x14ac:dyDescent="0.35">
      <c r="A197" s="61">
        <v>42461</v>
      </c>
      <c r="B197" s="129">
        <v>7955.2860000000001</v>
      </c>
      <c r="C197" s="126">
        <v>21252.834999999999</v>
      </c>
      <c r="D197" s="138">
        <v>12919.425007799997</v>
      </c>
    </row>
    <row r="198" spans="1:4" ht="15.5" x14ac:dyDescent="0.35">
      <c r="A198" s="61">
        <v>42491</v>
      </c>
      <c r="B198" s="129">
        <v>7938.116</v>
      </c>
      <c r="C198" s="126">
        <v>21254.021000000001</v>
      </c>
      <c r="D198" s="138">
        <v>13038.789526559998</v>
      </c>
    </row>
    <row r="199" spans="1:4" ht="15.5" x14ac:dyDescent="0.35">
      <c r="A199" s="61">
        <v>42522</v>
      </c>
      <c r="B199" s="129">
        <v>8030.1509999999998</v>
      </c>
      <c r="C199" s="126">
        <v>22575.196999999996</v>
      </c>
      <c r="D199" s="138">
        <v>12906.233971309997</v>
      </c>
    </row>
    <row r="200" spans="1:4" ht="15.5" x14ac:dyDescent="0.35">
      <c r="A200" s="61">
        <v>42552</v>
      </c>
      <c r="B200" s="129">
        <v>8478.6679999999997</v>
      </c>
      <c r="C200" s="126">
        <v>23647.936999999994</v>
      </c>
      <c r="D200" s="138">
        <v>12936.09202828</v>
      </c>
    </row>
    <row r="201" spans="1:4" ht="15.5" x14ac:dyDescent="0.35">
      <c r="A201" s="61">
        <v>42583</v>
      </c>
      <c r="B201" s="129">
        <v>8501.5969999999998</v>
      </c>
      <c r="C201" s="126">
        <v>23624.595000000001</v>
      </c>
      <c r="D201" s="138">
        <v>13186.759919089998</v>
      </c>
    </row>
    <row r="202" spans="1:4" ht="15.5" x14ac:dyDescent="0.35">
      <c r="A202" s="61">
        <v>42614</v>
      </c>
      <c r="B202" s="129">
        <v>8398.2950000000001</v>
      </c>
      <c r="C202" s="126">
        <v>24582.876</v>
      </c>
      <c r="D202" s="138">
        <v>12403.517750410001</v>
      </c>
    </row>
    <row r="203" spans="1:4" ht="15.5" x14ac:dyDescent="0.35">
      <c r="A203" s="61">
        <v>42644</v>
      </c>
      <c r="B203" s="129">
        <v>8439.4369999999999</v>
      </c>
      <c r="C203" s="126">
        <v>24576.006999999998</v>
      </c>
      <c r="D203" s="138">
        <v>12532.966976050002</v>
      </c>
    </row>
    <row r="204" spans="1:4" ht="15.5" x14ac:dyDescent="0.35">
      <c r="A204" s="61">
        <v>42675</v>
      </c>
      <c r="B204" s="129">
        <v>8147.5339999999997</v>
      </c>
      <c r="C204" s="126">
        <v>24755.195</v>
      </c>
      <c r="D204" s="138">
        <v>12468.113913610001</v>
      </c>
    </row>
    <row r="205" spans="1:4" ht="15.5" x14ac:dyDescent="0.35">
      <c r="A205" s="61">
        <v>42705</v>
      </c>
      <c r="B205" s="129">
        <v>8469.5499999999993</v>
      </c>
      <c r="C205" s="126">
        <v>25679.929</v>
      </c>
      <c r="D205" s="138">
        <v>12457.36496563</v>
      </c>
    </row>
    <row r="206" spans="1:4" ht="15.5" x14ac:dyDescent="0.35">
      <c r="A206" s="61">
        <v>42736</v>
      </c>
      <c r="B206" s="127">
        <v>8492.5750000000007</v>
      </c>
      <c r="C206" s="126">
        <v>26389.162</v>
      </c>
      <c r="D206" s="138">
        <v>12994.06461655</v>
      </c>
    </row>
    <row r="207" spans="1:4" ht="15.5" x14ac:dyDescent="0.35">
      <c r="A207" s="61">
        <v>42767</v>
      </c>
      <c r="B207" s="127">
        <v>8470.6820000000007</v>
      </c>
      <c r="C207" s="126">
        <v>26500.074000000001</v>
      </c>
      <c r="D207" s="138">
        <v>15446.823062550002</v>
      </c>
    </row>
    <row r="208" spans="1:4" ht="15.5" x14ac:dyDescent="0.35">
      <c r="A208" s="61">
        <v>42795</v>
      </c>
      <c r="B208" s="127">
        <v>8344.6189999999988</v>
      </c>
      <c r="C208" s="126">
        <v>26487.343999999997</v>
      </c>
      <c r="D208" s="138">
        <v>16622.66187855</v>
      </c>
    </row>
    <row r="209" spans="1:4" ht="15.5" x14ac:dyDescent="0.35">
      <c r="A209" s="61">
        <v>42826</v>
      </c>
      <c r="B209" s="127">
        <v>8307.3559999999979</v>
      </c>
      <c r="C209" s="126">
        <v>26908.757000000001</v>
      </c>
      <c r="D209" s="138">
        <v>16772.788436549999</v>
      </c>
    </row>
    <row r="210" spans="1:4" ht="15.5" x14ac:dyDescent="0.35">
      <c r="A210" s="61">
        <v>42856</v>
      </c>
      <c r="B210" s="127">
        <v>8309.849000000002</v>
      </c>
      <c r="C210" s="126">
        <v>26896.607</v>
      </c>
      <c r="D210" s="138">
        <v>14997.056603550001</v>
      </c>
    </row>
    <row r="211" spans="1:4" ht="15.5" x14ac:dyDescent="0.35">
      <c r="A211" s="61">
        <v>42887</v>
      </c>
      <c r="B211" s="127">
        <v>8418.1039999999994</v>
      </c>
      <c r="C211" s="126">
        <v>28552.53</v>
      </c>
      <c r="D211" s="138">
        <v>14990.068695550002</v>
      </c>
    </row>
    <row r="212" spans="1:4" ht="15.5" x14ac:dyDescent="0.35">
      <c r="A212" s="61">
        <v>42917</v>
      </c>
      <c r="B212" s="127">
        <v>8370.889000000001</v>
      </c>
      <c r="C212" s="126">
        <v>28620.816000000003</v>
      </c>
      <c r="D212" s="138">
        <v>14975.520139550004</v>
      </c>
    </row>
    <row r="213" spans="1:4" ht="15.5" x14ac:dyDescent="0.35">
      <c r="A213" s="61">
        <v>42948</v>
      </c>
      <c r="B213" s="127">
        <v>8403.5809999999983</v>
      </c>
      <c r="C213" s="126">
        <v>28659.713</v>
      </c>
      <c r="D213" s="138">
        <v>14952.179308550003</v>
      </c>
    </row>
    <row r="214" spans="1:4" ht="15.5" x14ac:dyDescent="0.35">
      <c r="A214" s="61">
        <v>42979</v>
      </c>
      <c r="B214" s="127">
        <v>8387.7350000000006</v>
      </c>
      <c r="C214" s="126">
        <v>28148.179</v>
      </c>
      <c r="D214" s="138">
        <v>14961.330418550004</v>
      </c>
    </row>
    <row r="215" spans="1:4" ht="15.5" x14ac:dyDescent="0.35">
      <c r="A215" s="61">
        <v>43009</v>
      </c>
      <c r="B215" s="127">
        <v>8413.735999999999</v>
      </c>
      <c r="C215" s="126">
        <v>31210.700000000004</v>
      </c>
      <c r="D215" s="138">
        <v>14957.375906550003</v>
      </c>
    </row>
    <row r="216" spans="1:4" ht="15.5" x14ac:dyDescent="0.35">
      <c r="A216" s="61">
        <v>43040</v>
      </c>
      <c r="B216" s="127">
        <v>8359.75</v>
      </c>
      <c r="C216" s="126">
        <v>31626.989999999998</v>
      </c>
      <c r="D216" s="138">
        <v>14927.833780550005</v>
      </c>
    </row>
    <row r="217" spans="1:4" ht="15.5" x14ac:dyDescent="0.35">
      <c r="A217" s="61">
        <v>43070</v>
      </c>
      <c r="B217" s="128">
        <v>8199.7659999999996</v>
      </c>
      <c r="C217" s="126">
        <v>31750.108</v>
      </c>
      <c r="D217" s="138">
        <v>14785.697104550005</v>
      </c>
    </row>
    <row r="218" spans="1:4" ht="15.5" x14ac:dyDescent="0.35">
      <c r="A218" s="61">
        <v>43101</v>
      </c>
      <c r="B218" s="127">
        <v>8235.5840000000007</v>
      </c>
      <c r="C218" s="126">
        <v>34969.601999999992</v>
      </c>
      <c r="D218" s="138">
        <v>14782.187118339998</v>
      </c>
    </row>
    <row r="219" spans="1:4" ht="15.5" x14ac:dyDescent="0.35">
      <c r="A219" s="61">
        <v>43132</v>
      </c>
      <c r="B219" s="127">
        <v>8188.7509999999984</v>
      </c>
      <c r="C219" s="126">
        <v>35053.210999999996</v>
      </c>
      <c r="D219" s="138">
        <v>14772.855681839997</v>
      </c>
    </row>
    <row r="220" spans="1:4" ht="15.5" x14ac:dyDescent="0.35">
      <c r="A220" s="61">
        <v>43160</v>
      </c>
      <c r="B220" s="127">
        <v>8164.6260000000002</v>
      </c>
      <c r="C220" s="126">
        <v>34567.130000000005</v>
      </c>
      <c r="D220" s="138">
        <v>14364.34113372</v>
      </c>
    </row>
    <row r="221" spans="1:4" ht="15.5" x14ac:dyDescent="0.35">
      <c r="A221" s="61">
        <v>43191</v>
      </c>
      <c r="B221" s="127">
        <v>8242.525999999998</v>
      </c>
      <c r="C221" s="126">
        <v>34492.726000000002</v>
      </c>
      <c r="D221" s="138">
        <v>14355.133450229998</v>
      </c>
    </row>
    <row r="222" spans="1:4" ht="15.5" x14ac:dyDescent="0.35">
      <c r="A222" s="61">
        <v>43221</v>
      </c>
      <c r="B222" s="127">
        <v>8219.1629999999986</v>
      </c>
      <c r="C222" s="126">
        <v>34380.682999999997</v>
      </c>
      <c r="D222" s="138">
        <v>13991.630503819999</v>
      </c>
    </row>
    <row r="223" spans="1:4" ht="15.5" x14ac:dyDescent="0.35">
      <c r="A223" s="61">
        <v>43252</v>
      </c>
      <c r="B223" s="127">
        <v>8077.9660000000003</v>
      </c>
      <c r="C223" s="126">
        <v>34000.326999999997</v>
      </c>
      <c r="D223" s="138">
        <v>13978.305878579999</v>
      </c>
    </row>
    <row r="224" spans="1:4" ht="15.5" x14ac:dyDescent="0.35">
      <c r="A224" s="61">
        <v>43282</v>
      </c>
      <c r="B224" s="127">
        <v>8094.0410000000002</v>
      </c>
      <c r="C224" s="126">
        <v>34459.660000000003</v>
      </c>
      <c r="D224" s="138">
        <v>13950.41666373</v>
      </c>
    </row>
    <row r="225" spans="1:4" ht="15.5" x14ac:dyDescent="0.35">
      <c r="A225" s="61">
        <v>43313</v>
      </c>
      <c r="B225" s="127">
        <v>8025.7489999999998</v>
      </c>
      <c r="C225" s="126">
        <v>34940.880000000005</v>
      </c>
      <c r="D225" s="138">
        <v>13877.67643514</v>
      </c>
    </row>
    <row r="226" spans="1:4" ht="15.5" x14ac:dyDescent="0.35">
      <c r="A226" s="61">
        <v>43344</v>
      </c>
      <c r="B226" s="127">
        <v>7907.7950000000001</v>
      </c>
      <c r="C226" s="126">
        <v>34875.281000000003</v>
      </c>
      <c r="D226" s="138">
        <v>13866.181256869999</v>
      </c>
    </row>
    <row r="227" spans="1:4" ht="15.5" x14ac:dyDescent="0.35">
      <c r="A227" s="61">
        <v>43374</v>
      </c>
      <c r="B227" s="127">
        <v>8028.722999999999</v>
      </c>
      <c r="C227" s="126">
        <v>35193.131999999991</v>
      </c>
      <c r="D227" s="138">
        <v>13876.231325289997</v>
      </c>
    </row>
    <row r="228" spans="1:4" ht="15.5" x14ac:dyDescent="0.35">
      <c r="A228" s="61">
        <v>43405</v>
      </c>
      <c r="B228" s="127">
        <v>8110.2089999999989</v>
      </c>
      <c r="C228" s="126">
        <v>35052.582999999999</v>
      </c>
      <c r="D228" s="138">
        <v>13904.701799909997</v>
      </c>
    </row>
    <row r="229" spans="1:4" ht="15.5" x14ac:dyDescent="0.35">
      <c r="A229" s="61">
        <v>43435</v>
      </c>
      <c r="B229" s="127">
        <v>8319.9549999999981</v>
      </c>
      <c r="C229" s="126">
        <v>35730.101000000002</v>
      </c>
      <c r="D229" s="138">
        <v>13733.712471419998</v>
      </c>
    </row>
    <row r="230" spans="1:4" ht="15.5" x14ac:dyDescent="0.35">
      <c r="A230" s="61">
        <v>43466</v>
      </c>
      <c r="B230" s="125">
        <v>8740.4249999999993</v>
      </c>
      <c r="C230" s="126">
        <v>38736.656769999994</v>
      </c>
      <c r="D230" s="138">
        <v>17131.995728099999</v>
      </c>
    </row>
    <row r="231" spans="1:4" ht="15.5" x14ac:dyDescent="0.35">
      <c r="A231" s="61">
        <v>43497</v>
      </c>
      <c r="B231" s="125">
        <v>8735.0869999999995</v>
      </c>
      <c r="C231" s="126">
        <v>38602.892999999996</v>
      </c>
      <c r="D231" s="138">
        <v>16819.12061405</v>
      </c>
    </row>
    <row r="232" spans="1:4" ht="15.5" x14ac:dyDescent="0.35">
      <c r="A232" s="61">
        <v>43525</v>
      </c>
      <c r="B232" s="125">
        <v>9363.1959999999999</v>
      </c>
      <c r="C232" s="126">
        <v>38968.368770000001</v>
      </c>
      <c r="D232" s="138">
        <v>17113.610822475697</v>
      </c>
    </row>
    <row r="233" spans="1:4" ht="15.5" x14ac:dyDescent="0.35">
      <c r="A233" s="61">
        <v>43556</v>
      </c>
      <c r="B233" s="125">
        <v>9786.3220000000001</v>
      </c>
      <c r="C233" s="126">
        <v>38695.521769999999</v>
      </c>
      <c r="D233" s="138">
        <v>17154.935389985694</v>
      </c>
    </row>
    <row r="234" spans="1:4" ht="15.5" x14ac:dyDescent="0.35">
      <c r="A234" s="61">
        <v>43586</v>
      </c>
      <c r="B234" s="125">
        <v>9995.7319999999982</v>
      </c>
      <c r="C234" s="126">
        <v>39133.20177</v>
      </c>
      <c r="D234" s="138">
        <v>16636.739960505693</v>
      </c>
    </row>
    <row r="235" spans="1:4" ht="15.5" x14ac:dyDescent="0.35">
      <c r="A235" s="61">
        <v>43617</v>
      </c>
      <c r="B235" s="125">
        <v>10316.110999999999</v>
      </c>
      <c r="C235" s="126">
        <v>39331.649770000004</v>
      </c>
      <c r="D235" s="138">
        <v>16626.157943585695</v>
      </c>
    </row>
    <row r="236" spans="1:4" ht="15.5" x14ac:dyDescent="0.35">
      <c r="A236" s="61">
        <v>43647</v>
      </c>
      <c r="B236" s="125">
        <v>10355.470999999998</v>
      </c>
      <c r="C236" s="126">
        <v>39495.243770000001</v>
      </c>
      <c r="D236" s="138">
        <v>16367.279384465692</v>
      </c>
    </row>
    <row r="237" spans="1:4" ht="15.5" x14ac:dyDescent="0.35">
      <c r="A237" s="61">
        <v>43678</v>
      </c>
      <c r="B237" s="125">
        <v>10471.643</v>
      </c>
      <c r="C237" s="126">
        <v>39255.510999999991</v>
      </c>
      <c r="D237" s="138">
        <v>16490.980350545695</v>
      </c>
    </row>
    <row r="238" spans="1:4" ht="15.5" x14ac:dyDescent="0.35">
      <c r="A238" s="61">
        <v>43709</v>
      </c>
      <c r="B238" s="125">
        <v>10525.368999999997</v>
      </c>
      <c r="C238" s="126">
        <v>40913.479999999996</v>
      </c>
      <c r="D238" s="138">
        <v>16161.414552229497</v>
      </c>
    </row>
    <row r="239" spans="1:4" ht="15.5" x14ac:dyDescent="0.35">
      <c r="A239" s="61">
        <v>43739</v>
      </c>
      <c r="B239" s="125">
        <v>10527.935999999998</v>
      </c>
      <c r="C239" s="126">
        <v>40841.349999999991</v>
      </c>
      <c r="D239" s="138">
        <v>16090.525352799492</v>
      </c>
    </row>
    <row r="240" spans="1:4" ht="15.5" x14ac:dyDescent="0.35">
      <c r="A240" s="61">
        <v>43770</v>
      </c>
      <c r="B240" s="125">
        <v>10618.751</v>
      </c>
      <c r="C240" s="126">
        <v>40791.012999999992</v>
      </c>
      <c r="D240" s="138">
        <v>15991.975128719494</v>
      </c>
    </row>
    <row r="241" spans="1:4" ht="15.5" x14ac:dyDescent="0.35">
      <c r="A241" s="61">
        <v>43800</v>
      </c>
      <c r="B241" s="125">
        <v>11174.868</v>
      </c>
      <c r="C241" s="126">
        <v>41495.583769999997</v>
      </c>
      <c r="D241" s="138">
        <v>15843.635946339495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0"/>
  <sheetViews>
    <sheetView workbookViewId="0">
      <selection activeCell="M89" sqref="M89"/>
    </sheetView>
  </sheetViews>
  <sheetFormatPr defaultColWidth="11.453125" defaultRowHeight="13" x14ac:dyDescent="0.3"/>
  <cols>
    <col min="1" max="1" width="18" style="33" customWidth="1"/>
    <col min="2" max="2" width="19.6328125" style="33" customWidth="1"/>
    <col min="3" max="3" width="21" style="33" customWidth="1"/>
    <col min="4" max="6" width="19.6328125" style="33" customWidth="1"/>
    <col min="7" max="7" width="20.453125" style="33" customWidth="1"/>
    <col min="8" max="9" width="19.6328125" style="33" customWidth="1"/>
    <col min="10" max="10" width="22.54296875" style="33" customWidth="1"/>
    <col min="11" max="11" width="23" style="33" customWidth="1"/>
    <col min="12" max="16384" width="11.453125" style="33"/>
  </cols>
  <sheetData>
    <row r="1" spans="1:13" x14ac:dyDescent="0.3">
      <c r="A1" s="1" t="s">
        <v>0</v>
      </c>
    </row>
    <row r="2" spans="1:13" x14ac:dyDescent="0.3">
      <c r="A2" s="1"/>
    </row>
    <row r="3" spans="1:13" x14ac:dyDescent="0.3">
      <c r="A3" s="1"/>
    </row>
    <row r="4" spans="1:13" ht="21" x14ac:dyDescent="0.5">
      <c r="A4" s="92" t="s">
        <v>96</v>
      </c>
      <c r="B4" s="34"/>
      <c r="C4" s="35"/>
      <c r="D4" s="36"/>
      <c r="E4" s="34"/>
      <c r="F4" s="34"/>
      <c r="G4" s="34"/>
      <c r="H4" s="34"/>
      <c r="I4" s="34"/>
      <c r="J4" s="34"/>
      <c r="K4" s="35"/>
    </row>
    <row r="5" spans="1:13" ht="18.5" x14ac:dyDescent="0.45">
      <c r="A5" s="37" t="s">
        <v>506</v>
      </c>
      <c r="B5" s="34"/>
      <c r="C5" s="35"/>
      <c r="D5" s="34"/>
      <c r="E5" s="35"/>
      <c r="F5" s="34"/>
      <c r="G5" s="34"/>
      <c r="H5" s="34"/>
      <c r="I5" s="34"/>
      <c r="J5" s="34"/>
      <c r="K5" s="35"/>
    </row>
    <row r="6" spans="1:13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5"/>
    </row>
    <row r="7" spans="1:13" s="38" customFormat="1" ht="46.5" x14ac:dyDescent="0.35">
      <c r="A7" s="96" t="s">
        <v>97</v>
      </c>
      <c r="B7" s="97" t="s">
        <v>9</v>
      </c>
      <c r="C7" s="97" t="s">
        <v>98</v>
      </c>
      <c r="D7" s="97" t="s">
        <v>99</v>
      </c>
      <c r="E7" s="97" t="s">
        <v>100</v>
      </c>
      <c r="F7" s="97" t="s">
        <v>101</v>
      </c>
      <c r="G7" s="97" t="s">
        <v>102</v>
      </c>
      <c r="H7" s="97" t="s">
        <v>103</v>
      </c>
      <c r="I7" s="97" t="s">
        <v>104</v>
      </c>
      <c r="J7" s="97" t="s">
        <v>105</v>
      </c>
      <c r="K7" s="98" t="s">
        <v>106</v>
      </c>
      <c r="M7" s="38" t="s">
        <v>545</v>
      </c>
    </row>
    <row r="8" spans="1:13" s="38" customFormat="1" ht="15.5" x14ac:dyDescent="0.35">
      <c r="A8" s="39" t="s">
        <v>11</v>
      </c>
      <c r="B8" s="40"/>
      <c r="C8" s="40"/>
      <c r="D8" s="40"/>
      <c r="E8" s="40"/>
      <c r="F8" s="41"/>
      <c r="G8" s="40"/>
      <c r="H8" s="40"/>
      <c r="I8" s="40"/>
      <c r="J8" s="40"/>
      <c r="K8" s="42"/>
    </row>
    <row r="9" spans="1:13" s="38" customFormat="1" ht="15.5" x14ac:dyDescent="0.35">
      <c r="A9" s="43"/>
      <c r="B9" s="44"/>
      <c r="C9" s="44"/>
      <c r="D9" s="44"/>
      <c r="E9" s="44"/>
      <c r="F9" s="44"/>
      <c r="G9" s="44"/>
      <c r="H9" s="44"/>
      <c r="I9" s="44"/>
      <c r="J9" s="44"/>
      <c r="K9" s="45"/>
    </row>
    <row r="10" spans="1:13" s="38" customFormat="1" ht="15.5" x14ac:dyDescent="0.35">
      <c r="A10" s="46" t="s">
        <v>12</v>
      </c>
      <c r="B10" s="47">
        <v>3819126</v>
      </c>
      <c r="C10" s="47">
        <v>1120302</v>
      </c>
      <c r="D10" s="47">
        <v>4939428</v>
      </c>
      <c r="E10" s="47">
        <v>3433046</v>
      </c>
      <c r="F10" s="47">
        <v>2445053</v>
      </c>
      <c r="G10" s="47">
        <v>175154</v>
      </c>
      <c r="H10" s="47">
        <v>723232</v>
      </c>
      <c r="I10" s="47">
        <v>89607</v>
      </c>
      <c r="J10" s="47">
        <v>1506382</v>
      </c>
      <c r="K10" s="47">
        <v>4939428</v>
      </c>
      <c r="M10" s="124">
        <f>J10-C10</f>
        <v>386080</v>
      </c>
    </row>
    <row r="11" spans="1:13" s="38" customFormat="1" ht="15.5" x14ac:dyDescent="0.35">
      <c r="A11" s="46" t="s">
        <v>13</v>
      </c>
      <c r="B11" s="47">
        <v>4402479</v>
      </c>
      <c r="C11" s="47">
        <v>1165977</v>
      </c>
      <c r="D11" s="47">
        <v>5568456</v>
      </c>
      <c r="E11" s="47">
        <v>4093878</v>
      </c>
      <c r="F11" s="47">
        <v>2841942</v>
      </c>
      <c r="G11" s="47">
        <v>389776</v>
      </c>
      <c r="H11" s="47">
        <v>821301</v>
      </c>
      <c r="I11" s="47">
        <v>40859</v>
      </c>
      <c r="J11" s="47">
        <v>1474578</v>
      </c>
      <c r="K11" s="47">
        <v>5568456</v>
      </c>
      <c r="M11" s="124">
        <f t="shared" ref="M11:M74" si="0">J11-C11</f>
        <v>308601</v>
      </c>
    </row>
    <row r="12" spans="1:13" s="38" customFormat="1" ht="15.5" x14ac:dyDescent="0.35">
      <c r="A12" s="46" t="s">
        <v>14</v>
      </c>
      <c r="B12" s="47">
        <v>4906653</v>
      </c>
      <c r="C12" s="47">
        <v>1344968</v>
      </c>
      <c r="D12" s="47">
        <v>6251621</v>
      </c>
      <c r="E12" s="47">
        <v>4758217</v>
      </c>
      <c r="F12" s="47">
        <v>3164392</v>
      </c>
      <c r="G12" s="47">
        <v>516011</v>
      </c>
      <c r="H12" s="47">
        <v>947040</v>
      </c>
      <c r="I12" s="47">
        <v>130774</v>
      </c>
      <c r="J12" s="47">
        <v>1493404</v>
      </c>
      <c r="K12" s="47">
        <v>6251621</v>
      </c>
      <c r="M12" s="124">
        <f t="shared" si="0"/>
        <v>148436</v>
      </c>
    </row>
    <row r="13" spans="1:13" s="38" customFormat="1" ht="15.5" x14ac:dyDescent="0.35">
      <c r="A13" s="46" t="s">
        <v>15</v>
      </c>
      <c r="B13" s="47">
        <v>5190343</v>
      </c>
      <c r="C13" s="47">
        <v>1376539</v>
      </c>
      <c r="D13" s="47">
        <v>6566882</v>
      </c>
      <c r="E13" s="47">
        <v>5155931</v>
      </c>
      <c r="F13" s="47">
        <v>3378859</v>
      </c>
      <c r="G13" s="47">
        <v>631921</v>
      </c>
      <c r="H13" s="47">
        <v>991669</v>
      </c>
      <c r="I13" s="47">
        <v>153482</v>
      </c>
      <c r="J13" s="47">
        <v>1410951</v>
      </c>
      <c r="K13" s="47">
        <v>6566882</v>
      </c>
      <c r="M13" s="124">
        <f t="shared" si="0"/>
        <v>34412</v>
      </c>
    </row>
    <row r="14" spans="1:13" s="38" customFormat="1" ht="15.5" x14ac:dyDescent="0.35">
      <c r="A14" s="46" t="s">
        <v>16</v>
      </c>
      <c r="B14" s="47">
        <v>5904082</v>
      </c>
      <c r="C14" s="47">
        <v>1558735</v>
      </c>
      <c r="D14" s="47">
        <v>7462817</v>
      </c>
      <c r="E14" s="47">
        <v>5965283</v>
      </c>
      <c r="F14" s="47">
        <v>4198533</v>
      </c>
      <c r="G14" s="47">
        <v>577101</v>
      </c>
      <c r="H14" s="47">
        <v>1053487</v>
      </c>
      <c r="I14" s="47">
        <v>136162</v>
      </c>
      <c r="J14" s="47">
        <v>1497534</v>
      </c>
      <c r="K14" s="47">
        <v>7462817</v>
      </c>
      <c r="M14" s="124">
        <f t="shared" si="0"/>
        <v>-61201</v>
      </c>
    </row>
    <row r="15" spans="1:13" s="38" customFormat="1" ht="15.5" x14ac:dyDescent="0.35">
      <c r="A15" s="46" t="s">
        <v>17</v>
      </c>
      <c r="B15" s="47">
        <v>6069620</v>
      </c>
      <c r="C15" s="47">
        <v>1656183</v>
      </c>
      <c r="D15" s="47">
        <v>7725803</v>
      </c>
      <c r="E15" s="47">
        <v>6337242</v>
      </c>
      <c r="F15" s="47">
        <v>4375885</v>
      </c>
      <c r="G15" s="47">
        <v>582004</v>
      </c>
      <c r="H15" s="47">
        <v>1147563</v>
      </c>
      <c r="I15" s="47">
        <v>231790</v>
      </c>
      <c r="J15" s="47">
        <v>1388561</v>
      </c>
      <c r="K15" s="47">
        <v>7725803</v>
      </c>
      <c r="M15" s="124">
        <f t="shared" si="0"/>
        <v>-267622</v>
      </c>
    </row>
    <row r="16" spans="1:13" s="38" customFormat="1" ht="15.5" x14ac:dyDescent="0.35">
      <c r="A16" s="46" t="s">
        <v>18</v>
      </c>
      <c r="B16" s="47">
        <v>6159609</v>
      </c>
      <c r="C16" s="47">
        <v>1693120</v>
      </c>
      <c r="D16" s="47">
        <v>7852729</v>
      </c>
      <c r="E16" s="47">
        <v>6445033</v>
      </c>
      <c r="F16" s="47">
        <v>4454342</v>
      </c>
      <c r="G16" s="47">
        <v>551198</v>
      </c>
      <c r="H16" s="47">
        <v>1212577</v>
      </c>
      <c r="I16" s="47">
        <v>226916</v>
      </c>
      <c r="J16" s="47">
        <v>1407696</v>
      </c>
      <c r="K16" s="47">
        <v>7852729</v>
      </c>
      <c r="M16" s="124">
        <f t="shared" si="0"/>
        <v>-285424</v>
      </c>
    </row>
    <row r="17" spans="1:13" s="38" customFormat="1" ht="15.5" x14ac:dyDescent="0.35">
      <c r="A17" s="46" t="s">
        <v>19</v>
      </c>
      <c r="B17" s="47">
        <v>6335013</v>
      </c>
      <c r="C17" s="47">
        <v>1826210</v>
      </c>
      <c r="D17" s="47">
        <v>8161223</v>
      </c>
      <c r="E17" s="47">
        <v>6772797</v>
      </c>
      <c r="F17" s="47">
        <v>4711126</v>
      </c>
      <c r="G17" s="47">
        <v>601693</v>
      </c>
      <c r="H17" s="47">
        <v>1247952</v>
      </c>
      <c r="I17" s="47">
        <v>212026</v>
      </c>
      <c r="J17" s="47">
        <v>1388426</v>
      </c>
      <c r="K17" s="47">
        <v>8161223</v>
      </c>
      <c r="M17" s="124">
        <f t="shared" si="0"/>
        <v>-437784</v>
      </c>
    </row>
    <row r="18" spans="1:13" s="38" customFormat="1" ht="15.5" x14ac:dyDescent="0.35">
      <c r="A18" s="46" t="s">
        <v>20</v>
      </c>
      <c r="B18" s="47">
        <v>6737551</v>
      </c>
      <c r="C18" s="47">
        <v>1840720</v>
      </c>
      <c r="D18" s="47">
        <v>8578271</v>
      </c>
      <c r="E18" s="47">
        <v>7158409</v>
      </c>
      <c r="F18" s="47">
        <v>4935609</v>
      </c>
      <c r="G18" s="47">
        <v>622826</v>
      </c>
      <c r="H18" s="47">
        <v>1388559</v>
      </c>
      <c r="I18" s="47">
        <v>211415</v>
      </c>
      <c r="J18" s="47">
        <v>1419862</v>
      </c>
      <c r="K18" s="47">
        <v>8578271</v>
      </c>
      <c r="M18" s="124">
        <f t="shared" si="0"/>
        <v>-420858</v>
      </c>
    </row>
    <row r="19" spans="1:13" s="38" customFormat="1" ht="15.5" x14ac:dyDescent="0.35">
      <c r="A19" s="46" t="s">
        <v>21</v>
      </c>
      <c r="B19" s="47">
        <v>7086627</v>
      </c>
      <c r="C19" s="47">
        <v>2073234</v>
      </c>
      <c r="D19" s="47">
        <v>9159861</v>
      </c>
      <c r="E19" s="47">
        <v>7644751</v>
      </c>
      <c r="F19" s="47">
        <v>5165450</v>
      </c>
      <c r="G19" s="47">
        <v>689584</v>
      </c>
      <c r="H19" s="47">
        <v>1460080</v>
      </c>
      <c r="I19" s="47">
        <v>329637</v>
      </c>
      <c r="J19" s="47">
        <v>1515110</v>
      </c>
      <c r="K19" s="47">
        <v>9159861</v>
      </c>
      <c r="M19" s="124">
        <f t="shared" si="0"/>
        <v>-558124</v>
      </c>
    </row>
    <row r="20" spans="1:13" s="38" customFormat="1" ht="15.5" x14ac:dyDescent="0.35">
      <c r="A20" s="46" t="s">
        <v>22</v>
      </c>
      <c r="B20" s="47">
        <v>7294132</v>
      </c>
      <c r="C20" s="47">
        <v>2054515</v>
      </c>
      <c r="D20" s="47">
        <v>9348647</v>
      </c>
      <c r="E20" s="47">
        <v>7776383</v>
      </c>
      <c r="F20" s="47">
        <v>5297262</v>
      </c>
      <c r="G20" s="47">
        <v>721936</v>
      </c>
      <c r="H20" s="47">
        <v>1514534</v>
      </c>
      <c r="I20" s="47">
        <v>242651</v>
      </c>
      <c r="J20" s="47">
        <v>1572264</v>
      </c>
      <c r="K20" s="47">
        <v>9348647</v>
      </c>
      <c r="M20" s="124">
        <f t="shared" si="0"/>
        <v>-482251</v>
      </c>
    </row>
    <row r="21" spans="1:13" s="38" customFormat="1" ht="15.5" x14ac:dyDescent="0.35">
      <c r="A21" s="46" t="s">
        <v>23</v>
      </c>
      <c r="B21" s="47">
        <v>7430635</v>
      </c>
      <c r="C21" s="47">
        <v>1992169</v>
      </c>
      <c r="D21" s="47">
        <v>9422804</v>
      </c>
      <c r="E21" s="47">
        <v>7794194</v>
      </c>
      <c r="F21" s="47">
        <v>5401579</v>
      </c>
      <c r="G21" s="47">
        <v>772712</v>
      </c>
      <c r="H21" s="47">
        <v>1543432</v>
      </c>
      <c r="I21" s="47">
        <v>76471</v>
      </c>
      <c r="J21" s="47">
        <v>1628610</v>
      </c>
      <c r="K21" s="47">
        <v>9422804</v>
      </c>
      <c r="M21" s="124">
        <f t="shared" si="0"/>
        <v>-363559</v>
      </c>
    </row>
    <row r="22" spans="1:13" s="38" customFormat="1" ht="15.5" x14ac:dyDescent="0.35">
      <c r="A22" s="46" t="s">
        <v>24</v>
      </c>
      <c r="B22" s="47">
        <v>8011429</v>
      </c>
      <c r="C22" s="47">
        <v>1981196</v>
      </c>
      <c r="D22" s="47">
        <v>9992625</v>
      </c>
      <c r="E22" s="47">
        <v>8202783</v>
      </c>
      <c r="F22" s="47">
        <v>5667569</v>
      </c>
      <c r="G22" s="47">
        <v>801090</v>
      </c>
      <c r="H22" s="47">
        <v>1603484</v>
      </c>
      <c r="I22" s="47">
        <v>130640</v>
      </c>
      <c r="J22" s="47">
        <v>1789842</v>
      </c>
      <c r="K22" s="47">
        <v>9992625</v>
      </c>
      <c r="M22" s="124">
        <f t="shared" si="0"/>
        <v>-191354</v>
      </c>
    </row>
    <row r="23" spans="1:13" s="38" customFormat="1" ht="15.5" x14ac:dyDescent="0.35">
      <c r="A23" s="46" t="s">
        <v>25</v>
      </c>
      <c r="B23" s="47">
        <v>7965078</v>
      </c>
      <c r="C23" s="47">
        <v>1938272</v>
      </c>
      <c r="D23" s="47">
        <v>9903350</v>
      </c>
      <c r="E23" s="47">
        <v>8170004</v>
      </c>
      <c r="F23" s="47">
        <v>5830682</v>
      </c>
      <c r="G23" s="47">
        <v>870265</v>
      </c>
      <c r="H23" s="47">
        <v>1552829</v>
      </c>
      <c r="I23" s="47">
        <v>-83772</v>
      </c>
      <c r="J23" s="47">
        <v>1733346</v>
      </c>
      <c r="K23" s="47">
        <v>9903350</v>
      </c>
      <c r="M23" s="124">
        <f t="shared" si="0"/>
        <v>-204926</v>
      </c>
    </row>
    <row r="24" spans="1:13" s="38" customFormat="1" ht="15.5" x14ac:dyDescent="0.35">
      <c r="A24" s="46" t="s">
        <v>26</v>
      </c>
      <c r="B24" s="47">
        <v>8120465</v>
      </c>
      <c r="C24" s="47">
        <v>1992243</v>
      </c>
      <c r="D24" s="47">
        <v>10112708</v>
      </c>
      <c r="E24" s="47">
        <v>8246184</v>
      </c>
      <c r="F24" s="47">
        <v>5866442</v>
      </c>
      <c r="G24" s="47">
        <v>889497</v>
      </c>
      <c r="H24" s="47">
        <v>1529914</v>
      </c>
      <c r="I24" s="47">
        <v>-39669</v>
      </c>
      <c r="J24" s="47">
        <v>1866524</v>
      </c>
      <c r="K24" s="47">
        <v>10112708</v>
      </c>
      <c r="M24" s="124">
        <f t="shared" si="0"/>
        <v>-125719</v>
      </c>
    </row>
    <row r="25" spans="1:13" s="38" customFormat="1" ht="15.5" x14ac:dyDescent="0.35">
      <c r="A25" s="46" t="s">
        <v>27</v>
      </c>
      <c r="B25" s="47">
        <v>8335886</v>
      </c>
      <c r="C25" s="47">
        <v>2080793</v>
      </c>
      <c r="D25" s="47">
        <v>10416679</v>
      </c>
      <c r="E25" s="47">
        <v>8477084</v>
      </c>
      <c r="F25" s="47">
        <v>5903082</v>
      </c>
      <c r="G25" s="47">
        <v>913976</v>
      </c>
      <c r="H25" s="47">
        <v>1554456</v>
      </c>
      <c r="I25" s="47">
        <v>105570</v>
      </c>
      <c r="J25" s="47">
        <v>1939595</v>
      </c>
      <c r="K25" s="47">
        <v>10416679</v>
      </c>
      <c r="M25" s="124">
        <f t="shared" si="0"/>
        <v>-141198</v>
      </c>
    </row>
    <row r="26" spans="1:13" s="38" customFormat="1" ht="15.5" x14ac:dyDescent="0.35">
      <c r="A26" s="46" t="s">
        <v>28</v>
      </c>
      <c r="B26" s="47">
        <v>8849273</v>
      </c>
      <c r="C26" s="47">
        <v>2179849</v>
      </c>
      <c r="D26" s="47">
        <v>11029122</v>
      </c>
      <c r="E26" s="47">
        <v>9036018</v>
      </c>
      <c r="F26" s="47">
        <v>6306606</v>
      </c>
      <c r="G26" s="47">
        <v>989429</v>
      </c>
      <c r="H26" s="47">
        <v>1651726</v>
      </c>
      <c r="I26" s="47">
        <v>88257</v>
      </c>
      <c r="J26" s="47">
        <v>1993104</v>
      </c>
      <c r="K26" s="47">
        <v>11029122</v>
      </c>
      <c r="M26" s="124">
        <f t="shared" si="0"/>
        <v>-186745</v>
      </c>
    </row>
    <row r="27" spans="1:13" s="38" customFormat="1" ht="15.5" x14ac:dyDescent="0.35">
      <c r="A27" s="46" t="s">
        <v>29</v>
      </c>
      <c r="B27" s="47">
        <v>9041596</v>
      </c>
      <c r="C27" s="47">
        <v>2396630</v>
      </c>
      <c r="D27" s="47">
        <v>11438226</v>
      </c>
      <c r="E27" s="47">
        <v>9214496</v>
      </c>
      <c r="F27" s="47">
        <v>6406699</v>
      </c>
      <c r="G27" s="47">
        <v>1001661</v>
      </c>
      <c r="H27" s="47">
        <v>1772561</v>
      </c>
      <c r="I27" s="47">
        <v>33575</v>
      </c>
      <c r="J27" s="47">
        <v>2223730</v>
      </c>
      <c r="K27" s="47">
        <v>11438226</v>
      </c>
      <c r="M27" s="124">
        <f t="shared" si="0"/>
        <v>-172900</v>
      </c>
    </row>
    <row r="28" spans="1:13" s="38" customFormat="1" ht="15.5" x14ac:dyDescent="0.35">
      <c r="A28" s="46" t="s">
        <v>30</v>
      </c>
      <c r="B28" s="47">
        <v>9207469</v>
      </c>
      <c r="C28" s="47">
        <v>2406415</v>
      </c>
      <c r="D28" s="47">
        <v>11613884</v>
      </c>
      <c r="E28" s="47">
        <v>9293733</v>
      </c>
      <c r="F28" s="47">
        <v>6405966</v>
      </c>
      <c r="G28" s="47">
        <v>984387</v>
      </c>
      <c r="H28" s="47">
        <v>1836724</v>
      </c>
      <c r="I28" s="47">
        <v>66656</v>
      </c>
      <c r="J28" s="47">
        <v>2320151</v>
      </c>
      <c r="K28" s="47">
        <v>11613884</v>
      </c>
      <c r="M28" s="124">
        <f t="shared" si="0"/>
        <v>-86264</v>
      </c>
    </row>
    <row r="29" spans="1:13" s="38" customFormat="1" ht="15.5" x14ac:dyDescent="0.35">
      <c r="A29" s="46" t="s">
        <v>31</v>
      </c>
      <c r="B29" s="47">
        <v>9493323</v>
      </c>
      <c r="C29" s="47">
        <v>2571515</v>
      </c>
      <c r="D29" s="47">
        <v>12064838</v>
      </c>
      <c r="E29" s="47">
        <v>9616979</v>
      </c>
      <c r="F29" s="47">
        <v>6668037</v>
      </c>
      <c r="G29" s="47">
        <v>1007289</v>
      </c>
      <c r="H29" s="47">
        <v>1948114</v>
      </c>
      <c r="I29" s="47">
        <v>-6461</v>
      </c>
      <c r="J29" s="47">
        <v>2447859</v>
      </c>
      <c r="K29" s="47">
        <v>12064838</v>
      </c>
      <c r="M29" s="124">
        <f t="shared" si="0"/>
        <v>-123656</v>
      </c>
    </row>
    <row r="30" spans="1:13" s="38" customFormat="1" ht="15.5" x14ac:dyDescent="0.35">
      <c r="A30" s="46" t="s">
        <v>32</v>
      </c>
      <c r="B30" s="47">
        <v>9858210</v>
      </c>
      <c r="C30" s="47">
        <v>2831624</v>
      </c>
      <c r="D30" s="47">
        <v>12689834</v>
      </c>
      <c r="E30" s="47">
        <v>10071654</v>
      </c>
      <c r="F30" s="47">
        <v>6872973</v>
      </c>
      <c r="G30" s="47">
        <v>1067573</v>
      </c>
      <c r="H30" s="47">
        <v>1970809</v>
      </c>
      <c r="I30" s="47">
        <v>160299</v>
      </c>
      <c r="J30" s="47">
        <v>2618180</v>
      </c>
      <c r="K30" s="47">
        <v>12689834</v>
      </c>
      <c r="M30" s="124">
        <f t="shared" si="0"/>
        <v>-213444</v>
      </c>
    </row>
    <row r="31" spans="1:13" s="38" customFormat="1" ht="15.5" x14ac:dyDescent="0.35">
      <c r="A31" s="46" t="s">
        <v>33</v>
      </c>
      <c r="B31" s="47">
        <v>10221018</v>
      </c>
      <c r="C31" s="47">
        <v>2917386</v>
      </c>
      <c r="D31" s="47">
        <v>13138404</v>
      </c>
      <c r="E31" s="47">
        <v>10398551</v>
      </c>
      <c r="F31" s="47">
        <v>7047351</v>
      </c>
      <c r="G31" s="47">
        <v>1094043</v>
      </c>
      <c r="H31" s="47">
        <v>2115210</v>
      </c>
      <c r="I31" s="47">
        <v>141947</v>
      </c>
      <c r="J31" s="47">
        <v>2739853</v>
      </c>
      <c r="K31" s="47">
        <v>13138404</v>
      </c>
      <c r="M31" s="124">
        <f t="shared" si="0"/>
        <v>-177533</v>
      </c>
    </row>
    <row r="32" spans="1:13" s="38" customFormat="1" ht="15.5" x14ac:dyDescent="0.35">
      <c r="A32" s="46" t="s">
        <v>34</v>
      </c>
      <c r="B32" s="47">
        <v>10645973</v>
      </c>
      <c r="C32" s="47">
        <v>2819573</v>
      </c>
      <c r="D32" s="47">
        <v>13465546</v>
      </c>
      <c r="E32" s="47">
        <v>10469920</v>
      </c>
      <c r="F32" s="47">
        <v>7124759</v>
      </c>
      <c r="G32" s="47">
        <v>1125814</v>
      </c>
      <c r="H32" s="47">
        <v>2163922</v>
      </c>
      <c r="I32" s="47">
        <v>55425</v>
      </c>
      <c r="J32" s="47">
        <v>2995626</v>
      </c>
      <c r="K32" s="47">
        <v>13465546</v>
      </c>
      <c r="M32" s="124">
        <f t="shared" si="0"/>
        <v>176053</v>
      </c>
    </row>
    <row r="33" spans="1:13" s="38" customFormat="1" ht="15.5" x14ac:dyDescent="0.35">
      <c r="A33" s="46" t="s">
        <v>35</v>
      </c>
      <c r="B33" s="47">
        <v>10781884</v>
      </c>
      <c r="C33" s="47">
        <v>3253322</v>
      </c>
      <c r="D33" s="47">
        <v>14035206</v>
      </c>
      <c r="E33" s="47">
        <v>10925366</v>
      </c>
      <c r="F33" s="47">
        <v>7390813</v>
      </c>
      <c r="G33" s="47">
        <v>1161235</v>
      </c>
      <c r="H33" s="47">
        <v>2226812</v>
      </c>
      <c r="I33" s="47">
        <v>146506</v>
      </c>
      <c r="J33" s="47">
        <v>3109840</v>
      </c>
      <c r="K33" s="47">
        <v>14035206</v>
      </c>
      <c r="M33" s="124">
        <f t="shared" si="0"/>
        <v>-143482</v>
      </c>
    </row>
    <row r="34" spans="1:13" s="38" customFormat="1" ht="15.5" x14ac:dyDescent="0.35">
      <c r="A34" s="46" t="s">
        <v>36</v>
      </c>
      <c r="B34" s="47">
        <v>11312589</v>
      </c>
      <c r="C34" s="47">
        <v>3266788</v>
      </c>
      <c r="D34" s="47">
        <v>14579377</v>
      </c>
      <c r="E34" s="47">
        <v>11106132</v>
      </c>
      <c r="F34" s="47">
        <v>7473628</v>
      </c>
      <c r="G34" s="47">
        <v>1180967</v>
      </c>
      <c r="H34" s="47">
        <v>2289331</v>
      </c>
      <c r="I34" s="47">
        <v>162206</v>
      </c>
      <c r="J34" s="47">
        <v>3473245</v>
      </c>
      <c r="K34" s="47">
        <v>14579377</v>
      </c>
      <c r="M34" s="124">
        <f>J34-C34</f>
        <v>206457</v>
      </c>
    </row>
    <row r="35" spans="1:13" s="38" customFormat="1" ht="15.5" x14ac:dyDescent="0.35">
      <c r="A35" s="46" t="s">
        <v>37</v>
      </c>
      <c r="B35" s="47">
        <v>11727184</v>
      </c>
      <c r="C35" s="47">
        <v>3419011</v>
      </c>
      <c r="D35" s="47">
        <v>15146195</v>
      </c>
      <c r="E35" s="47">
        <v>11629072</v>
      </c>
      <c r="F35" s="47">
        <v>7640025</v>
      </c>
      <c r="G35" s="47">
        <v>1213810</v>
      </c>
      <c r="H35" s="47">
        <v>2446002</v>
      </c>
      <c r="I35" s="47">
        <v>329235</v>
      </c>
      <c r="J35" s="47">
        <v>3517123</v>
      </c>
      <c r="K35" s="47">
        <v>15146195</v>
      </c>
      <c r="M35" s="124">
        <f t="shared" si="0"/>
        <v>98112</v>
      </c>
    </row>
    <row r="36" spans="1:13" s="38" customFormat="1" ht="15.5" x14ac:dyDescent="0.35">
      <c r="A36" s="46" t="s">
        <v>38</v>
      </c>
      <c r="B36" s="47">
        <v>11941733</v>
      </c>
      <c r="C36" s="47">
        <v>3529083</v>
      </c>
      <c r="D36" s="47">
        <v>15470816</v>
      </c>
      <c r="E36" s="47">
        <v>11923431</v>
      </c>
      <c r="F36" s="47">
        <v>7792795</v>
      </c>
      <c r="G36" s="47">
        <v>1244480</v>
      </c>
      <c r="H36" s="47">
        <v>2546226</v>
      </c>
      <c r="I36" s="47">
        <v>339930</v>
      </c>
      <c r="J36" s="47">
        <v>3547385</v>
      </c>
      <c r="K36" s="47">
        <v>15470816</v>
      </c>
      <c r="M36" s="124">
        <f t="shared" si="0"/>
        <v>18302</v>
      </c>
    </row>
    <row r="37" spans="1:13" s="38" customFormat="1" ht="15.5" x14ac:dyDescent="0.35">
      <c r="A37" s="46" t="s">
        <v>39</v>
      </c>
      <c r="B37" s="47">
        <v>11820538</v>
      </c>
      <c r="C37" s="47">
        <v>3534018</v>
      </c>
      <c r="D37" s="47">
        <v>15354556</v>
      </c>
      <c r="E37" s="47">
        <v>11695810</v>
      </c>
      <c r="F37" s="47">
        <v>7974442</v>
      </c>
      <c r="G37" s="47">
        <v>1322646</v>
      </c>
      <c r="H37" s="47">
        <v>2478153</v>
      </c>
      <c r="I37" s="47">
        <v>-79431</v>
      </c>
      <c r="J37" s="47">
        <v>3658746</v>
      </c>
      <c r="K37" s="47">
        <v>15354556</v>
      </c>
      <c r="M37" s="124">
        <f t="shared" si="0"/>
        <v>124728</v>
      </c>
    </row>
    <row r="38" spans="1:13" s="38" customFormat="1" ht="15.5" x14ac:dyDescent="0.35">
      <c r="A38" s="46" t="s">
        <v>40</v>
      </c>
      <c r="B38" s="47">
        <v>11972101</v>
      </c>
      <c r="C38" s="47">
        <v>3688804</v>
      </c>
      <c r="D38" s="47">
        <v>15660905</v>
      </c>
      <c r="E38" s="47">
        <v>12092597</v>
      </c>
      <c r="F38" s="47">
        <v>8096780</v>
      </c>
      <c r="G38" s="47">
        <v>1349454</v>
      </c>
      <c r="H38" s="47">
        <v>2580234</v>
      </c>
      <c r="I38" s="47">
        <v>66129</v>
      </c>
      <c r="J38" s="47">
        <v>3568308</v>
      </c>
      <c r="K38" s="47">
        <v>15660905</v>
      </c>
      <c r="M38" s="124">
        <f t="shared" si="0"/>
        <v>-120496</v>
      </c>
    </row>
    <row r="39" spans="1:13" s="38" customFormat="1" ht="15.5" x14ac:dyDescent="0.35">
      <c r="A39" s="46" t="s">
        <v>41</v>
      </c>
      <c r="B39" s="47">
        <v>12483035</v>
      </c>
      <c r="C39" s="47">
        <v>3756612</v>
      </c>
      <c r="D39" s="47">
        <v>16239647</v>
      </c>
      <c r="E39" s="47">
        <v>12380699</v>
      </c>
      <c r="F39" s="47">
        <v>8215569</v>
      </c>
      <c r="G39" s="47">
        <v>1402301</v>
      </c>
      <c r="H39" s="47">
        <v>2613022</v>
      </c>
      <c r="I39" s="47">
        <v>149807</v>
      </c>
      <c r="J39" s="47">
        <v>3858948</v>
      </c>
      <c r="K39" s="47">
        <v>16239647</v>
      </c>
      <c r="M39" s="124">
        <f t="shared" si="0"/>
        <v>102336</v>
      </c>
    </row>
    <row r="40" spans="1:13" s="38" customFormat="1" ht="15.5" x14ac:dyDescent="0.35">
      <c r="A40" s="46" t="s">
        <v>42</v>
      </c>
      <c r="B40" s="47">
        <v>12923037</v>
      </c>
      <c r="C40" s="47">
        <v>3839378</v>
      </c>
      <c r="D40" s="47">
        <v>16762415</v>
      </c>
      <c r="E40" s="47">
        <v>12641456</v>
      </c>
      <c r="F40" s="47">
        <v>8348009</v>
      </c>
      <c r="G40" s="47">
        <v>1407775</v>
      </c>
      <c r="H40" s="47">
        <v>2631842</v>
      </c>
      <c r="I40" s="47">
        <v>253830</v>
      </c>
      <c r="J40" s="47">
        <v>4120959</v>
      </c>
      <c r="K40" s="47">
        <v>16762415</v>
      </c>
      <c r="M40" s="124">
        <f t="shared" si="0"/>
        <v>281581</v>
      </c>
    </row>
    <row r="41" spans="1:13" s="38" customFormat="1" ht="15.5" x14ac:dyDescent="0.35">
      <c r="A41" s="46" t="s">
        <v>43</v>
      </c>
      <c r="B41" s="47">
        <v>13629604</v>
      </c>
      <c r="C41" s="47">
        <v>4351829</v>
      </c>
      <c r="D41" s="47">
        <v>17981433</v>
      </c>
      <c r="E41" s="47">
        <v>13241963</v>
      </c>
      <c r="F41" s="47">
        <v>8540920</v>
      </c>
      <c r="G41" s="47">
        <v>1414679</v>
      </c>
      <c r="H41" s="47">
        <v>2768849</v>
      </c>
      <c r="I41" s="47">
        <v>517515</v>
      </c>
      <c r="J41" s="47">
        <v>4739470</v>
      </c>
      <c r="K41" s="47">
        <v>17981433</v>
      </c>
      <c r="M41" s="124">
        <f t="shared" si="0"/>
        <v>387641</v>
      </c>
    </row>
    <row r="42" spans="1:13" s="38" customFormat="1" ht="15.5" x14ac:dyDescent="0.35">
      <c r="A42" s="46" t="s">
        <v>44</v>
      </c>
      <c r="B42" s="47">
        <v>14505871</v>
      </c>
      <c r="C42" s="47">
        <v>4858594</v>
      </c>
      <c r="D42" s="47">
        <v>19364465</v>
      </c>
      <c r="E42" s="47">
        <v>13704003</v>
      </c>
      <c r="F42" s="47">
        <v>8948763</v>
      </c>
      <c r="G42" s="47">
        <v>1670986</v>
      </c>
      <c r="H42" s="47">
        <v>2970329</v>
      </c>
      <c r="I42" s="47">
        <v>113925</v>
      </c>
      <c r="J42" s="47">
        <v>5660462</v>
      </c>
      <c r="K42" s="47">
        <v>19364465</v>
      </c>
      <c r="M42" s="124">
        <f t="shared" si="0"/>
        <v>801868</v>
      </c>
    </row>
    <row r="43" spans="1:13" s="38" customFormat="1" ht="15.5" x14ac:dyDescent="0.35">
      <c r="A43" s="46" t="s">
        <v>45</v>
      </c>
      <c r="B43" s="47">
        <v>15788923</v>
      </c>
      <c r="C43" s="47">
        <v>5288903</v>
      </c>
      <c r="D43" s="47">
        <v>21077826</v>
      </c>
      <c r="E43" s="47">
        <v>15492213</v>
      </c>
      <c r="F43" s="47">
        <v>9312999</v>
      </c>
      <c r="G43" s="47">
        <v>1800173</v>
      </c>
      <c r="H43" s="47">
        <v>3344536</v>
      </c>
      <c r="I43" s="47">
        <v>1034505</v>
      </c>
      <c r="J43" s="47">
        <v>5585613</v>
      </c>
      <c r="K43" s="47">
        <v>21077826</v>
      </c>
      <c r="M43" s="124">
        <f t="shared" si="0"/>
        <v>296710</v>
      </c>
    </row>
    <row r="44" spans="1:13" s="38" customFormat="1" ht="15.5" x14ac:dyDescent="0.35">
      <c r="A44" s="46" t="s">
        <v>46</v>
      </c>
      <c r="B44" s="47">
        <v>16213465</v>
      </c>
      <c r="C44" s="47">
        <v>5621373</v>
      </c>
      <c r="D44" s="47">
        <v>21834838</v>
      </c>
      <c r="E44" s="47">
        <v>16529274</v>
      </c>
      <c r="F44" s="47">
        <v>9664597</v>
      </c>
      <c r="G44" s="47">
        <v>1902052</v>
      </c>
      <c r="H44" s="47">
        <v>3703868</v>
      </c>
      <c r="I44" s="47">
        <v>1258757</v>
      </c>
      <c r="J44" s="47">
        <v>5305564</v>
      </c>
      <c r="K44" s="47">
        <v>21834838</v>
      </c>
      <c r="M44" s="124">
        <f t="shared" si="0"/>
        <v>-315809</v>
      </c>
    </row>
    <row r="45" spans="1:13" s="38" customFormat="1" ht="15.5" x14ac:dyDescent="0.35">
      <c r="A45" s="46" t="s">
        <v>47</v>
      </c>
      <c r="B45" s="47">
        <v>15254376</v>
      </c>
      <c r="C45" s="47">
        <v>5164530</v>
      </c>
      <c r="D45" s="47">
        <v>20418906</v>
      </c>
      <c r="E45" s="47">
        <v>15870181</v>
      </c>
      <c r="F45" s="47">
        <v>10064904</v>
      </c>
      <c r="G45" s="47">
        <v>1933577</v>
      </c>
      <c r="H45" s="47">
        <v>3799781</v>
      </c>
      <c r="I45" s="47">
        <v>71919</v>
      </c>
      <c r="J45" s="47">
        <v>4548725</v>
      </c>
      <c r="K45" s="47">
        <v>20418906</v>
      </c>
      <c r="M45" s="124">
        <f t="shared" si="0"/>
        <v>-615805</v>
      </c>
    </row>
    <row r="46" spans="1:13" s="38" customFormat="1" ht="15.5" x14ac:dyDescent="0.35">
      <c r="A46" s="46" t="s">
        <v>48</v>
      </c>
      <c r="B46" s="47">
        <v>15022003</v>
      </c>
      <c r="C46" s="47">
        <v>4293031</v>
      </c>
      <c r="D46" s="47">
        <v>19315034</v>
      </c>
      <c r="E46" s="47">
        <v>15585684</v>
      </c>
      <c r="F46" s="47">
        <v>9799156</v>
      </c>
      <c r="G46" s="47">
        <v>2020721</v>
      </c>
      <c r="H46" s="47">
        <v>3638386</v>
      </c>
      <c r="I46" s="47">
        <v>127421</v>
      </c>
      <c r="J46" s="47">
        <v>3729350</v>
      </c>
      <c r="K46" s="47">
        <v>19315034</v>
      </c>
      <c r="M46" s="124">
        <f t="shared" si="0"/>
        <v>-563681</v>
      </c>
    </row>
    <row r="47" spans="1:13" s="38" customFormat="1" ht="15.5" x14ac:dyDescent="0.35">
      <c r="A47" s="46" t="s">
        <v>49</v>
      </c>
      <c r="B47" s="47">
        <v>15588869</v>
      </c>
      <c r="C47" s="47">
        <v>4024805</v>
      </c>
      <c r="D47" s="47">
        <v>19613674</v>
      </c>
      <c r="E47" s="47">
        <v>15813110</v>
      </c>
      <c r="F47" s="47">
        <v>9634405</v>
      </c>
      <c r="G47" s="47">
        <v>2100079</v>
      </c>
      <c r="H47" s="47">
        <v>3538406</v>
      </c>
      <c r="I47" s="47">
        <v>540220</v>
      </c>
      <c r="J47" s="47">
        <v>3800564</v>
      </c>
      <c r="K47" s="47">
        <v>19613674</v>
      </c>
      <c r="M47" s="124">
        <f t="shared" si="0"/>
        <v>-224241</v>
      </c>
    </row>
    <row r="48" spans="1:13" s="38" customFormat="1" ht="15.5" x14ac:dyDescent="0.35">
      <c r="A48" s="46" t="s">
        <v>50</v>
      </c>
      <c r="B48" s="47">
        <v>15779977</v>
      </c>
      <c r="C48" s="47">
        <v>4134711</v>
      </c>
      <c r="D48" s="47">
        <v>19914688</v>
      </c>
      <c r="E48" s="47">
        <v>15992901</v>
      </c>
      <c r="F48" s="47">
        <v>9658411</v>
      </c>
      <c r="G48" s="47">
        <v>2189216</v>
      </c>
      <c r="H48" s="47">
        <v>3493945</v>
      </c>
      <c r="I48" s="47">
        <v>651329</v>
      </c>
      <c r="J48" s="47">
        <v>3921787</v>
      </c>
      <c r="K48" s="47">
        <v>19914688</v>
      </c>
      <c r="M48" s="124">
        <f t="shared" si="0"/>
        <v>-212924</v>
      </c>
    </row>
    <row r="49" spans="1:13" s="38" customFormat="1" ht="15.5" x14ac:dyDescent="0.35">
      <c r="A49" s="46" t="s">
        <v>51</v>
      </c>
      <c r="B49" s="47">
        <v>16128837</v>
      </c>
      <c r="C49" s="47">
        <v>4337578</v>
      </c>
      <c r="D49" s="47">
        <v>20466415</v>
      </c>
      <c r="E49" s="47">
        <v>16132453</v>
      </c>
      <c r="F49" s="47">
        <v>9821313</v>
      </c>
      <c r="G49" s="47">
        <v>2271259</v>
      </c>
      <c r="H49" s="47">
        <v>3586952</v>
      </c>
      <c r="I49" s="47">
        <v>452929</v>
      </c>
      <c r="J49" s="47">
        <v>4333962</v>
      </c>
      <c r="K49" s="47">
        <v>20466415</v>
      </c>
      <c r="M49" s="124">
        <f t="shared" si="0"/>
        <v>-3616</v>
      </c>
    </row>
    <row r="50" spans="1:13" s="38" customFormat="1" ht="15.5" x14ac:dyDescent="0.35">
      <c r="A50" s="46" t="s">
        <v>52</v>
      </c>
      <c r="B50" s="47">
        <v>16762628</v>
      </c>
      <c r="C50" s="47">
        <v>5116967</v>
      </c>
      <c r="D50" s="47">
        <v>21879595</v>
      </c>
      <c r="E50" s="47">
        <v>17393969</v>
      </c>
      <c r="F50" s="47">
        <v>10500363</v>
      </c>
      <c r="G50" s="47">
        <v>2234239</v>
      </c>
      <c r="H50" s="47">
        <v>3975994</v>
      </c>
      <c r="I50" s="47">
        <v>683373</v>
      </c>
      <c r="J50" s="47">
        <v>4485626</v>
      </c>
      <c r="K50" s="47">
        <v>21879595</v>
      </c>
      <c r="M50" s="124">
        <f t="shared" si="0"/>
        <v>-631341</v>
      </c>
    </row>
    <row r="51" spans="1:13" s="38" customFormat="1" ht="15.5" x14ac:dyDescent="0.35">
      <c r="A51" s="46" t="s">
        <v>53</v>
      </c>
      <c r="B51" s="47">
        <v>17070795</v>
      </c>
      <c r="C51" s="47">
        <v>5465911</v>
      </c>
      <c r="D51" s="47">
        <v>22536706</v>
      </c>
      <c r="E51" s="47">
        <v>17718822</v>
      </c>
      <c r="F51" s="47">
        <v>10805848</v>
      </c>
      <c r="G51" s="47">
        <v>2241678</v>
      </c>
      <c r="H51" s="47">
        <v>4168368</v>
      </c>
      <c r="I51" s="47">
        <v>502928</v>
      </c>
      <c r="J51" s="47">
        <v>4817884</v>
      </c>
      <c r="K51" s="47">
        <v>22536706</v>
      </c>
      <c r="M51" s="124">
        <f t="shared" si="0"/>
        <v>-648027</v>
      </c>
    </row>
    <row r="52" spans="1:13" s="38" customFormat="1" ht="15.5" x14ac:dyDescent="0.35">
      <c r="A52" s="46" t="s">
        <v>54</v>
      </c>
      <c r="B52" s="47">
        <v>17429358</v>
      </c>
      <c r="C52" s="47">
        <v>5914138</v>
      </c>
      <c r="D52" s="47">
        <v>23343496</v>
      </c>
      <c r="E52" s="47">
        <v>18583801</v>
      </c>
      <c r="F52" s="47">
        <v>11235105</v>
      </c>
      <c r="G52" s="47">
        <v>2301804</v>
      </c>
      <c r="H52" s="47">
        <v>4422541</v>
      </c>
      <c r="I52" s="47">
        <v>624351</v>
      </c>
      <c r="J52" s="47">
        <v>4759695</v>
      </c>
      <c r="K52" s="47">
        <v>23343496</v>
      </c>
      <c r="M52" s="124">
        <f>J52-C52</f>
        <v>-1154443</v>
      </c>
    </row>
    <row r="53" spans="1:13" s="38" customFormat="1" ht="15.5" x14ac:dyDescent="0.35">
      <c r="A53" s="46" t="s">
        <v>55</v>
      </c>
      <c r="B53" s="47">
        <v>18292586</v>
      </c>
      <c r="C53" s="47">
        <v>6044684</v>
      </c>
      <c r="D53" s="47">
        <v>24337270</v>
      </c>
      <c r="E53" s="47">
        <v>18998036</v>
      </c>
      <c r="F53" s="47">
        <v>11470789</v>
      </c>
      <c r="G53" s="47">
        <v>2403346</v>
      </c>
      <c r="H53" s="47">
        <v>4560986</v>
      </c>
      <c r="I53" s="47">
        <v>562915</v>
      </c>
      <c r="J53" s="47">
        <v>5339234</v>
      </c>
      <c r="K53" s="47">
        <v>24337270</v>
      </c>
      <c r="M53" s="124">
        <f t="shared" si="0"/>
        <v>-705450</v>
      </c>
    </row>
    <row r="54" spans="1:13" s="38" customFormat="1" ht="15.5" x14ac:dyDescent="0.35">
      <c r="A54" s="46" t="s">
        <v>56</v>
      </c>
      <c r="B54" s="47">
        <v>18922955</v>
      </c>
      <c r="C54" s="47">
        <v>6105619</v>
      </c>
      <c r="D54" s="47">
        <v>25028574</v>
      </c>
      <c r="E54" s="47">
        <v>19332633</v>
      </c>
      <c r="F54" s="47">
        <v>11694784</v>
      </c>
      <c r="G54" s="47">
        <v>2379105</v>
      </c>
      <c r="H54" s="47">
        <v>4765661</v>
      </c>
      <c r="I54" s="47">
        <v>493083</v>
      </c>
      <c r="J54" s="47">
        <v>5695941</v>
      </c>
      <c r="K54" s="47">
        <v>25028574</v>
      </c>
      <c r="M54" s="124">
        <f t="shared" si="0"/>
        <v>-409678</v>
      </c>
    </row>
    <row r="55" spans="1:13" s="38" customFormat="1" ht="15.5" x14ac:dyDescent="0.35">
      <c r="A55" s="46" t="s">
        <v>57</v>
      </c>
      <c r="B55" s="47">
        <v>19728114</v>
      </c>
      <c r="C55" s="47">
        <v>6576850</v>
      </c>
      <c r="D55" s="47">
        <v>26304964</v>
      </c>
      <c r="E55" s="47">
        <v>20202381</v>
      </c>
      <c r="F55" s="47">
        <v>12040630</v>
      </c>
      <c r="G55" s="47">
        <v>2539852</v>
      </c>
      <c r="H55" s="47">
        <v>5002022</v>
      </c>
      <c r="I55" s="47">
        <v>619877</v>
      </c>
      <c r="J55" s="47">
        <v>6102583</v>
      </c>
      <c r="K55" s="47">
        <v>26304964</v>
      </c>
      <c r="M55" s="124">
        <f t="shared" si="0"/>
        <v>-474267</v>
      </c>
    </row>
    <row r="56" spans="1:13" s="38" customFormat="1" ht="15.5" x14ac:dyDescent="0.35">
      <c r="A56" s="46" t="s">
        <v>58</v>
      </c>
      <c r="B56" s="47">
        <v>19968470</v>
      </c>
      <c r="C56" s="47">
        <v>6692488</v>
      </c>
      <c r="D56" s="47">
        <v>26660958</v>
      </c>
      <c r="E56" s="47">
        <v>20258364</v>
      </c>
      <c r="F56" s="47">
        <v>12359537</v>
      </c>
      <c r="G56" s="47">
        <v>2534436</v>
      </c>
      <c r="H56" s="47">
        <v>5222935</v>
      </c>
      <c r="I56" s="47">
        <v>141456</v>
      </c>
      <c r="J56" s="47">
        <v>6402594</v>
      </c>
      <c r="K56" s="47">
        <v>26660958</v>
      </c>
      <c r="M56" s="124">
        <f t="shared" si="0"/>
        <v>-289894</v>
      </c>
    </row>
    <row r="57" spans="1:13" s="38" customFormat="1" ht="15.5" x14ac:dyDescent="0.35">
      <c r="A57" s="46" t="s">
        <v>59</v>
      </c>
      <c r="B57" s="47">
        <v>20657125</v>
      </c>
      <c r="C57" s="47">
        <v>7078904</v>
      </c>
      <c r="D57" s="47">
        <v>27736029</v>
      </c>
      <c r="E57" s="47">
        <v>21265298</v>
      </c>
      <c r="F57" s="47">
        <v>12562204</v>
      </c>
      <c r="G57" s="47">
        <v>2637773</v>
      </c>
      <c r="H57" s="47">
        <v>5480168</v>
      </c>
      <c r="I57" s="47">
        <v>585153</v>
      </c>
      <c r="J57" s="47">
        <v>6470731</v>
      </c>
      <c r="K57" s="47">
        <v>27736029</v>
      </c>
      <c r="M57" s="124">
        <f t="shared" si="0"/>
        <v>-608173</v>
      </c>
    </row>
    <row r="58" spans="1:13" s="38" customFormat="1" ht="15.5" x14ac:dyDescent="0.35">
      <c r="A58" s="46" t="s">
        <v>60</v>
      </c>
      <c r="B58" s="47">
        <v>21622937</v>
      </c>
      <c r="C58" s="47">
        <v>6853963</v>
      </c>
      <c r="D58" s="47">
        <v>28476900</v>
      </c>
      <c r="E58" s="47">
        <v>21791681</v>
      </c>
      <c r="F58" s="47">
        <v>12896279</v>
      </c>
      <c r="G58" s="47">
        <v>2805829</v>
      </c>
      <c r="H58" s="47">
        <v>5733341</v>
      </c>
      <c r="I58" s="47">
        <v>356232</v>
      </c>
      <c r="J58" s="47">
        <v>6685219</v>
      </c>
      <c r="K58" s="47">
        <v>28476900</v>
      </c>
      <c r="M58" s="124">
        <f t="shared" si="0"/>
        <v>-168744</v>
      </c>
    </row>
    <row r="59" spans="1:13" s="38" customFormat="1" ht="15.5" x14ac:dyDescent="0.35">
      <c r="A59" s="46" t="s">
        <v>61</v>
      </c>
      <c r="B59" s="47">
        <v>21908844</v>
      </c>
      <c r="C59" s="47">
        <v>6883063</v>
      </c>
      <c r="D59" s="47">
        <v>28791907</v>
      </c>
      <c r="E59" s="47">
        <v>22192062</v>
      </c>
      <c r="F59" s="47">
        <v>13257745</v>
      </c>
      <c r="G59" s="47">
        <v>2847288</v>
      </c>
      <c r="H59" s="47">
        <v>5853906</v>
      </c>
      <c r="I59" s="47">
        <v>233123</v>
      </c>
      <c r="J59" s="47">
        <v>6599845</v>
      </c>
      <c r="K59" s="47">
        <v>28791907</v>
      </c>
      <c r="M59" s="124">
        <f t="shared" si="0"/>
        <v>-283218</v>
      </c>
    </row>
    <row r="60" spans="1:13" s="38" customFormat="1" ht="15.5" x14ac:dyDescent="0.35">
      <c r="A60" s="46" t="s">
        <v>62</v>
      </c>
      <c r="B60" s="47">
        <v>22106937</v>
      </c>
      <c r="C60" s="47">
        <v>7035012</v>
      </c>
      <c r="D60" s="47">
        <v>29141949</v>
      </c>
      <c r="E60" s="47">
        <v>22469556</v>
      </c>
      <c r="F60" s="47">
        <v>13364281</v>
      </c>
      <c r="G60" s="47">
        <v>2951086</v>
      </c>
      <c r="H60" s="47">
        <v>5997916</v>
      </c>
      <c r="I60" s="47">
        <v>156273</v>
      </c>
      <c r="J60" s="47">
        <v>6672393</v>
      </c>
      <c r="K60" s="47">
        <v>29141949</v>
      </c>
      <c r="M60" s="124">
        <f t="shared" si="0"/>
        <v>-362619</v>
      </c>
    </row>
    <row r="61" spans="1:13" s="38" customFormat="1" ht="15.5" x14ac:dyDescent="0.35">
      <c r="A61" s="46" t="s">
        <v>63</v>
      </c>
      <c r="B61" s="47">
        <v>22285826</v>
      </c>
      <c r="C61" s="47">
        <v>7000075</v>
      </c>
      <c r="D61" s="47">
        <v>29285901</v>
      </c>
      <c r="E61" s="47">
        <v>22721087</v>
      </c>
      <c r="F61" s="47">
        <v>13489967</v>
      </c>
      <c r="G61" s="47">
        <v>3122549</v>
      </c>
      <c r="H61" s="47">
        <v>6122675</v>
      </c>
      <c r="I61" s="47">
        <v>-14104</v>
      </c>
      <c r="J61" s="47">
        <v>6564814</v>
      </c>
      <c r="K61" s="47">
        <v>29285901</v>
      </c>
      <c r="M61" s="124">
        <f t="shared" si="0"/>
        <v>-435261</v>
      </c>
    </row>
    <row r="62" spans="1:13" s="38" customFormat="1" ht="15.5" x14ac:dyDescent="0.35">
      <c r="A62" s="46" t="s">
        <v>64</v>
      </c>
      <c r="B62" s="47">
        <v>23019786</v>
      </c>
      <c r="C62" s="47">
        <v>7287332</v>
      </c>
      <c r="D62" s="47">
        <v>30307118</v>
      </c>
      <c r="E62" s="47">
        <v>23717022</v>
      </c>
      <c r="F62" s="47">
        <v>13748778</v>
      </c>
      <c r="G62" s="47">
        <v>3222907</v>
      </c>
      <c r="H62" s="47">
        <v>6406446</v>
      </c>
      <c r="I62" s="47">
        <v>338891</v>
      </c>
      <c r="J62" s="47">
        <v>6590096</v>
      </c>
      <c r="K62" s="47">
        <v>30307118</v>
      </c>
      <c r="M62" s="124">
        <f t="shared" si="0"/>
        <v>-697236</v>
      </c>
    </row>
    <row r="63" spans="1:13" ht="15.5" x14ac:dyDescent="0.35">
      <c r="A63" s="46" t="s">
        <v>65</v>
      </c>
      <c r="B63" s="47">
        <v>23441324</v>
      </c>
      <c r="C63" s="47">
        <v>7370541</v>
      </c>
      <c r="D63" s="47">
        <v>30811865</v>
      </c>
      <c r="E63" s="47">
        <v>24184056</v>
      </c>
      <c r="F63" s="47">
        <v>14137037</v>
      </c>
      <c r="G63" s="47">
        <v>3311670</v>
      </c>
      <c r="H63" s="47">
        <v>6509500</v>
      </c>
      <c r="I63" s="47">
        <v>225849</v>
      </c>
      <c r="J63" s="47">
        <v>6627809</v>
      </c>
      <c r="K63" s="47">
        <v>30811865</v>
      </c>
      <c r="M63" s="124">
        <f t="shared" si="0"/>
        <v>-742732</v>
      </c>
    </row>
    <row r="64" spans="1:13" ht="15.5" x14ac:dyDescent="0.35">
      <c r="A64" s="46" t="s">
        <v>66</v>
      </c>
      <c r="B64" s="47">
        <v>24238576</v>
      </c>
      <c r="C64" s="47">
        <v>7448982</v>
      </c>
      <c r="D64" s="47">
        <v>31687558</v>
      </c>
      <c r="E64" s="47">
        <v>24759564</v>
      </c>
      <c r="F64" s="47">
        <v>14384933</v>
      </c>
      <c r="G64" s="47">
        <v>3375221</v>
      </c>
      <c r="H64" s="47">
        <v>6637009</v>
      </c>
      <c r="I64" s="47">
        <v>362401</v>
      </c>
      <c r="J64" s="47">
        <v>6927994</v>
      </c>
      <c r="K64" s="47">
        <v>31687558</v>
      </c>
      <c r="M64" s="124">
        <f t="shared" si="0"/>
        <v>-520988</v>
      </c>
    </row>
    <row r="65" spans="1:13" ht="15.5" x14ac:dyDescent="0.35">
      <c r="A65" s="46" t="s">
        <v>67</v>
      </c>
      <c r="B65" s="47">
        <v>24429973</v>
      </c>
      <c r="C65" s="47">
        <v>7352772</v>
      </c>
      <c r="D65" s="47">
        <v>31782745</v>
      </c>
      <c r="E65" s="47">
        <v>24685138</v>
      </c>
      <c r="F65" s="47">
        <v>14671139</v>
      </c>
      <c r="G65" s="47">
        <v>3413480</v>
      </c>
      <c r="H65" s="47">
        <v>6658705</v>
      </c>
      <c r="I65" s="47">
        <v>-58186</v>
      </c>
      <c r="J65" s="47">
        <v>7097607</v>
      </c>
      <c r="K65" s="47">
        <v>31782745</v>
      </c>
      <c r="M65" s="124">
        <f t="shared" si="0"/>
        <v>-255165</v>
      </c>
    </row>
    <row r="66" spans="1:13" s="38" customFormat="1" ht="15.5" x14ac:dyDescent="0.35">
      <c r="A66" s="48" t="s">
        <v>68</v>
      </c>
      <c r="B66" s="49">
        <v>24829431</v>
      </c>
      <c r="C66" s="49">
        <v>7213516</v>
      </c>
      <c r="D66" s="49">
        <v>32042947</v>
      </c>
      <c r="E66" s="49">
        <v>24566143</v>
      </c>
      <c r="F66" s="49">
        <v>14517583</v>
      </c>
      <c r="G66" s="49">
        <v>3405399</v>
      </c>
      <c r="H66" s="49">
        <v>6612209</v>
      </c>
      <c r="I66" s="49">
        <v>30952</v>
      </c>
      <c r="J66" s="49">
        <v>7476804</v>
      </c>
      <c r="K66" s="49">
        <v>32042947</v>
      </c>
      <c r="M66" s="124">
        <f t="shared" si="0"/>
        <v>263288</v>
      </c>
    </row>
    <row r="67" spans="1:13" s="38" customFormat="1" ht="15.5" x14ac:dyDescent="0.35">
      <c r="A67" s="48" t="s">
        <v>69</v>
      </c>
      <c r="B67" s="49">
        <v>25540887</v>
      </c>
      <c r="C67" s="49">
        <v>7600587</v>
      </c>
      <c r="D67" s="49">
        <v>33141474</v>
      </c>
      <c r="E67" s="49">
        <v>25817961</v>
      </c>
      <c r="F67" s="49">
        <v>14911182</v>
      </c>
      <c r="G67" s="49">
        <v>3619811</v>
      </c>
      <c r="H67" s="49">
        <v>6815031</v>
      </c>
      <c r="I67" s="49">
        <v>471937</v>
      </c>
      <c r="J67" s="49">
        <v>7323513</v>
      </c>
      <c r="K67" s="49">
        <v>33141474</v>
      </c>
      <c r="M67" s="124">
        <f t="shared" si="0"/>
        <v>-277074</v>
      </c>
    </row>
    <row r="68" spans="1:13" s="38" customFormat="1" ht="15.5" x14ac:dyDescent="0.35">
      <c r="A68" s="48" t="s">
        <v>70</v>
      </c>
      <c r="B68" s="49">
        <v>25940400</v>
      </c>
      <c r="C68" s="49">
        <v>7757947</v>
      </c>
      <c r="D68" s="49">
        <v>33698347</v>
      </c>
      <c r="E68" s="49">
        <v>26652356</v>
      </c>
      <c r="F68" s="49">
        <v>15235324</v>
      </c>
      <c r="G68" s="49">
        <v>3692677</v>
      </c>
      <c r="H68" s="49">
        <v>7107289</v>
      </c>
      <c r="I68" s="49">
        <v>617066</v>
      </c>
      <c r="J68" s="49">
        <v>7045991</v>
      </c>
      <c r="K68" s="49">
        <v>33698347</v>
      </c>
      <c r="M68" s="124">
        <f t="shared" si="0"/>
        <v>-711956</v>
      </c>
    </row>
    <row r="69" spans="1:13" s="38" customFormat="1" ht="15.5" x14ac:dyDescent="0.35">
      <c r="A69" s="46" t="s">
        <v>71</v>
      </c>
      <c r="B69" s="49">
        <v>25415613</v>
      </c>
      <c r="C69" s="49">
        <v>7596231</v>
      </c>
      <c r="D69" s="49">
        <v>33011844</v>
      </c>
      <c r="E69" s="49">
        <v>26322030</v>
      </c>
      <c r="F69" s="49">
        <v>15348207</v>
      </c>
      <c r="G69" s="49">
        <v>3825068</v>
      </c>
      <c r="H69" s="49">
        <v>7149702</v>
      </c>
      <c r="I69" s="49">
        <v>-947</v>
      </c>
      <c r="J69" s="49">
        <v>6689814</v>
      </c>
      <c r="K69" s="49">
        <v>33011844</v>
      </c>
      <c r="M69" s="124">
        <f t="shared" si="0"/>
        <v>-906417</v>
      </c>
    </row>
    <row r="70" spans="1:13" s="38" customFormat="1" ht="15.5" x14ac:dyDescent="0.35">
      <c r="A70" s="48" t="s">
        <v>72</v>
      </c>
      <c r="B70" s="49">
        <v>25052739</v>
      </c>
      <c r="C70" s="49">
        <v>6741430</v>
      </c>
      <c r="D70" s="49">
        <v>31794169</v>
      </c>
      <c r="E70" s="49">
        <v>25959715</v>
      </c>
      <c r="F70" s="49">
        <v>15462530</v>
      </c>
      <c r="G70" s="49">
        <v>3615215</v>
      </c>
      <c r="H70" s="49">
        <v>6782799</v>
      </c>
      <c r="I70" s="49">
        <v>99171</v>
      </c>
      <c r="J70" s="49">
        <v>5834454</v>
      </c>
      <c r="K70" s="49">
        <v>31794169</v>
      </c>
      <c r="M70" s="124">
        <f t="shared" si="0"/>
        <v>-906976</v>
      </c>
    </row>
    <row r="71" spans="1:13" ht="15.5" x14ac:dyDescent="0.35">
      <c r="A71" s="48" t="s">
        <v>73</v>
      </c>
      <c r="B71" s="49">
        <v>25086195</v>
      </c>
      <c r="C71" s="49">
        <v>6236883</v>
      </c>
      <c r="D71" s="49">
        <v>31323078</v>
      </c>
      <c r="E71" s="49">
        <v>25949666</v>
      </c>
      <c r="F71" s="49">
        <v>15298830</v>
      </c>
      <c r="G71" s="49">
        <v>3611008</v>
      </c>
      <c r="H71" s="49">
        <v>6611841</v>
      </c>
      <c r="I71" s="49">
        <v>427987</v>
      </c>
      <c r="J71" s="49">
        <v>5373412</v>
      </c>
      <c r="K71" s="49">
        <v>31323078</v>
      </c>
      <c r="M71" s="124">
        <f t="shared" si="0"/>
        <v>-863471</v>
      </c>
    </row>
    <row r="72" spans="1:13" ht="15.5" x14ac:dyDescent="0.35">
      <c r="A72" s="48" t="s">
        <v>74</v>
      </c>
      <c r="B72" s="49">
        <v>24779738</v>
      </c>
      <c r="C72" s="49">
        <v>5590112</v>
      </c>
      <c r="D72" s="49">
        <v>30369850</v>
      </c>
      <c r="E72" s="49">
        <v>25283275</v>
      </c>
      <c r="F72" s="49">
        <v>15254879</v>
      </c>
      <c r="G72" s="49">
        <v>3603087</v>
      </c>
      <c r="H72" s="49">
        <v>6482288</v>
      </c>
      <c r="I72" s="49">
        <v>-56979</v>
      </c>
      <c r="J72" s="49">
        <v>5086575</v>
      </c>
      <c r="K72" s="49">
        <v>30369850</v>
      </c>
      <c r="M72" s="124">
        <f t="shared" si="0"/>
        <v>-503537</v>
      </c>
    </row>
    <row r="73" spans="1:13" ht="15.5" x14ac:dyDescent="0.35">
      <c r="A73" s="46" t="s">
        <v>75</v>
      </c>
      <c r="B73" s="49">
        <v>24371709</v>
      </c>
      <c r="C73" s="49">
        <v>5247024</v>
      </c>
      <c r="D73" s="49">
        <v>29618733</v>
      </c>
      <c r="E73" s="49">
        <v>24805805</v>
      </c>
      <c r="F73" s="49">
        <v>14975671</v>
      </c>
      <c r="G73" s="49">
        <v>3497818</v>
      </c>
      <c r="H73" s="49">
        <v>6513528</v>
      </c>
      <c r="I73" s="49">
        <v>-181212</v>
      </c>
      <c r="J73" s="49">
        <v>4812928</v>
      </c>
      <c r="K73" s="49">
        <v>29618733</v>
      </c>
      <c r="M73" s="124">
        <f>J73-C73</f>
        <v>-434096</v>
      </c>
    </row>
    <row r="74" spans="1:13" ht="15.5" x14ac:dyDescent="0.35">
      <c r="A74" s="48" t="s">
        <v>76</v>
      </c>
      <c r="B74" s="49">
        <v>24913573</v>
      </c>
      <c r="C74" s="49">
        <v>4698403</v>
      </c>
      <c r="D74" s="49">
        <v>29611976</v>
      </c>
      <c r="E74" s="49">
        <v>25003659</v>
      </c>
      <c r="F74" s="49">
        <v>15272408</v>
      </c>
      <c r="G74" s="49">
        <v>3632411</v>
      </c>
      <c r="H74" s="49">
        <v>6363450</v>
      </c>
      <c r="I74" s="49">
        <v>-264610</v>
      </c>
      <c r="J74" s="49">
        <v>4608317</v>
      </c>
      <c r="K74" s="49">
        <v>29611976</v>
      </c>
      <c r="M74" s="124">
        <f t="shared" si="0"/>
        <v>-90086</v>
      </c>
    </row>
    <row r="75" spans="1:13" ht="15.5" x14ac:dyDescent="0.35">
      <c r="A75" s="48" t="s">
        <v>77</v>
      </c>
      <c r="B75" s="49">
        <v>24926186</v>
      </c>
      <c r="C75" s="49">
        <v>4585837</v>
      </c>
      <c r="D75" s="49">
        <v>29512023</v>
      </c>
      <c r="E75" s="49">
        <v>24721688</v>
      </c>
      <c r="F75" s="49">
        <v>14963699</v>
      </c>
      <c r="G75" s="49">
        <v>3668803</v>
      </c>
      <c r="H75" s="49">
        <v>6222531</v>
      </c>
      <c r="I75" s="49">
        <v>-133345</v>
      </c>
      <c r="J75" s="49">
        <v>4790335</v>
      </c>
      <c r="K75" s="49">
        <v>29512023</v>
      </c>
      <c r="M75" s="124">
        <f t="shared" ref="M75:M89" si="1">J75-C75</f>
        <v>204498</v>
      </c>
    </row>
    <row r="76" spans="1:13" ht="15.5" x14ac:dyDescent="0.35">
      <c r="A76" s="48" t="s">
        <v>78</v>
      </c>
      <c r="B76" s="49">
        <v>24910741</v>
      </c>
      <c r="C76" s="49">
        <v>4766834</v>
      </c>
      <c r="D76" s="49">
        <v>29677575</v>
      </c>
      <c r="E76" s="49">
        <v>24777006</v>
      </c>
      <c r="F76" s="49">
        <v>14867587</v>
      </c>
      <c r="G76" s="49">
        <v>3634828</v>
      </c>
      <c r="H76" s="49">
        <v>6262810</v>
      </c>
      <c r="I76" s="49">
        <v>11781</v>
      </c>
      <c r="J76" s="49">
        <v>4900569</v>
      </c>
      <c r="K76" s="49">
        <v>29677575</v>
      </c>
      <c r="M76" s="124">
        <f t="shared" si="1"/>
        <v>133735</v>
      </c>
    </row>
    <row r="77" spans="1:13" ht="15.5" x14ac:dyDescent="0.35">
      <c r="A77" s="46" t="s">
        <v>79</v>
      </c>
      <c r="B77" s="49">
        <v>25187196</v>
      </c>
      <c r="C77" s="49">
        <v>4953627</v>
      </c>
      <c r="D77" s="49">
        <v>30140823</v>
      </c>
      <c r="E77" s="49">
        <v>24947405</v>
      </c>
      <c r="F77" s="49">
        <v>14785998</v>
      </c>
      <c r="G77" s="49">
        <v>3660552</v>
      </c>
      <c r="H77" s="49">
        <v>6231997</v>
      </c>
      <c r="I77" s="49">
        <v>268858</v>
      </c>
      <c r="J77" s="49">
        <v>5193418</v>
      </c>
      <c r="K77" s="49">
        <v>30140823</v>
      </c>
      <c r="M77" s="124">
        <f t="shared" si="1"/>
        <v>239791</v>
      </c>
    </row>
    <row r="78" spans="1:13" ht="15.5" x14ac:dyDescent="0.35">
      <c r="A78" s="48" t="s">
        <v>80</v>
      </c>
      <c r="B78" s="49">
        <v>26000261</v>
      </c>
      <c r="C78" s="49">
        <v>5313744</v>
      </c>
      <c r="D78" s="49">
        <v>31314005</v>
      </c>
      <c r="E78" s="49">
        <v>25941445</v>
      </c>
      <c r="F78" s="49">
        <v>15633202</v>
      </c>
      <c r="G78" s="49">
        <v>3738191</v>
      </c>
      <c r="H78" s="49">
        <v>6549822</v>
      </c>
      <c r="I78" s="49">
        <v>20230</v>
      </c>
      <c r="J78" s="49">
        <v>5372560</v>
      </c>
      <c r="K78" s="49">
        <v>31314005</v>
      </c>
      <c r="M78" s="124">
        <f t="shared" si="1"/>
        <v>58816</v>
      </c>
    </row>
    <row r="79" spans="1:13" ht="15.5" x14ac:dyDescent="0.35">
      <c r="A79" s="48" t="s">
        <v>81</v>
      </c>
      <c r="B79" s="49">
        <v>25993550</v>
      </c>
      <c r="C79" s="49">
        <v>5481790</v>
      </c>
      <c r="D79" s="49">
        <v>31475340</v>
      </c>
      <c r="E79" s="49">
        <v>26224741</v>
      </c>
      <c r="F79" s="49">
        <v>15645616</v>
      </c>
      <c r="G79" s="49">
        <v>3773698</v>
      </c>
      <c r="H79" s="49">
        <v>6592246</v>
      </c>
      <c r="I79" s="49">
        <v>213181</v>
      </c>
      <c r="J79" s="49">
        <v>5250599</v>
      </c>
      <c r="K79" s="49">
        <v>31475340</v>
      </c>
      <c r="M79" s="124">
        <f t="shared" si="1"/>
        <v>-231191</v>
      </c>
    </row>
    <row r="80" spans="1:13" ht="15.5" x14ac:dyDescent="0.35">
      <c r="A80" s="48" t="s">
        <v>82</v>
      </c>
      <c r="B80" s="49">
        <v>25960907</v>
      </c>
      <c r="C80" s="49">
        <v>5736237</v>
      </c>
      <c r="D80" s="49">
        <v>31697144</v>
      </c>
      <c r="E80" s="49">
        <v>26262464</v>
      </c>
      <c r="F80" s="49">
        <v>15603095</v>
      </c>
      <c r="G80" s="49">
        <v>3827485</v>
      </c>
      <c r="H80" s="49">
        <v>6635603</v>
      </c>
      <c r="I80" s="49">
        <v>196281</v>
      </c>
      <c r="J80" s="49">
        <v>5434680</v>
      </c>
      <c r="K80" s="49">
        <v>31697144</v>
      </c>
      <c r="M80" s="124">
        <f t="shared" si="1"/>
        <v>-301557</v>
      </c>
    </row>
    <row r="81" spans="1:13" ht="15.5" x14ac:dyDescent="0.35">
      <c r="A81" s="46" t="s">
        <v>83</v>
      </c>
      <c r="B81" s="49">
        <v>26341144</v>
      </c>
      <c r="C81" s="49">
        <v>5984562</v>
      </c>
      <c r="D81" s="49">
        <v>32325706</v>
      </c>
      <c r="E81" s="49">
        <v>26655778</v>
      </c>
      <c r="F81" s="49">
        <v>15596074</v>
      </c>
      <c r="G81" s="49">
        <v>3857844</v>
      </c>
      <c r="H81" s="49">
        <v>6718585</v>
      </c>
      <c r="I81" s="49">
        <v>483275</v>
      </c>
      <c r="J81" s="49">
        <v>5669928</v>
      </c>
      <c r="K81" s="49">
        <v>32325706</v>
      </c>
      <c r="M81" s="124">
        <f t="shared" si="1"/>
        <v>-314634</v>
      </c>
    </row>
    <row r="82" spans="1:13" ht="15.5" x14ac:dyDescent="0.35">
      <c r="A82" s="48" t="s">
        <v>84</v>
      </c>
      <c r="B82" s="49">
        <v>26510612</v>
      </c>
      <c r="C82" s="49">
        <v>6166397</v>
      </c>
      <c r="D82" s="49">
        <v>32677009</v>
      </c>
      <c r="E82" s="49">
        <v>26438576</v>
      </c>
      <c r="F82" s="49">
        <v>15690603</v>
      </c>
      <c r="G82" s="49">
        <v>3856675</v>
      </c>
      <c r="H82" s="49">
        <v>6900492</v>
      </c>
      <c r="I82" s="49">
        <v>-9194</v>
      </c>
      <c r="J82" s="49">
        <v>6238433</v>
      </c>
      <c r="K82" s="49">
        <v>32677009</v>
      </c>
      <c r="M82" s="124">
        <f t="shared" si="1"/>
        <v>72036</v>
      </c>
    </row>
    <row r="83" spans="1:13" ht="15.5" x14ac:dyDescent="0.35">
      <c r="A83" s="48" t="s">
        <v>85</v>
      </c>
      <c r="B83" s="49">
        <v>26761827</v>
      </c>
      <c r="C83" s="49">
        <v>6318441</v>
      </c>
      <c r="D83" s="49">
        <v>33080268</v>
      </c>
      <c r="E83" s="49">
        <v>26994028</v>
      </c>
      <c r="F83" s="49">
        <v>15950509</v>
      </c>
      <c r="G83" s="49">
        <v>3960438</v>
      </c>
      <c r="H83" s="49">
        <v>6940983</v>
      </c>
      <c r="I83" s="49">
        <v>142098</v>
      </c>
      <c r="J83" s="49">
        <v>6086240</v>
      </c>
      <c r="K83" s="49">
        <v>33080268</v>
      </c>
      <c r="M83" s="124">
        <f t="shared" si="1"/>
        <v>-232201</v>
      </c>
    </row>
    <row r="84" spans="1:13" ht="15.5" x14ac:dyDescent="0.35">
      <c r="A84" s="48" t="s">
        <v>86</v>
      </c>
      <c r="B84" s="49">
        <v>27078404</v>
      </c>
      <c r="C84" s="49">
        <v>6448573</v>
      </c>
      <c r="D84" s="49">
        <v>33526977</v>
      </c>
      <c r="E84" s="49">
        <v>27538492</v>
      </c>
      <c r="F84" s="49">
        <v>16185856</v>
      </c>
      <c r="G84" s="49">
        <v>3967589</v>
      </c>
      <c r="H84" s="49">
        <v>6900122</v>
      </c>
      <c r="I84" s="49">
        <v>484925</v>
      </c>
      <c r="J84" s="49">
        <v>5988485</v>
      </c>
      <c r="K84" s="49">
        <v>33526977</v>
      </c>
      <c r="M84" s="124">
        <f t="shared" si="1"/>
        <v>-460088</v>
      </c>
    </row>
    <row r="85" spans="1:13" ht="15.5" x14ac:dyDescent="0.35">
      <c r="A85" s="48" t="s">
        <v>87</v>
      </c>
      <c r="B85" s="49">
        <v>27211165</v>
      </c>
      <c r="C85" s="49">
        <v>6620576</v>
      </c>
      <c r="D85" s="49">
        <v>33831741</v>
      </c>
      <c r="E85" s="49">
        <v>27830847</v>
      </c>
      <c r="F85" s="49">
        <v>16375332</v>
      </c>
      <c r="G85" s="49">
        <v>4044508</v>
      </c>
      <c r="H85" s="49">
        <v>6776087</v>
      </c>
      <c r="I85" s="49">
        <v>634920</v>
      </c>
      <c r="J85" s="49">
        <v>6000894</v>
      </c>
      <c r="K85" s="49">
        <v>33831741</v>
      </c>
      <c r="M85" s="124">
        <f t="shared" si="1"/>
        <v>-619682</v>
      </c>
    </row>
    <row r="86" spans="1:13" ht="15.5" x14ac:dyDescent="0.35">
      <c r="A86" s="48" t="s">
        <v>88</v>
      </c>
      <c r="B86" s="49">
        <v>26757824</v>
      </c>
      <c r="C86" s="49">
        <v>6311619</v>
      </c>
      <c r="D86" s="49">
        <v>33069443</v>
      </c>
      <c r="E86" s="49">
        <v>26912348</v>
      </c>
      <c r="F86" s="49">
        <v>16076224</v>
      </c>
      <c r="G86" s="49">
        <v>3899728</v>
      </c>
      <c r="H86" s="49">
        <v>6645357</v>
      </c>
      <c r="I86" s="49">
        <v>291039</v>
      </c>
      <c r="J86" s="49">
        <v>6157095</v>
      </c>
      <c r="K86" s="49">
        <v>33069443</v>
      </c>
      <c r="M86" s="124">
        <f t="shared" si="1"/>
        <v>-154524</v>
      </c>
    </row>
    <row r="87" spans="1:13" ht="15.5" x14ac:dyDescent="0.35">
      <c r="A87" s="48" t="s">
        <v>89</v>
      </c>
      <c r="B87" s="49">
        <v>26937626</v>
      </c>
      <c r="C87" s="49">
        <v>6461676</v>
      </c>
      <c r="D87" s="49">
        <v>33399302</v>
      </c>
      <c r="E87" s="49">
        <v>27091715</v>
      </c>
      <c r="F87" s="49">
        <v>16333602</v>
      </c>
      <c r="G87" s="49">
        <v>3898304</v>
      </c>
      <c r="H87" s="49">
        <v>6796735</v>
      </c>
      <c r="I87" s="49">
        <v>63074</v>
      </c>
      <c r="J87" s="49">
        <v>6307587</v>
      </c>
      <c r="K87" s="49">
        <v>33399302</v>
      </c>
      <c r="M87" s="124">
        <f t="shared" si="1"/>
        <v>-154089</v>
      </c>
    </row>
    <row r="88" spans="1:13" ht="15.5" x14ac:dyDescent="0.35">
      <c r="A88" s="48" t="s">
        <v>90</v>
      </c>
      <c r="B88" s="49">
        <v>26922520</v>
      </c>
      <c r="C88" s="49">
        <v>6273781</v>
      </c>
      <c r="D88" s="49">
        <v>33196301</v>
      </c>
      <c r="E88" s="49">
        <v>26885531</v>
      </c>
      <c r="F88" s="49">
        <v>16336510</v>
      </c>
      <c r="G88" s="49">
        <v>3891915</v>
      </c>
      <c r="H88" s="49">
        <v>6734396</v>
      </c>
      <c r="I88" s="49">
        <v>-77290</v>
      </c>
      <c r="J88" s="49">
        <v>6310770</v>
      </c>
      <c r="K88" s="49">
        <v>33196301</v>
      </c>
      <c r="M88" s="124">
        <f t="shared" si="1"/>
        <v>36989</v>
      </c>
    </row>
    <row r="89" spans="1:13" ht="15.5" x14ac:dyDescent="0.35">
      <c r="A89" s="48" t="s">
        <v>91</v>
      </c>
      <c r="B89" s="49">
        <v>26817695</v>
      </c>
      <c r="C89" s="49">
        <v>6039016</v>
      </c>
      <c r="D89" s="49">
        <v>32856711</v>
      </c>
      <c r="E89" s="49">
        <v>26502918</v>
      </c>
      <c r="F89" s="49">
        <v>16252564</v>
      </c>
      <c r="G89" s="49">
        <v>3893234</v>
      </c>
      <c r="H89" s="49">
        <v>6644595</v>
      </c>
      <c r="I89" s="49">
        <v>-287475</v>
      </c>
      <c r="J89" s="49">
        <v>6353793</v>
      </c>
      <c r="K89" s="49">
        <v>32856711</v>
      </c>
      <c r="M89" s="124">
        <f t="shared" si="1"/>
        <v>314777</v>
      </c>
    </row>
    <row r="90" spans="1:13" ht="15.5" x14ac:dyDescent="0.35">
      <c r="A90" s="50" t="s">
        <v>92</v>
      </c>
      <c r="B90" s="99">
        <v>25878598</v>
      </c>
      <c r="C90" s="99">
        <v>5721667</v>
      </c>
      <c r="D90" s="99">
        <v>31600265</v>
      </c>
      <c r="E90" s="99">
        <v>25431100</v>
      </c>
      <c r="F90" s="99">
        <v>15861715</v>
      </c>
      <c r="G90" s="99">
        <v>3655204</v>
      </c>
      <c r="H90" s="99">
        <v>6223560</v>
      </c>
      <c r="I90" s="99">
        <v>-309379</v>
      </c>
      <c r="J90" s="99">
        <v>6169165</v>
      </c>
      <c r="K90" s="99">
        <v>31600265</v>
      </c>
    </row>
    <row r="92" spans="1:13" ht="15.5" x14ac:dyDescent="0.35">
      <c r="A92" s="51" t="s">
        <v>107</v>
      </c>
    </row>
    <row r="93" spans="1:13" ht="15.5" x14ac:dyDescent="0.35">
      <c r="A93" s="51" t="s">
        <v>95</v>
      </c>
    </row>
    <row r="114" spans="2:11" x14ac:dyDescent="0.3">
      <c r="B114" s="52"/>
      <c r="C114" s="52"/>
      <c r="D114" s="52"/>
      <c r="E114" s="52"/>
      <c r="F114" s="52"/>
      <c r="G114" s="52"/>
      <c r="H114" s="52"/>
      <c r="I114" s="52"/>
      <c r="J114" s="52"/>
      <c r="K114" s="52"/>
    </row>
    <row r="115" spans="2:11" x14ac:dyDescent="0.3">
      <c r="B115" s="52"/>
      <c r="C115" s="52"/>
      <c r="D115" s="52"/>
      <c r="E115" s="52"/>
      <c r="F115" s="52"/>
      <c r="G115" s="52"/>
      <c r="H115" s="52"/>
      <c r="I115" s="52"/>
      <c r="J115" s="52"/>
      <c r="K115" s="52"/>
    </row>
    <row r="116" spans="2:11" x14ac:dyDescent="0.3">
      <c r="B116" s="52"/>
      <c r="C116" s="52"/>
      <c r="D116" s="52"/>
      <c r="E116" s="52"/>
      <c r="F116" s="52"/>
      <c r="G116" s="52"/>
      <c r="H116" s="52"/>
      <c r="I116" s="52"/>
      <c r="J116" s="52"/>
      <c r="K116" s="52"/>
    </row>
    <row r="117" spans="2:11" x14ac:dyDescent="0.3">
      <c r="B117" s="52"/>
      <c r="C117" s="52"/>
      <c r="D117" s="52"/>
      <c r="E117" s="52"/>
      <c r="F117" s="52"/>
      <c r="G117" s="52"/>
      <c r="H117" s="52"/>
      <c r="I117" s="52"/>
      <c r="J117" s="52"/>
      <c r="K117" s="52"/>
    </row>
    <row r="118" spans="2:11" x14ac:dyDescent="0.3">
      <c r="B118" s="52"/>
      <c r="C118" s="52"/>
      <c r="D118" s="52"/>
      <c r="E118" s="52"/>
      <c r="F118" s="52"/>
      <c r="G118" s="52"/>
      <c r="H118" s="52"/>
      <c r="I118" s="52"/>
      <c r="J118" s="52"/>
      <c r="K118" s="52"/>
    </row>
    <row r="120" spans="2:11" x14ac:dyDescent="0.3">
      <c r="B120" s="52"/>
      <c r="C120" s="52"/>
      <c r="D120" s="52"/>
      <c r="E120" s="52"/>
      <c r="F120" s="52"/>
      <c r="G120" s="52"/>
      <c r="H120" s="52"/>
      <c r="I120" s="52"/>
      <c r="J120" s="52"/>
      <c r="K120" s="52"/>
    </row>
    <row r="121" spans="2:11" x14ac:dyDescent="0.3">
      <c r="B121" s="52"/>
      <c r="C121" s="52"/>
      <c r="D121" s="52"/>
      <c r="E121" s="52"/>
      <c r="F121" s="52"/>
      <c r="G121" s="52"/>
      <c r="H121" s="52"/>
      <c r="I121" s="52"/>
      <c r="J121" s="52"/>
      <c r="K121" s="52"/>
    </row>
    <row r="122" spans="2:11" x14ac:dyDescent="0.3">
      <c r="B122" s="52"/>
      <c r="C122" s="52"/>
      <c r="D122" s="52"/>
      <c r="E122" s="52"/>
      <c r="F122" s="52"/>
      <c r="G122" s="52"/>
      <c r="H122" s="52"/>
      <c r="I122" s="52"/>
      <c r="J122" s="52"/>
      <c r="K122" s="52"/>
    </row>
    <row r="123" spans="2:11" x14ac:dyDescent="0.3">
      <c r="B123" s="52"/>
      <c r="C123" s="52"/>
      <c r="D123" s="52"/>
      <c r="E123" s="52"/>
      <c r="F123" s="52"/>
      <c r="G123" s="52"/>
      <c r="H123" s="52"/>
      <c r="I123" s="52"/>
      <c r="J123" s="52"/>
      <c r="K123" s="52"/>
    </row>
    <row r="124" spans="2:11" x14ac:dyDescent="0.3">
      <c r="B124" s="52"/>
      <c r="C124" s="52"/>
      <c r="D124" s="52"/>
      <c r="E124" s="52"/>
      <c r="F124" s="52"/>
      <c r="G124" s="52"/>
      <c r="H124" s="52"/>
      <c r="I124" s="52"/>
      <c r="J124" s="52"/>
      <c r="K124" s="52"/>
    </row>
    <row r="126" spans="2:11" x14ac:dyDescent="0.3">
      <c r="B126" s="52"/>
      <c r="C126" s="52"/>
      <c r="D126" s="52"/>
      <c r="E126" s="52"/>
      <c r="F126" s="52"/>
      <c r="G126" s="52"/>
      <c r="H126" s="52"/>
      <c r="I126" s="52"/>
      <c r="J126" s="52"/>
      <c r="K126" s="52"/>
    </row>
    <row r="127" spans="2:11" x14ac:dyDescent="0.3">
      <c r="B127" s="52"/>
      <c r="C127" s="52"/>
      <c r="D127" s="52"/>
      <c r="E127" s="52"/>
      <c r="F127" s="52"/>
      <c r="G127" s="52"/>
      <c r="H127" s="52"/>
      <c r="I127" s="52"/>
      <c r="J127" s="52"/>
      <c r="K127" s="52"/>
    </row>
    <row r="128" spans="2:11" x14ac:dyDescent="0.3">
      <c r="B128" s="52"/>
      <c r="C128" s="52"/>
      <c r="D128" s="52"/>
      <c r="E128" s="52"/>
      <c r="F128" s="52"/>
      <c r="G128" s="52"/>
      <c r="H128" s="52"/>
      <c r="I128" s="52"/>
      <c r="J128" s="52"/>
      <c r="K128" s="52"/>
    </row>
    <row r="129" spans="2:11" x14ac:dyDescent="0.3">
      <c r="B129" s="52"/>
      <c r="C129" s="52"/>
      <c r="D129" s="52"/>
      <c r="E129" s="52"/>
      <c r="F129" s="52"/>
      <c r="G129" s="52"/>
      <c r="H129" s="52"/>
      <c r="I129" s="52"/>
      <c r="J129" s="52"/>
      <c r="K129" s="52"/>
    </row>
    <row r="130" spans="2:11" x14ac:dyDescent="0.3">
      <c r="B130" s="52"/>
      <c r="C130" s="52"/>
      <c r="D130" s="52"/>
      <c r="E130" s="52"/>
      <c r="F130" s="52"/>
      <c r="G130" s="52"/>
      <c r="H130" s="52"/>
      <c r="I130" s="52"/>
      <c r="J130" s="52"/>
      <c r="K130" s="52"/>
    </row>
  </sheetData>
  <hyperlinks>
    <hyperlink ref="A1" location="Índice!A1" display="Menú Principal" xr:uid="{00000000-0004-0000-0200-000000000000}"/>
  </hyperlinks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93"/>
  <sheetViews>
    <sheetView workbookViewId="0">
      <selection activeCell="C9" sqref="C9"/>
    </sheetView>
  </sheetViews>
  <sheetFormatPr defaultColWidth="20.54296875" defaultRowHeight="13" x14ac:dyDescent="0.3"/>
  <cols>
    <col min="1" max="1" width="15.54296875" style="2" customWidth="1"/>
    <col min="2" max="2" width="17.08984375" style="2" customWidth="1"/>
    <col min="3" max="3" width="16.90625" style="2" customWidth="1"/>
    <col min="4" max="4" width="17.54296875" style="2" customWidth="1"/>
    <col min="5" max="5" width="19.453125" style="2" customWidth="1"/>
    <col min="6" max="6" width="18.54296875" style="2" customWidth="1"/>
    <col min="7" max="7" width="16.90625" style="2" customWidth="1"/>
    <col min="8" max="8" width="17" style="2" customWidth="1"/>
    <col min="9" max="10" width="18.54296875" style="2" customWidth="1"/>
    <col min="11" max="11" width="19" style="2" customWidth="1"/>
    <col min="12" max="13" width="19.453125" style="2" customWidth="1"/>
    <col min="14" max="16384" width="20.54296875" style="2"/>
  </cols>
  <sheetData>
    <row r="1" spans="1:13" x14ac:dyDescent="0.3">
      <c r="A1" s="1" t="s">
        <v>0</v>
      </c>
    </row>
    <row r="2" spans="1:13" x14ac:dyDescent="0.3">
      <c r="A2" s="1"/>
    </row>
    <row r="3" spans="1:13" s="5" customFormat="1" ht="21" x14ac:dyDescent="0.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3"/>
      <c r="M3" s="3"/>
    </row>
    <row r="4" spans="1:13" s="8" customFormat="1" ht="14.5" x14ac:dyDescent="0.3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5" x14ac:dyDescent="0.3">
      <c r="A5" s="9"/>
      <c r="B5" s="218" t="s">
        <v>2</v>
      </c>
      <c r="C5" s="219"/>
      <c r="D5" s="219"/>
      <c r="E5" s="220"/>
      <c r="F5" s="221" t="s">
        <v>3</v>
      </c>
      <c r="G5" s="222"/>
      <c r="H5" s="222"/>
      <c r="I5" s="223"/>
      <c r="J5" s="221" t="s">
        <v>4</v>
      </c>
      <c r="K5" s="222"/>
      <c r="L5" s="222"/>
      <c r="M5" s="223"/>
    </row>
    <row r="6" spans="1:13" ht="46.5" x14ac:dyDescent="0.3">
      <c r="A6" s="10" t="s">
        <v>5</v>
      </c>
      <c r="B6" s="11" t="s">
        <v>6</v>
      </c>
      <c r="C6" s="11" t="s">
        <v>7</v>
      </c>
      <c r="D6" s="11" t="s">
        <v>8</v>
      </c>
      <c r="E6" s="12" t="s">
        <v>9</v>
      </c>
      <c r="F6" s="11" t="s">
        <v>6</v>
      </c>
      <c r="G6" s="11" t="s">
        <v>7</v>
      </c>
      <c r="H6" s="11" t="s">
        <v>8</v>
      </c>
      <c r="I6" s="12" t="s">
        <v>9</v>
      </c>
      <c r="J6" s="11" t="s">
        <v>6</v>
      </c>
      <c r="K6" s="11" t="s">
        <v>7</v>
      </c>
      <c r="L6" s="11" t="s">
        <v>10</v>
      </c>
      <c r="M6" s="12" t="s">
        <v>9</v>
      </c>
    </row>
    <row r="7" spans="1:13" ht="15.5" x14ac:dyDescent="0.35">
      <c r="A7" s="13" t="s">
        <v>11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ht="15.5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spans="1:13" ht="15.5" x14ac:dyDescent="0.35">
      <c r="A9" s="19" t="s">
        <v>12</v>
      </c>
      <c r="B9" s="20">
        <v>1218387</v>
      </c>
      <c r="C9" s="20">
        <v>7505878</v>
      </c>
      <c r="D9" s="20">
        <v>410322</v>
      </c>
      <c r="E9" s="20">
        <v>9134587</v>
      </c>
      <c r="F9" s="21"/>
      <c r="G9" s="21"/>
      <c r="H9" s="21"/>
      <c r="I9" s="21"/>
      <c r="J9" s="21"/>
      <c r="K9" s="21"/>
      <c r="L9" s="21"/>
      <c r="M9" s="22"/>
    </row>
    <row r="10" spans="1:13" ht="15.5" x14ac:dyDescent="0.35">
      <c r="A10" s="19" t="s">
        <v>13</v>
      </c>
      <c r="B10" s="20">
        <v>1191946</v>
      </c>
      <c r="C10" s="20">
        <v>7713590</v>
      </c>
      <c r="D10" s="20">
        <v>414878</v>
      </c>
      <c r="E10" s="20">
        <v>9320414</v>
      </c>
      <c r="F10" s="21">
        <v>-2.1701643238150159</v>
      </c>
      <c r="G10" s="21">
        <v>2.767324488887235</v>
      </c>
      <c r="H10" s="21">
        <v>1.1103474831961169</v>
      </c>
      <c r="I10" s="21">
        <v>2.0343229529698581</v>
      </c>
      <c r="J10" s="21"/>
      <c r="K10" s="21"/>
      <c r="L10" s="21"/>
      <c r="M10" s="22"/>
    </row>
    <row r="11" spans="1:13" ht="15.5" x14ac:dyDescent="0.35">
      <c r="A11" s="19" t="s">
        <v>14</v>
      </c>
      <c r="B11" s="20">
        <v>1241308</v>
      </c>
      <c r="C11" s="20">
        <v>7809823</v>
      </c>
      <c r="D11" s="20">
        <v>497360</v>
      </c>
      <c r="E11" s="20">
        <v>9548491</v>
      </c>
      <c r="F11" s="21">
        <v>4.1412949915516251</v>
      </c>
      <c r="G11" s="21">
        <v>1.2475773278071589</v>
      </c>
      <c r="H11" s="21">
        <v>19.8810252652587</v>
      </c>
      <c r="I11" s="21">
        <v>2.4470694112944003</v>
      </c>
      <c r="J11" s="21"/>
      <c r="K11" s="21"/>
      <c r="L11" s="21"/>
      <c r="M11" s="22"/>
    </row>
    <row r="12" spans="1:13" ht="15.5" x14ac:dyDescent="0.35">
      <c r="A12" s="19" t="s">
        <v>15</v>
      </c>
      <c r="B12" s="20">
        <v>1241168</v>
      </c>
      <c r="C12" s="20">
        <v>7933267</v>
      </c>
      <c r="D12" s="20">
        <v>548483</v>
      </c>
      <c r="E12" s="20">
        <v>9722918</v>
      </c>
      <c r="F12" s="21">
        <v>-1.1278425660676827E-2</v>
      </c>
      <c r="G12" s="21">
        <v>1.580624810575082</v>
      </c>
      <c r="H12" s="21">
        <v>10.278872446517617</v>
      </c>
      <c r="I12" s="21">
        <v>1.8267493785143696</v>
      </c>
      <c r="J12" s="21"/>
      <c r="K12" s="21"/>
      <c r="L12" s="21"/>
      <c r="M12" s="22"/>
    </row>
    <row r="13" spans="1:13" ht="15.5" x14ac:dyDescent="0.35">
      <c r="A13" s="19" t="s">
        <v>16</v>
      </c>
      <c r="B13" s="20">
        <v>1255388</v>
      </c>
      <c r="C13" s="20">
        <v>7952018</v>
      </c>
      <c r="D13" s="20">
        <v>491957</v>
      </c>
      <c r="E13" s="20">
        <v>9699363</v>
      </c>
      <c r="F13" s="21">
        <v>1.1456950227527685</v>
      </c>
      <c r="G13" s="21">
        <v>0.236359119137175</v>
      </c>
      <c r="H13" s="21">
        <v>-10.305880036391279</v>
      </c>
      <c r="I13" s="21">
        <v>-0.24226266229953053</v>
      </c>
      <c r="J13" s="21">
        <v>3.0368840114019635</v>
      </c>
      <c r="K13" s="21">
        <v>5.9438749204290264</v>
      </c>
      <c r="L13" s="21">
        <v>19.895350480841877</v>
      </c>
      <c r="M13" s="22">
        <v>6.1828301596996038</v>
      </c>
    </row>
    <row r="14" spans="1:13" ht="15.5" x14ac:dyDescent="0.35">
      <c r="A14" s="19" t="s">
        <v>17</v>
      </c>
      <c r="B14" s="20">
        <v>1232212</v>
      </c>
      <c r="C14" s="20">
        <v>8044135</v>
      </c>
      <c r="D14" s="20">
        <v>526066</v>
      </c>
      <c r="E14" s="20">
        <v>9802413</v>
      </c>
      <c r="F14" s="21">
        <v>-1.8461224736894044</v>
      </c>
      <c r="G14" s="21">
        <v>1.1584103557109593</v>
      </c>
      <c r="H14" s="21">
        <v>6.9333295389637728</v>
      </c>
      <c r="I14" s="21">
        <v>1.062440904624351</v>
      </c>
      <c r="J14" s="21">
        <v>3.3781731722745789</v>
      </c>
      <c r="K14" s="21">
        <v>4.2852290567686468</v>
      </c>
      <c r="L14" s="21">
        <v>26.800167760160811</v>
      </c>
      <c r="M14" s="22">
        <v>5.171433371951073</v>
      </c>
    </row>
    <row r="15" spans="1:13" ht="15.5" x14ac:dyDescent="0.35">
      <c r="A15" s="19" t="s">
        <v>18</v>
      </c>
      <c r="B15" s="20">
        <v>1207624</v>
      </c>
      <c r="C15" s="20">
        <v>8136380</v>
      </c>
      <c r="D15" s="20">
        <v>465479</v>
      </c>
      <c r="E15" s="20">
        <v>9809483</v>
      </c>
      <c r="F15" s="21">
        <v>-1.9954358503244563</v>
      </c>
      <c r="G15" s="21">
        <v>1.1467361002767795</v>
      </c>
      <c r="H15" s="21">
        <v>-11.516995966285604</v>
      </c>
      <c r="I15" s="21">
        <v>7.2125098177355795E-2</v>
      </c>
      <c r="J15" s="21">
        <v>-2.7135892139581785</v>
      </c>
      <c r="K15" s="21">
        <v>4.1813623689038737</v>
      </c>
      <c r="L15" s="21">
        <v>-6.4100450377995832</v>
      </c>
      <c r="M15" s="22">
        <v>2.7333324187036379</v>
      </c>
    </row>
    <row r="16" spans="1:13" ht="15.5" x14ac:dyDescent="0.35">
      <c r="A16" s="19" t="s">
        <v>19</v>
      </c>
      <c r="B16" s="20">
        <v>1197778</v>
      </c>
      <c r="C16" s="20">
        <v>8244031</v>
      </c>
      <c r="D16" s="20">
        <v>488295</v>
      </c>
      <c r="E16" s="20">
        <v>9930104</v>
      </c>
      <c r="F16" s="21">
        <v>-0.81532000026498519</v>
      </c>
      <c r="G16" s="21">
        <v>1.3230822552535715</v>
      </c>
      <c r="H16" s="21">
        <v>4.9016174736131957</v>
      </c>
      <c r="I16" s="21">
        <v>1.2296366689253713</v>
      </c>
      <c r="J16" s="21">
        <v>-3.4959006355304023</v>
      </c>
      <c r="K16" s="21">
        <v>3.9172260305873952</v>
      </c>
      <c r="L16" s="21">
        <v>-10.973539745078698</v>
      </c>
      <c r="M16" s="22">
        <v>2.1309035003689303</v>
      </c>
    </row>
    <row r="17" spans="1:13" ht="15.5" x14ac:dyDescent="0.35">
      <c r="A17" s="19" t="s">
        <v>20</v>
      </c>
      <c r="B17" s="20">
        <v>1196035</v>
      </c>
      <c r="C17" s="20">
        <v>8307126</v>
      </c>
      <c r="D17" s="20">
        <v>560405</v>
      </c>
      <c r="E17" s="20">
        <v>10063566</v>
      </c>
      <c r="F17" s="21">
        <v>-0.14551945352143658</v>
      </c>
      <c r="G17" s="21">
        <v>0.76534161504244747</v>
      </c>
      <c r="H17" s="21">
        <v>14.767712141226097</v>
      </c>
      <c r="I17" s="21">
        <v>1.3440141211008561</v>
      </c>
      <c r="J17" s="21">
        <v>-4.7278610278256643</v>
      </c>
      <c r="K17" s="21">
        <v>4.4656337548531599</v>
      </c>
      <c r="L17" s="21">
        <v>13.913411131460673</v>
      </c>
      <c r="M17" s="22">
        <v>3.7549166888588559</v>
      </c>
    </row>
    <row r="18" spans="1:13" ht="15.5" x14ac:dyDescent="0.35">
      <c r="A18" s="19" t="s">
        <v>21</v>
      </c>
      <c r="B18" s="20">
        <v>1206414</v>
      </c>
      <c r="C18" s="20">
        <v>8426631</v>
      </c>
      <c r="D18" s="20">
        <v>572773</v>
      </c>
      <c r="E18" s="20">
        <v>10205818</v>
      </c>
      <c r="F18" s="21">
        <v>0.86778396953266501</v>
      </c>
      <c r="G18" s="21">
        <v>1.4385841745990113</v>
      </c>
      <c r="H18" s="21">
        <v>2.2069753124972058</v>
      </c>
      <c r="I18" s="21">
        <v>1.4135347251660102</v>
      </c>
      <c r="J18" s="21">
        <v>-2.0936332384362433</v>
      </c>
      <c r="K18" s="21">
        <v>4.7549674390099161</v>
      </c>
      <c r="L18" s="21">
        <v>8.8785437568670069</v>
      </c>
      <c r="M18" s="22">
        <v>4.1153642475582286</v>
      </c>
    </row>
    <row r="19" spans="1:13" ht="15.5" x14ac:dyDescent="0.35">
      <c r="A19" s="19" t="s">
        <v>22</v>
      </c>
      <c r="B19" s="20">
        <v>1189068</v>
      </c>
      <c r="C19" s="20">
        <v>8526636</v>
      </c>
      <c r="D19" s="20">
        <v>558504</v>
      </c>
      <c r="E19" s="20">
        <v>10274208</v>
      </c>
      <c r="F19" s="21">
        <v>-1.4378148794692347</v>
      </c>
      <c r="G19" s="21">
        <v>1.1867732193328484</v>
      </c>
      <c r="H19" s="21">
        <v>-2.4912137967397219</v>
      </c>
      <c r="I19" s="21">
        <v>0.67010797174709147</v>
      </c>
      <c r="J19" s="21">
        <v>-1.5365709856710374</v>
      </c>
      <c r="K19" s="21">
        <v>4.7964328116435029</v>
      </c>
      <c r="L19" s="21">
        <v>19.984789861626417</v>
      </c>
      <c r="M19" s="22">
        <v>4.7375075730290872</v>
      </c>
    </row>
    <row r="20" spans="1:13" ht="15.5" x14ac:dyDescent="0.35">
      <c r="A20" s="19" t="s">
        <v>23</v>
      </c>
      <c r="B20" s="20">
        <v>1153055</v>
      </c>
      <c r="C20" s="20">
        <v>8609583</v>
      </c>
      <c r="D20" s="20">
        <v>542764</v>
      </c>
      <c r="E20" s="20">
        <v>10305402</v>
      </c>
      <c r="F20" s="21">
        <v>-3.028674558561828</v>
      </c>
      <c r="G20" s="21">
        <v>0.97279865119139775</v>
      </c>
      <c r="H20" s="21">
        <v>-2.8182430206408537</v>
      </c>
      <c r="I20" s="21">
        <v>0.30361464358128476</v>
      </c>
      <c r="J20" s="21">
        <v>-3.7338304760982433</v>
      </c>
      <c r="K20" s="21">
        <v>4.4341415018939179</v>
      </c>
      <c r="L20" s="21">
        <v>11.154937076971905</v>
      </c>
      <c r="M20" s="22">
        <v>3.7793964695636673</v>
      </c>
    </row>
    <row r="21" spans="1:13" ht="15.5" x14ac:dyDescent="0.35">
      <c r="A21" s="19" t="s">
        <v>24</v>
      </c>
      <c r="B21" s="20">
        <v>1157573</v>
      </c>
      <c r="C21" s="20">
        <v>8712290</v>
      </c>
      <c r="D21" s="20">
        <v>570225</v>
      </c>
      <c r="E21" s="20">
        <v>10440088</v>
      </c>
      <c r="F21" s="21">
        <v>0.39182866385385484</v>
      </c>
      <c r="G21" s="21">
        <v>1.1929381481077472</v>
      </c>
      <c r="H21" s="21">
        <v>5.0594733622716381</v>
      </c>
      <c r="I21" s="21">
        <v>1.3069456193945728</v>
      </c>
      <c r="J21" s="21">
        <v>-3.2157921799947364</v>
      </c>
      <c r="K21" s="21">
        <v>4.8773065438034724</v>
      </c>
      <c r="L21" s="21">
        <v>1.7523041371865</v>
      </c>
      <c r="M21" s="22">
        <v>3.7414371804189495</v>
      </c>
    </row>
    <row r="22" spans="1:13" ht="15.5" x14ac:dyDescent="0.35">
      <c r="A22" s="19" t="s">
        <v>25</v>
      </c>
      <c r="B22" s="20">
        <v>1071527</v>
      </c>
      <c r="C22" s="20">
        <v>8650931</v>
      </c>
      <c r="D22" s="20">
        <v>518333</v>
      </c>
      <c r="E22" s="20">
        <v>10240791</v>
      </c>
      <c r="F22" s="21">
        <v>-7.4333109013427272</v>
      </c>
      <c r="G22" s="21">
        <v>-0.70428096401750073</v>
      </c>
      <c r="H22" s="21">
        <v>-9.1002674382918975</v>
      </c>
      <c r="I22" s="21">
        <v>-1.9089590049432559</v>
      </c>
      <c r="J22" s="21">
        <v>-11.180821840595357</v>
      </c>
      <c r="K22" s="21">
        <v>2.661799241001539</v>
      </c>
      <c r="L22" s="21">
        <v>-9.5046379630324811</v>
      </c>
      <c r="M22" s="22">
        <v>0.34267708869588631</v>
      </c>
    </row>
    <row r="23" spans="1:13" ht="15.5" x14ac:dyDescent="0.35">
      <c r="A23" s="19" t="s">
        <v>26</v>
      </c>
      <c r="B23" s="20">
        <v>1265059</v>
      </c>
      <c r="C23" s="20">
        <v>8695286</v>
      </c>
      <c r="D23" s="20">
        <v>504036</v>
      </c>
      <c r="E23" s="20">
        <v>10464381</v>
      </c>
      <c r="F23" s="21">
        <v>18.061327432719843</v>
      </c>
      <c r="G23" s="21">
        <v>0.51271938245722737</v>
      </c>
      <c r="H23" s="21">
        <v>-2.7582654393989992</v>
      </c>
      <c r="I23" s="21">
        <v>2.183327440233862</v>
      </c>
      <c r="J23" s="21">
        <v>6.3908035537076024</v>
      </c>
      <c r="K23" s="21">
        <v>1.9779195452931164</v>
      </c>
      <c r="L23" s="21">
        <v>-9.7524816294959358</v>
      </c>
      <c r="M23" s="22">
        <v>1.8509747904656093</v>
      </c>
    </row>
    <row r="24" spans="1:13" ht="15.5" x14ac:dyDescent="0.35">
      <c r="A24" s="19" t="s">
        <v>27</v>
      </c>
      <c r="B24" s="20">
        <v>1483081</v>
      </c>
      <c r="C24" s="20">
        <v>8827736</v>
      </c>
      <c r="D24" s="20">
        <v>505185</v>
      </c>
      <c r="E24" s="20">
        <v>10816002</v>
      </c>
      <c r="F24" s="21">
        <v>17.234136905867636</v>
      </c>
      <c r="G24" s="21">
        <v>1.5232391436003301</v>
      </c>
      <c r="H24" s="21">
        <v>0.22795990762565221</v>
      </c>
      <c r="I24" s="21">
        <v>3.360170085550207</v>
      </c>
      <c r="J24" s="21">
        <v>28.621878401290491</v>
      </c>
      <c r="K24" s="21">
        <v>2.53383932764224</v>
      </c>
      <c r="L24" s="21">
        <v>-6.923635318480958</v>
      </c>
      <c r="M24" s="22">
        <v>4.954682990532544</v>
      </c>
    </row>
    <row r="25" spans="1:13" ht="15.5" x14ac:dyDescent="0.35">
      <c r="A25" s="19" t="s">
        <v>28</v>
      </c>
      <c r="B25" s="20">
        <v>1643486</v>
      </c>
      <c r="C25" s="20">
        <v>8914123</v>
      </c>
      <c r="D25" s="20">
        <v>533802</v>
      </c>
      <c r="E25" s="20">
        <v>11091411</v>
      </c>
      <c r="F25" s="21">
        <v>10.81566010217918</v>
      </c>
      <c r="G25" s="21">
        <v>0.9785861289916209</v>
      </c>
      <c r="H25" s="21">
        <v>5.6646575017073042</v>
      </c>
      <c r="I25" s="21">
        <v>2.5463105498686023</v>
      </c>
      <c r="J25" s="21">
        <v>41.976877484184591</v>
      </c>
      <c r="K25" s="21">
        <v>2.3166469435705217</v>
      </c>
      <c r="L25" s="21">
        <v>-6.3874786268578232</v>
      </c>
      <c r="M25" s="22">
        <v>6.2386734671201927</v>
      </c>
    </row>
    <row r="26" spans="1:13" ht="15.5" x14ac:dyDescent="0.35">
      <c r="A26" s="19" t="s">
        <v>29</v>
      </c>
      <c r="B26" s="20">
        <v>1746705</v>
      </c>
      <c r="C26" s="20">
        <v>8992279</v>
      </c>
      <c r="D26" s="20">
        <v>543565</v>
      </c>
      <c r="E26" s="20">
        <v>11282549</v>
      </c>
      <c r="F26" s="21">
        <v>6.2804915892195057</v>
      </c>
      <c r="G26" s="21">
        <v>0.87676600378971958</v>
      </c>
      <c r="H26" s="21">
        <v>1.8289553055252705</v>
      </c>
      <c r="I26" s="21">
        <v>1.7232974235649623</v>
      </c>
      <c r="J26" s="21">
        <v>63.010824738900652</v>
      </c>
      <c r="K26" s="21">
        <v>3.9457949670388182</v>
      </c>
      <c r="L26" s="21">
        <v>4.8679130983364072</v>
      </c>
      <c r="M26" s="22">
        <v>10.172632172651497</v>
      </c>
    </row>
    <row r="27" spans="1:13" ht="15.5" x14ac:dyDescent="0.35">
      <c r="A27" s="19" t="s">
        <v>30</v>
      </c>
      <c r="B27" s="20">
        <v>1724686</v>
      </c>
      <c r="C27" s="20">
        <v>9113478</v>
      </c>
      <c r="D27" s="20">
        <v>565125</v>
      </c>
      <c r="E27" s="20">
        <v>11403289</v>
      </c>
      <c r="F27" s="21">
        <v>-1.2606021051064675</v>
      </c>
      <c r="G27" s="21">
        <v>1.3478118283474005</v>
      </c>
      <c r="H27" s="21">
        <v>3.9664069614489428</v>
      </c>
      <c r="I27" s="21">
        <v>1.0701482439828158</v>
      </c>
      <c r="J27" s="21">
        <v>36.332455640408853</v>
      </c>
      <c r="K27" s="21">
        <v>4.809410524277169</v>
      </c>
      <c r="L27" s="21">
        <v>12.119967621360384</v>
      </c>
      <c r="M27" s="22">
        <v>8.9724179576412553</v>
      </c>
    </row>
    <row r="28" spans="1:13" ht="15.5" x14ac:dyDescent="0.35">
      <c r="A28" s="19" t="s">
        <v>31</v>
      </c>
      <c r="B28" s="20">
        <v>1750682</v>
      </c>
      <c r="C28" s="20">
        <v>9271198</v>
      </c>
      <c r="D28" s="20">
        <v>607581</v>
      </c>
      <c r="E28" s="20">
        <v>11629461</v>
      </c>
      <c r="F28" s="21">
        <v>1.5072888630162318</v>
      </c>
      <c r="G28" s="21">
        <v>1.7306235884916754</v>
      </c>
      <c r="H28" s="21">
        <v>7.5126741871267333</v>
      </c>
      <c r="I28" s="21">
        <v>1.9833926860925777</v>
      </c>
      <c r="J28" s="21">
        <v>18.043586290971291</v>
      </c>
      <c r="K28" s="21">
        <v>5.0235077261032712</v>
      </c>
      <c r="L28" s="21">
        <v>20.269010362540453</v>
      </c>
      <c r="M28" s="22">
        <v>7.5208843341560083</v>
      </c>
    </row>
    <row r="29" spans="1:13" ht="15.5" x14ac:dyDescent="0.35">
      <c r="A29" s="19" t="s">
        <v>32</v>
      </c>
      <c r="B29" s="20">
        <v>1731598</v>
      </c>
      <c r="C29" s="20">
        <v>9449452</v>
      </c>
      <c r="D29" s="20">
        <v>590764</v>
      </c>
      <c r="E29" s="20">
        <v>11771814</v>
      </c>
      <c r="F29" s="21">
        <v>-1.0900894622781321</v>
      </c>
      <c r="G29" s="21">
        <v>1.9226641476106865</v>
      </c>
      <c r="H29" s="21">
        <v>-2.7678614044876371</v>
      </c>
      <c r="I29" s="21">
        <v>1.2240722076457322</v>
      </c>
      <c r="J29" s="21">
        <v>5.3612869230404092</v>
      </c>
      <c r="K29" s="21">
        <v>6.0054028870815346</v>
      </c>
      <c r="L29" s="21">
        <v>10.670997860629971</v>
      </c>
      <c r="M29" s="22">
        <v>6.1345035361145772</v>
      </c>
    </row>
    <row r="30" spans="1:13" ht="15.5" x14ac:dyDescent="0.35">
      <c r="A30" s="19" t="s">
        <v>33</v>
      </c>
      <c r="B30" s="20">
        <v>1736419</v>
      </c>
      <c r="C30" s="20">
        <v>9598698</v>
      </c>
      <c r="D30" s="20">
        <v>601275</v>
      </c>
      <c r="E30" s="20">
        <v>11936392</v>
      </c>
      <c r="F30" s="21">
        <v>0.27841334998077727</v>
      </c>
      <c r="G30" s="21">
        <v>1.5794143406411276</v>
      </c>
      <c r="H30" s="21">
        <v>1.7792214826902075</v>
      </c>
      <c r="I30" s="21">
        <v>1.3980683011131534</v>
      </c>
      <c r="J30" s="21">
        <v>-0.58888020587334333</v>
      </c>
      <c r="K30" s="21">
        <v>6.7437742979282511</v>
      </c>
      <c r="L30" s="21">
        <v>10.616945535492528</v>
      </c>
      <c r="M30" s="22">
        <v>5.7951709316750977</v>
      </c>
    </row>
    <row r="31" spans="1:13" ht="15.5" x14ac:dyDescent="0.35">
      <c r="A31" s="19" t="s">
        <v>34</v>
      </c>
      <c r="B31" s="20">
        <v>1692897</v>
      </c>
      <c r="C31" s="20">
        <v>9695917</v>
      </c>
      <c r="D31" s="20">
        <v>563105</v>
      </c>
      <c r="E31" s="20">
        <v>11951919</v>
      </c>
      <c r="F31" s="21">
        <v>-2.5064227009725215</v>
      </c>
      <c r="G31" s="21">
        <v>1.0128352824518405</v>
      </c>
      <c r="H31" s="21">
        <v>-6.3481767909858267</v>
      </c>
      <c r="I31" s="21">
        <v>0.1300811836608684</v>
      </c>
      <c r="J31" s="21">
        <v>-1.8431760911841288</v>
      </c>
      <c r="K31" s="21">
        <v>6.3909629232659526</v>
      </c>
      <c r="L31" s="21">
        <v>-0.35744304357443468</v>
      </c>
      <c r="M31" s="22">
        <v>4.8111557989980014</v>
      </c>
    </row>
    <row r="32" spans="1:13" ht="15.5" x14ac:dyDescent="0.35">
      <c r="A32" s="19" t="s">
        <v>35</v>
      </c>
      <c r="B32" s="20">
        <v>1779305</v>
      </c>
      <c r="C32" s="20">
        <v>9799843</v>
      </c>
      <c r="D32" s="20">
        <v>570046</v>
      </c>
      <c r="E32" s="20">
        <v>12149194</v>
      </c>
      <c r="F32" s="21">
        <v>5.1041498685389541</v>
      </c>
      <c r="G32" s="21">
        <v>1.0718532347172571</v>
      </c>
      <c r="H32" s="21">
        <v>1.2326297937329533</v>
      </c>
      <c r="I32" s="21">
        <v>1.6505717617396831</v>
      </c>
      <c r="J32" s="21">
        <v>1.6349628316278952</v>
      </c>
      <c r="K32" s="21">
        <v>5.7020139144908777</v>
      </c>
      <c r="L32" s="21">
        <v>-6.17777711942934</v>
      </c>
      <c r="M32" s="22">
        <v>4.4691065217897785</v>
      </c>
    </row>
    <row r="33" spans="1:13" ht="15.5" x14ac:dyDescent="0.35">
      <c r="A33" s="19" t="s">
        <v>36</v>
      </c>
      <c r="B33" s="20">
        <v>1819765</v>
      </c>
      <c r="C33" s="20">
        <v>9889583</v>
      </c>
      <c r="D33" s="20">
        <v>568768</v>
      </c>
      <c r="E33" s="20">
        <v>12278116</v>
      </c>
      <c r="F33" s="21">
        <v>2.2739215592604944</v>
      </c>
      <c r="G33" s="21">
        <v>0.91572895606593097</v>
      </c>
      <c r="H33" s="21">
        <v>-0.22419243359307339</v>
      </c>
      <c r="I33" s="21">
        <v>1.0611568141886574</v>
      </c>
      <c r="J33" s="21">
        <v>5.0916552225169998</v>
      </c>
      <c r="K33" s="21">
        <v>4.6577409991605867</v>
      </c>
      <c r="L33" s="21">
        <v>-3.7233142168446309</v>
      </c>
      <c r="M33" s="22">
        <v>4.3009683979036595</v>
      </c>
    </row>
    <row r="34" spans="1:13" ht="15.5" x14ac:dyDescent="0.35">
      <c r="A34" s="19" t="s">
        <v>37</v>
      </c>
      <c r="B34" s="20">
        <v>1859370</v>
      </c>
      <c r="C34" s="20">
        <v>10016252</v>
      </c>
      <c r="D34" s="20">
        <v>571404</v>
      </c>
      <c r="E34" s="20">
        <v>12447026</v>
      </c>
      <c r="F34" s="21">
        <v>2.1763799171871101</v>
      </c>
      <c r="G34" s="21">
        <v>1.280832568976864</v>
      </c>
      <c r="H34" s="21">
        <v>0.46345785979520215</v>
      </c>
      <c r="I34" s="21">
        <v>1.3756996594591619</v>
      </c>
      <c r="J34" s="21">
        <v>7.0807218764595392</v>
      </c>
      <c r="K34" s="21">
        <v>4.3501108171128955</v>
      </c>
      <c r="L34" s="21">
        <v>-4.9679431208681564</v>
      </c>
      <c r="M34" s="22">
        <v>4.2779593699670659</v>
      </c>
    </row>
    <row r="35" spans="1:13" ht="15.5" x14ac:dyDescent="0.35">
      <c r="A35" s="19" t="s">
        <v>38</v>
      </c>
      <c r="B35" s="20">
        <v>1842611</v>
      </c>
      <c r="C35" s="20">
        <v>10158962</v>
      </c>
      <c r="D35" s="20">
        <v>591425</v>
      </c>
      <c r="E35" s="20">
        <v>12592998</v>
      </c>
      <c r="F35" s="21">
        <v>-0.90132679348381428</v>
      </c>
      <c r="G35" s="21">
        <v>1.4247844403275867</v>
      </c>
      <c r="H35" s="21">
        <v>3.5038256645035792</v>
      </c>
      <c r="I35" s="21">
        <v>1.1727460037441961</v>
      </c>
      <c r="J35" s="21">
        <v>8.843656761161478</v>
      </c>
      <c r="K35" s="21">
        <v>4.775670006251076</v>
      </c>
      <c r="L35" s="21">
        <v>5.029257420907296</v>
      </c>
      <c r="M35" s="22">
        <v>5.3638164716477643</v>
      </c>
    </row>
    <row r="36" spans="1:13" ht="15.5" x14ac:dyDescent="0.35">
      <c r="A36" s="19" t="s">
        <v>39</v>
      </c>
      <c r="B36" s="20">
        <v>1748041</v>
      </c>
      <c r="C36" s="20">
        <v>10247400</v>
      </c>
      <c r="D36" s="20">
        <v>601034</v>
      </c>
      <c r="E36" s="20">
        <v>12596475</v>
      </c>
      <c r="F36" s="21">
        <v>-5.1323909387277045</v>
      </c>
      <c r="G36" s="21">
        <v>0.87054169510625279</v>
      </c>
      <c r="H36" s="21">
        <v>1.6247199560383896</v>
      </c>
      <c r="I36" s="21">
        <v>2.761058168991859E-2</v>
      </c>
      <c r="J36" s="21">
        <v>-1.7570905493999089</v>
      </c>
      <c r="K36" s="21">
        <v>4.5669813281702609</v>
      </c>
      <c r="L36" s="21">
        <v>5.4360525290941375</v>
      </c>
      <c r="M36" s="22">
        <v>3.6815693287966189</v>
      </c>
    </row>
    <row r="37" spans="1:13" ht="15.5" x14ac:dyDescent="0.35">
      <c r="A37" s="19" t="s">
        <v>40</v>
      </c>
      <c r="B37" s="20">
        <v>1666169</v>
      </c>
      <c r="C37" s="20">
        <v>10265534</v>
      </c>
      <c r="D37" s="20">
        <v>616982</v>
      </c>
      <c r="E37" s="20">
        <v>12548685</v>
      </c>
      <c r="F37" s="21">
        <v>-4.6836430037968224</v>
      </c>
      <c r="G37" s="21">
        <v>0.17696196108281104</v>
      </c>
      <c r="H37" s="21">
        <v>2.653427260354646</v>
      </c>
      <c r="I37" s="21">
        <v>-0.37939185367334982</v>
      </c>
      <c r="J37" s="21">
        <v>-8.4404304951463551</v>
      </c>
      <c r="K37" s="21">
        <v>3.8014848553270753</v>
      </c>
      <c r="L37" s="21">
        <v>8.4769185326881935</v>
      </c>
      <c r="M37" s="22">
        <v>2.2036687061760984</v>
      </c>
    </row>
    <row r="38" spans="1:13" ht="15.5" x14ac:dyDescent="0.35">
      <c r="A38" s="19" t="s">
        <v>41</v>
      </c>
      <c r="B38" s="20">
        <v>1655298</v>
      </c>
      <c r="C38" s="20">
        <v>10406390</v>
      </c>
      <c r="D38" s="20">
        <v>579686</v>
      </c>
      <c r="E38" s="20">
        <v>12641374</v>
      </c>
      <c r="F38" s="21">
        <v>-0.65245482301015123</v>
      </c>
      <c r="G38" s="21">
        <v>1.3721254052638576</v>
      </c>
      <c r="H38" s="21">
        <v>-6.0449089276510488</v>
      </c>
      <c r="I38" s="21">
        <v>0.73863516376417859</v>
      </c>
      <c r="J38" s="21">
        <v>-10.975330353829527</v>
      </c>
      <c r="K38" s="21">
        <v>3.8950497651217164</v>
      </c>
      <c r="L38" s="21">
        <v>1.4494123247299706</v>
      </c>
      <c r="M38" s="22">
        <v>1.561401092919712</v>
      </c>
    </row>
    <row r="39" spans="1:13" ht="15.5" x14ac:dyDescent="0.35">
      <c r="A39" s="19" t="s">
        <v>42</v>
      </c>
      <c r="B39" s="20">
        <v>1691341</v>
      </c>
      <c r="C39" s="20">
        <v>10498177</v>
      </c>
      <c r="D39" s="20">
        <v>631980</v>
      </c>
      <c r="E39" s="20">
        <v>12821498</v>
      </c>
      <c r="F39" s="21">
        <v>2.177432703960247</v>
      </c>
      <c r="G39" s="21">
        <v>0.88202537094996813</v>
      </c>
      <c r="H39" s="21">
        <v>9.0210907284288488</v>
      </c>
      <c r="I39" s="21">
        <v>1.4248767578587618</v>
      </c>
      <c r="J39" s="21">
        <v>-8.2095461277502437</v>
      </c>
      <c r="K39" s="21">
        <v>3.3390714523787057</v>
      </c>
      <c r="L39" s="21">
        <v>6.8571670118780848</v>
      </c>
      <c r="M39" s="22">
        <v>1.8145004072898319</v>
      </c>
    </row>
    <row r="40" spans="1:13" ht="15.5" x14ac:dyDescent="0.35">
      <c r="A40" s="19" t="s">
        <v>43</v>
      </c>
      <c r="B40" s="20">
        <v>1738466</v>
      </c>
      <c r="C40" s="20">
        <v>10589528</v>
      </c>
      <c r="D40" s="20">
        <v>668226</v>
      </c>
      <c r="E40" s="20">
        <v>12996220</v>
      </c>
      <c r="F40" s="21">
        <v>2.7862506732823311</v>
      </c>
      <c r="G40" s="21">
        <v>0.87016060026421371</v>
      </c>
      <c r="H40" s="21">
        <v>5.7353080793695943</v>
      </c>
      <c r="I40" s="21">
        <v>1.3627268826154282</v>
      </c>
      <c r="J40" s="21">
        <v>-0.54775603089400882</v>
      </c>
      <c r="K40" s="21">
        <v>3.3386810312859838</v>
      </c>
      <c r="L40" s="21">
        <v>11.179400832565211</v>
      </c>
      <c r="M40" s="22">
        <v>3.173467180302425</v>
      </c>
    </row>
    <row r="41" spans="1:13" ht="15.5" x14ac:dyDescent="0.35">
      <c r="A41" s="19" t="s">
        <v>44</v>
      </c>
      <c r="B41" s="20">
        <v>1728166</v>
      </c>
      <c r="C41" s="20">
        <v>10858387</v>
      </c>
      <c r="D41" s="20">
        <v>617037</v>
      </c>
      <c r="E41" s="20">
        <v>13203590</v>
      </c>
      <c r="F41" s="21">
        <v>-0.59247635559165346</v>
      </c>
      <c r="G41" s="21">
        <v>2.5389139157099283</v>
      </c>
      <c r="H41" s="21">
        <v>-7.6604322489696619</v>
      </c>
      <c r="I41" s="21">
        <v>1.5956178027149326</v>
      </c>
      <c r="J41" s="21">
        <v>3.7209310700174969</v>
      </c>
      <c r="K41" s="21">
        <v>5.7751793525792294</v>
      </c>
      <c r="L41" s="21">
        <v>8.9143605485952904E-3</v>
      </c>
      <c r="M41" s="22">
        <v>5.2189133761824547</v>
      </c>
    </row>
    <row r="42" spans="1:13" ht="15.5" x14ac:dyDescent="0.35">
      <c r="A42" s="19" t="s">
        <v>45</v>
      </c>
      <c r="B42" s="20">
        <v>1679075</v>
      </c>
      <c r="C42" s="20">
        <v>11051498</v>
      </c>
      <c r="D42" s="20">
        <v>707383</v>
      </c>
      <c r="E42" s="20">
        <v>13437956</v>
      </c>
      <c r="F42" s="21">
        <v>-2.8406414661554469</v>
      </c>
      <c r="G42" s="21">
        <v>1.7784501510215156</v>
      </c>
      <c r="H42" s="21">
        <v>14.64190964237153</v>
      </c>
      <c r="I42" s="21">
        <v>1.7750172490966554</v>
      </c>
      <c r="J42" s="21">
        <v>1.43641809511037</v>
      </c>
      <c r="K42" s="21">
        <v>6.1991526360245963</v>
      </c>
      <c r="L42" s="21">
        <v>22.028649993272211</v>
      </c>
      <c r="M42" s="22">
        <v>6.3013878080025121</v>
      </c>
    </row>
    <row r="43" spans="1:13" ht="15.5" x14ac:dyDescent="0.35">
      <c r="A43" s="19" t="s">
        <v>46</v>
      </c>
      <c r="B43" s="20">
        <v>1694710</v>
      </c>
      <c r="C43" s="20">
        <v>11303488</v>
      </c>
      <c r="D43" s="20">
        <v>691037</v>
      </c>
      <c r="E43" s="20">
        <v>13689235</v>
      </c>
      <c r="F43" s="21">
        <v>0.93116745827315217</v>
      </c>
      <c r="G43" s="21">
        <v>2.2801433796576731</v>
      </c>
      <c r="H43" s="21">
        <v>-2.310770827119113</v>
      </c>
      <c r="I43" s="21">
        <v>1.8699198003029549</v>
      </c>
      <c r="J43" s="21">
        <v>0.19919105609098597</v>
      </c>
      <c r="K43" s="21">
        <v>7.6709603962668904</v>
      </c>
      <c r="L43" s="21">
        <v>9.3447577454982778</v>
      </c>
      <c r="M43" s="22">
        <v>6.7678285329842103</v>
      </c>
    </row>
    <row r="44" spans="1:13" ht="15.5" x14ac:dyDescent="0.35">
      <c r="A44" s="19" t="s">
        <v>47</v>
      </c>
      <c r="B44" s="20">
        <v>1698965</v>
      </c>
      <c r="C44" s="20">
        <v>11489745</v>
      </c>
      <c r="D44" s="20">
        <v>730917</v>
      </c>
      <c r="E44" s="20">
        <v>13919627</v>
      </c>
      <c r="F44" s="21">
        <v>0.25107540523157112</v>
      </c>
      <c r="G44" s="21">
        <v>1.6477834098642896</v>
      </c>
      <c r="H44" s="21">
        <v>5.7710368619914743</v>
      </c>
      <c r="I44" s="21">
        <v>1.6830158880317247</v>
      </c>
      <c r="J44" s="21">
        <v>-2.2721755846821234</v>
      </c>
      <c r="K44" s="21">
        <v>8.5010115653879836</v>
      </c>
      <c r="L44" s="21">
        <v>9.3817061892234044</v>
      </c>
      <c r="M44" s="22">
        <v>7.105196741821862</v>
      </c>
    </row>
    <row r="45" spans="1:13" ht="15.5" x14ac:dyDescent="0.35">
      <c r="A45" s="19" t="s">
        <v>48</v>
      </c>
      <c r="B45" s="20">
        <v>1764343</v>
      </c>
      <c r="C45" s="20">
        <v>11361491</v>
      </c>
      <c r="D45" s="20">
        <v>595363</v>
      </c>
      <c r="E45" s="20">
        <v>13721197</v>
      </c>
      <c r="F45" s="21">
        <v>3.8481075242868368</v>
      </c>
      <c r="G45" s="21">
        <v>-1.116247575555418</v>
      </c>
      <c r="H45" s="21">
        <v>-18.545744592067226</v>
      </c>
      <c r="I45" s="21">
        <v>-1.4255410723290174</v>
      </c>
      <c r="J45" s="21">
        <v>2.0933752891793889</v>
      </c>
      <c r="K45" s="21">
        <v>4.633321689492198</v>
      </c>
      <c r="L45" s="21">
        <v>-3.5125932480548183</v>
      </c>
      <c r="M45" s="22">
        <v>3.9201989761875389</v>
      </c>
    </row>
    <row r="46" spans="1:13" ht="15.5" x14ac:dyDescent="0.35">
      <c r="A46" s="19" t="s">
        <v>49</v>
      </c>
      <c r="B46" s="20">
        <v>1801773</v>
      </c>
      <c r="C46" s="20">
        <v>11301656</v>
      </c>
      <c r="D46" s="20">
        <v>560301</v>
      </c>
      <c r="E46" s="20">
        <v>13663730</v>
      </c>
      <c r="F46" s="21">
        <v>2.1214695781942572</v>
      </c>
      <c r="G46" s="21">
        <v>-0.52664742682100307</v>
      </c>
      <c r="H46" s="21">
        <v>-5.8891802144238063</v>
      </c>
      <c r="I46" s="21">
        <v>-0.41881914529759978</v>
      </c>
      <c r="J46" s="21">
        <v>7.3074758423536723</v>
      </c>
      <c r="K46" s="21">
        <v>2.2635664414000667</v>
      </c>
      <c r="L46" s="21">
        <v>-20.792413727782545</v>
      </c>
      <c r="M46" s="22">
        <v>1.6801215899203692</v>
      </c>
    </row>
    <row r="47" spans="1:13" ht="15.5" x14ac:dyDescent="0.35">
      <c r="A47" s="19" t="s">
        <v>50</v>
      </c>
      <c r="B47" s="20">
        <v>1667167</v>
      </c>
      <c r="C47" s="20">
        <v>11384646</v>
      </c>
      <c r="D47" s="20">
        <v>527692</v>
      </c>
      <c r="E47" s="20">
        <v>13579505</v>
      </c>
      <c r="F47" s="21">
        <v>-7.4707524199774333</v>
      </c>
      <c r="G47" s="21">
        <v>0.73431716555520943</v>
      </c>
      <c r="H47" s="21">
        <v>-5.8199075139969363</v>
      </c>
      <c r="I47" s="21">
        <v>-0.61641294141496772</v>
      </c>
      <c r="J47" s="21">
        <v>-1.625233815815097</v>
      </c>
      <c r="K47" s="21">
        <v>0.71799076532836903</v>
      </c>
      <c r="L47" s="21">
        <v>-23.637663395737128</v>
      </c>
      <c r="M47" s="22">
        <v>-0.80157875878381635</v>
      </c>
    </row>
    <row r="48" spans="1:13" ht="15.5" x14ac:dyDescent="0.35">
      <c r="A48" s="19" t="s">
        <v>51</v>
      </c>
      <c r="B48" s="20">
        <v>1596198</v>
      </c>
      <c r="C48" s="20">
        <v>11474236</v>
      </c>
      <c r="D48" s="20">
        <v>522866</v>
      </c>
      <c r="E48" s="20">
        <v>13593300</v>
      </c>
      <c r="F48" s="21">
        <v>-4.2568620900005794</v>
      </c>
      <c r="G48" s="21">
        <v>0.78693707296650928</v>
      </c>
      <c r="H48" s="21">
        <v>-0.91454863822078014</v>
      </c>
      <c r="I48" s="21">
        <v>0.10158691351416227</v>
      </c>
      <c r="J48" s="21">
        <v>-6.048800299005574</v>
      </c>
      <c r="K48" s="21">
        <v>-0.13498123761667147</v>
      </c>
      <c r="L48" s="21">
        <v>-28.464381044632969</v>
      </c>
      <c r="M48" s="22">
        <v>-2.3443659804964656</v>
      </c>
    </row>
    <row r="49" spans="1:79" ht="15.5" x14ac:dyDescent="0.35">
      <c r="A49" s="19" t="s">
        <v>52</v>
      </c>
      <c r="B49" s="20">
        <v>1582738</v>
      </c>
      <c r="C49" s="20">
        <v>11650990</v>
      </c>
      <c r="D49" s="20">
        <v>496087</v>
      </c>
      <c r="E49" s="20">
        <v>13729815</v>
      </c>
      <c r="F49" s="21">
        <v>-0.84325378179900268</v>
      </c>
      <c r="G49" s="21">
        <v>1.5404424311997733</v>
      </c>
      <c r="H49" s="21">
        <v>-5.1215799076627651</v>
      </c>
      <c r="I49" s="21">
        <v>1.0042815210434597</v>
      </c>
      <c r="J49" s="21">
        <v>-10.293066597594681</v>
      </c>
      <c r="K49" s="21">
        <v>2.5480722556572966</v>
      </c>
      <c r="L49" s="21">
        <v>-16.674868945500478</v>
      </c>
      <c r="M49" s="22">
        <v>6.2807931407160567E-2</v>
      </c>
    </row>
    <row r="50" spans="1:79" ht="15.5" x14ac:dyDescent="0.35">
      <c r="A50" s="19" t="s">
        <v>53</v>
      </c>
      <c r="B50" s="20">
        <v>1646484</v>
      </c>
      <c r="C50" s="20">
        <v>11786560</v>
      </c>
      <c r="D50" s="20">
        <v>513212</v>
      </c>
      <c r="E50" s="20">
        <v>13946256</v>
      </c>
      <c r="F50" s="21">
        <v>4.027577527044901</v>
      </c>
      <c r="G50" s="21">
        <v>1.1635921067651767</v>
      </c>
      <c r="H50" s="21">
        <v>3.452015473092418</v>
      </c>
      <c r="I50" s="21">
        <v>1.57643056370389</v>
      </c>
      <c r="J50" s="21">
        <v>-8.6186772695561515</v>
      </c>
      <c r="K50" s="21">
        <v>4.2905570652654879</v>
      </c>
      <c r="L50" s="21">
        <v>-8.404232724910365</v>
      </c>
      <c r="M50" s="22">
        <v>2.0677077196343818</v>
      </c>
    </row>
    <row r="51" spans="1:79" ht="15.5" x14ac:dyDescent="0.35">
      <c r="A51" s="19" t="s">
        <v>54</v>
      </c>
      <c r="B51" s="20">
        <v>1660400</v>
      </c>
      <c r="C51" s="20">
        <v>11945531</v>
      </c>
      <c r="D51" s="20">
        <v>569960</v>
      </c>
      <c r="E51" s="20">
        <v>14175891</v>
      </c>
      <c r="F51" s="21">
        <v>0.84519497304558211</v>
      </c>
      <c r="G51" s="21">
        <v>1.3487480655933526</v>
      </c>
      <c r="H51" s="21">
        <v>11.057418766513649</v>
      </c>
      <c r="I51" s="21">
        <v>1.6465709506551462</v>
      </c>
      <c r="J51" s="21">
        <v>-0.4058981493755609</v>
      </c>
      <c r="K51" s="21">
        <v>4.9266793187948021</v>
      </c>
      <c r="L51" s="21">
        <v>8.0099755160207167</v>
      </c>
      <c r="M51" s="22">
        <v>4.3918095689055026</v>
      </c>
    </row>
    <row r="52" spans="1:79" ht="15.5" x14ac:dyDescent="0.35">
      <c r="A52" s="19" t="s">
        <v>55</v>
      </c>
      <c r="B52" s="20">
        <v>1782454</v>
      </c>
      <c r="C52" s="20">
        <v>12215537</v>
      </c>
      <c r="D52" s="20">
        <v>631102</v>
      </c>
      <c r="E52" s="20">
        <v>14629093</v>
      </c>
      <c r="F52" s="21">
        <v>7.3508793061912714</v>
      </c>
      <c r="G52" s="21">
        <v>2.2603097342428713</v>
      </c>
      <c r="H52" s="21">
        <v>10.727419468032839</v>
      </c>
      <c r="I52" s="21">
        <v>3.1969912861209204</v>
      </c>
      <c r="J52" s="21">
        <v>11.668727814469126</v>
      </c>
      <c r="K52" s="21">
        <v>6.4605695751769332</v>
      </c>
      <c r="L52" s="21">
        <v>20.700523652331569</v>
      </c>
      <c r="M52" s="22">
        <v>7.6198789109340526</v>
      </c>
    </row>
    <row r="53" spans="1:79" ht="15.5" x14ac:dyDescent="0.35">
      <c r="A53" s="19" t="s">
        <v>56</v>
      </c>
      <c r="B53" s="20">
        <v>1779993</v>
      </c>
      <c r="C53" s="20">
        <v>12428671</v>
      </c>
      <c r="D53" s="20">
        <v>581700</v>
      </c>
      <c r="E53" s="20">
        <v>14790364</v>
      </c>
      <c r="F53" s="21">
        <v>-0.13806807917623454</v>
      </c>
      <c r="G53" s="21">
        <v>1.7447779823351217</v>
      </c>
      <c r="H53" s="21">
        <v>-7.8278946984797981</v>
      </c>
      <c r="I53" s="21">
        <v>1.1023991712951764</v>
      </c>
      <c r="J53" s="21">
        <v>12.46289657542814</v>
      </c>
      <c r="K53" s="21">
        <v>6.6748061752692323</v>
      </c>
      <c r="L53" s="21">
        <v>17.257658434911626</v>
      </c>
      <c r="M53" s="22">
        <v>7.7244230894589538</v>
      </c>
    </row>
    <row r="54" spans="1:79" ht="15.5" x14ac:dyDescent="0.35">
      <c r="A54" s="19" t="s">
        <v>57</v>
      </c>
      <c r="B54" s="20">
        <v>1751648</v>
      </c>
      <c r="C54" s="20">
        <v>12803716</v>
      </c>
      <c r="D54" s="20">
        <v>621377</v>
      </c>
      <c r="E54" s="20">
        <v>15176741</v>
      </c>
      <c r="F54" s="21">
        <v>-1.5924219926707561</v>
      </c>
      <c r="G54" s="21">
        <v>3.0175792729568496</v>
      </c>
      <c r="H54" s="21">
        <v>6.8208698641911703</v>
      </c>
      <c r="I54" s="21">
        <v>2.6123562611440887</v>
      </c>
      <c r="J54" s="21">
        <v>6.3871862708656746</v>
      </c>
      <c r="K54" s="21">
        <v>8.6297952922650865</v>
      </c>
      <c r="L54" s="21">
        <v>21.076085516316834</v>
      </c>
      <c r="M54" s="22">
        <v>8.8230489960889891</v>
      </c>
    </row>
    <row r="55" spans="1:79" ht="15.5" x14ac:dyDescent="0.35">
      <c r="A55" s="19" t="s">
        <v>58</v>
      </c>
      <c r="B55" s="20">
        <v>1719529</v>
      </c>
      <c r="C55" s="20">
        <v>13042071</v>
      </c>
      <c r="D55" s="20">
        <v>647503</v>
      </c>
      <c r="E55" s="20">
        <v>15409103</v>
      </c>
      <c r="F55" s="21">
        <v>-1.8336446592009392</v>
      </c>
      <c r="G55" s="21">
        <v>1.8616079894305582</v>
      </c>
      <c r="H55" s="21">
        <v>4.2045328359433976</v>
      </c>
      <c r="I55" s="21">
        <v>1.5310401620479697</v>
      </c>
      <c r="J55" s="21">
        <v>3.5611298482293385</v>
      </c>
      <c r="K55" s="21">
        <v>9.1794998481021786</v>
      </c>
      <c r="L55" s="21">
        <v>13.60498982384728</v>
      </c>
      <c r="M55" s="22">
        <v>8.6993614722348021</v>
      </c>
    </row>
    <row r="56" spans="1:79" ht="15.5" x14ac:dyDescent="0.35">
      <c r="A56" s="19" t="s">
        <v>59</v>
      </c>
      <c r="B56" s="20">
        <v>1674155</v>
      </c>
      <c r="C56" s="20">
        <v>13233305</v>
      </c>
      <c r="D56" s="20">
        <v>641396</v>
      </c>
      <c r="E56" s="20">
        <v>15548856</v>
      </c>
      <c r="F56" s="21">
        <v>-2.6387458426115562</v>
      </c>
      <c r="G56" s="21">
        <v>1.4662855308792633</v>
      </c>
      <c r="H56" s="21">
        <v>-0.94316165330508017</v>
      </c>
      <c r="I56" s="21">
        <v>0.90695091077008794</v>
      </c>
      <c r="J56" s="21">
        <v>-6.0758370201979943</v>
      </c>
      <c r="K56" s="21">
        <v>8.3317499672752824</v>
      </c>
      <c r="L56" s="21">
        <v>1.631115097084157</v>
      </c>
      <c r="M56" s="22">
        <v>6.2872182164676937</v>
      </c>
    </row>
    <row r="57" spans="1:79" ht="15.5" x14ac:dyDescent="0.35">
      <c r="A57" s="19" t="s">
        <v>60</v>
      </c>
      <c r="B57" s="20">
        <v>1765605</v>
      </c>
      <c r="C57" s="20">
        <v>13395586</v>
      </c>
      <c r="D57" s="20">
        <v>637399</v>
      </c>
      <c r="E57" s="20">
        <v>15798590</v>
      </c>
      <c r="F57" s="21">
        <v>5.4624571798907562</v>
      </c>
      <c r="G57" s="21">
        <v>1.2263074114894135</v>
      </c>
      <c r="H57" s="21">
        <v>-0.6231719561705984</v>
      </c>
      <c r="I57" s="21">
        <v>1.6061245920600209</v>
      </c>
      <c r="J57" s="21">
        <v>-0.80831778551938571</v>
      </c>
      <c r="K57" s="21">
        <v>7.7797135349386926</v>
      </c>
      <c r="L57" s="21">
        <v>9.5752105896510287</v>
      </c>
      <c r="M57" s="22">
        <v>6.816776111798184</v>
      </c>
    </row>
    <row r="58" spans="1:79" ht="15.5" x14ac:dyDescent="0.35">
      <c r="A58" s="19" t="s">
        <v>61</v>
      </c>
      <c r="B58" s="20">
        <v>1827627</v>
      </c>
      <c r="C58" s="20">
        <v>13577904</v>
      </c>
      <c r="D58" s="20">
        <v>667311</v>
      </c>
      <c r="E58" s="20">
        <v>16072842</v>
      </c>
      <c r="F58" s="21">
        <v>3.5127902333760952</v>
      </c>
      <c r="G58" s="21">
        <v>1.3610304170343923</v>
      </c>
      <c r="H58" s="21">
        <v>4.6928219215907063</v>
      </c>
      <c r="I58" s="21">
        <v>1.7359270669091265</v>
      </c>
      <c r="J58" s="21">
        <v>4.337572388973121</v>
      </c>
      <c r="K58" s="21">
        <v>6.0465883498197037</v>
      </c>
      <c r="L58" s="21">
        <v>7.3922916361564672</v>
      </c>
      <c r="M58" s="22">
        <v>5.9044362686297314</v>
      </c>
    </row>
    <row r="59" spans="1:79" ht="15.5" x14ac:dyDescent="0.35">
      <c r="A59" s="19" t="s">
        <v>62</v>
      </c>
      <c r="B59" s="20">
        <v>1816737</v>
      </c>
      <c r="C59" s="20">
        <v>13700236</v>
      </c>
      <c r="D59" s="20">
        <v>679986</v>
      </c>
      <c r="E59" s="20">
        <v>16196959</v>
      </c>
      <c r="F59" s="21">
        <v>-0.59585462460337579</v>
      </c>
      <c r="G59" s="21">
        <v>0.90096380118758201</v>
      </c>
      <c r="H59" s="21">
        <v>1.8994142161600891</v>
      </c>
      <c r="I59" s="21">
        <v>0.772215641763907</v>
      </c>
      <c r="J59" s="21">
        <v>5.6531759569044882</v>
      </c>
      <c r="K59" s="21">
        <v>5.0464761309764405</v>
      </c>
      <c r="L59" s="21">
        <v>5.0166562934843562</v>
      </c>
      <c r="M59" s="22">
        <v>5.1129257815980544</v>
      </c>
    </row>
    <row r="60" spans="1:79" ht="15.5" x14ac:dyDescent="0.35">
      <c r="A60" s="19" t="s">
        <v>63</v>
      </c>
      <c r="B60" s="20">
        <v>1731571</v>
      </c>
      <c r="C60" s="20">
        <v>13929264</v>
      </c>
      <c r="D60" s="20">
        <v>633207</v>
      </c>
      <c r="E60" s="20">
        <v>16294042</v>
      </c>
      <c r="F60" s="21">
        <v>-4.6878552041379695</v>
      </c>
      <c r="G60" s="21">
        <v>1.6717084289642914</v>
      </c>
      <c r="H60" s="21">
        <v>-6.8794063407187744</v>
      </c>
      <c r="I60" s="21">
        <v>0.59939029295561497</v>
      </c>
      <c r="J60" s="21">
        <v>3.4295510272346341</v>
      </c>
      <c r="K60" s="21">
        <v>5.2591472802901551</v>
      </c>
      <c r="L60" s="21">
        <v>-1.276746347030544</v>
      </c>
      <c r="M60" s="22">
        <v>4.7925455094574243</v>
      </c>
    </row>
    <row r="61" spans="1:79" ht="15.5" x14ac:dyDescent="0.35">
      <c r="A61" s="19" t="s">
        <v>64</v>
      </c>
      <c r="B61" s="20">
        <v>1646199</v>
      </c>
      <c r="C61" s="20">
        <v>14170593</v>
      </c>
      <c r="D61" s="20">
        <v>641921</v>
      </c>
      <c r="E61" s="20">
        <v>16458713</v>
      </c>
      <c r="F61" s="21">
        <v>-4.930320500863095</v>
      </c>
      <c r="G61" s="21">
        <v>1.7325323147008964</v>
      </c>
      <c r="H61" s="21">
        <v>1.3761692463917896</v>
      </c>
      <c r="I61" s="21">
        <v>1.0106209373953901</v>
      </c>
      <c r="J61" s="21">
        <v>-6.762894305351419</v>
      </c>
      <c r="K61" s="21">
        <v>5.7855401025382447</v>
      </c>
      <c r="L61" s="21">
        <v>0.70944573179436698</v>
      </c>
      <c r="M61" s="22">
        <v>4.1783665504326661</v>
      </c>
    </row>
    <row r="62" spans="1:79" ht="15.5" x14ac:dyDescent="0.35">
      <c r="A62" s="19" t="s">
        <v>65</v>
      </c>
      <c r="B62" s="20">
        <v>1701157</v>
      </c>
      <c r="C62" s="20">
        <v>14424656</v>
      </c>
      <c r="D62" s="20">
        <v>676427</v>
      </c>
      <c r="E62" s="20">
        <v>16802240</v>
      </c>
      <c r="F62" s="21">
        <v>3.3384785193041777</v>
      </c>
      <c r="G62" s="21">
        <v>1.7928889778995094</v>
      </c>
      <c r="H62" s="21">
        <v>5.3754278174417136</v>
      </c>
      <c r="I62" s="21">
        <v>2.0872045098544456</v>
      </c>
      <c r="J62" s="21">
        <v>-6.9199021463351107</v>
      </c>
      <c r="K62" s="21">
        <v>6.236249718660547</v>
      </c>
      <c r="L62" s="21">
        <v>1.3660796839854328</v>
      </c>
      <c r="M62" s="22">
        <v>4.538077335669688</v>
      </c>
    </row>
    <row r="63" spans="1:79" ht="15.5" x14ac:dyDescent="0.35">
      <c r="A63" s="19" t="s">
        <v>66</v>
      </c>
      <c r="B63" s="24">
        <v>1842154</v>
      </c>
      <c r="C63" s="24">
        <v>14637324</v>
      </c>
      <c r="D63" s="24">
        <v>652141</v>
      </c>
      <c r="E63" s="24">
        <v>17131619</v>
      </c>
      <c r="F63" s="25">
        <v>8.2883002568252095</v>
      </c>
      <c r="G63" s="25">
        <v>1.474336719017777</v>
      </c>
      <c r="H63" s="25">
        <v>-3.5903356903257855</v>
      </c>
      <c r="I63" s="25">
        <v>1.9603279086597869</v>
      </c>
      <c r="J63" s="25">
        <v>1.3990467525018646</v>
      </c>
      <c r="K63" s="25">
        <v>6.8399405674471669</v>
      </c>
      <c r="L63" s="25">
        <v>-4.0949372487080637</v>
      </c>
      <c r="M63" s="25">
        <v>5.7705894050852358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</row>
    <row r="64" spans="1:79" ht="15.5" x14ac:dyDescent="0.35">
      <c r="A64" s="19" t="s">
        <v>67</v>
      </c>
      <c r="B64" s="24">
        <v>1832244</v>
      </c>
      <c r="C64" s="24">
        <v>14667764</v>
      </c>
      <c r="D64" s="24">
        <v>653548</v>
      </c>
      <c r="E64" s="24">
        <v>17153556</v>
      </c>
      <c r="F64" s="25">
        <v>-0.53795719576105183</v>
      </c>
      <c r="G64" s="25">
        <v>0.20796150990440854</v>
      </c>
      <c r="H64" s="25">
        <v>0.21575088822816113</v>
      </c>
      <c r="I64" s="25">
        <v>0.12804977743201551</v>
      </c>
      <c r="J64" s="25">
        <v>5.813968933413638</v>
      </c>
      <c r="K64" s="25">
        <v>5.3017876608555836</v>
      </c>
      <c r="L64" s="25">
        <v>3.2123776269055826</v>
      </c>
      <c r="M64" s="25">
        <v>5.2750201576748035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</row>
    <row r="65" spans="1:79" ht="15.5" x14ac:dyDescent="0.35">
      <c r="A65" s="19" t="s">
        <v>68</v>
      </c>
      <c r="B65" s="26">
        <v>1820177</v>
      </c>
      <c r="C65" s="26">
        <v>14693460</v>
      </c>
      <c r="D65" s="26">
        <v>582439</v>
      </c>
      <c r="E65" s="24">
        <v>17096076</v>
      </c>
      <c r="F65" s="27">
        <v>-0.65859132298973222</v>
      </c>
      <c r="G65" s="27">
        <v>0.17518689283519961</v>
      </c>
      <c r="H65" s="27">
        <v>-10.880455605403128</v>
      </c>
      <c r="I65" s="27">
        <v>-0.33509086978816827</v>
      </c>
      <c r="J65" s="27">
        <v>10.568467117280477</v>
      </c>
      <c r="K65" s="27">
        <v>3.6898032425319194</v>
      </c>
      <c r="L65" s="27">
        <v>-9.266249273664517</v>
      </c>
      <c r="M65" s="27">
        <v>3.8724959843458029</v>
      </c>
    </row>
    <row r="66" spans="1:79" ht="15.5" x14ac:dyDescent="0.35">
      <c r="A66" s="19" t="s">
        <v>69</v>
      </c>
      <c r="B66" s="26">
        <v>1805972</v>
      </c>
      <c r="C66" s="26">
        <v>15048009</v>
      </c>
      <c r="D66" s="26">
        <v>640082</v>
      </c>
      <c r="E66" s="24">
        <v>17494063</v>
      </c>
      <c r="F66" s="27">
        <v>-0.7804186076409092</v>
      </c>
      <c r="G66" s="27">
        <v>2.4129714852730411</v>
      </c>
      <c r="H66" s="27">
        <v>9.8968303976897154</v>
      </c>
      <c r="I66" s="27">
        <v>2.3279435585101593</v>
      </c>
      <c r="J66" s="27">
        <v>6.1613948624377413</v>
      </c>
      <c r="K66" s="27">
        <v>4.3214410104476686</v>
      </c>
      <c r="L66" s="27">
        <v>-5.3730853440208666</v>
      </c>
      <c r="M66" s="27">
        <v>4.1174450549450459</v>
      </c>
    </row>
    <row r="67" spans="1:79" ht="15.5" x14ac:dyDescent="0.35">
      <c r="A67" s="19" t="s">
        <v>70</v>
      </c>
      <c r="B67" s="26">
        <v>1761284</v>
      </c>
      <c r="C67" s="26">
        <v>15329976</v>
      </c>
      <c r="D67" s="26">
        <v>644762</v>
      </c>
      <c r="E67" s="24">
        <v>17736022</v>
      </c>
      <c r="F67" s="27">
        <v>-2.4744569683250894</v>
      </c>
      <c r="G67" s="27">
        <v>1.8737827708635635</v>
      </c>
      <c r="H67" s="27">
        <v>0.73115632059641555</v>
      </c>
      <c r="I67" s="27">
        <v>1.3830920810105729</v>
      </c>
      <c r="J67" s="27">
        <v>-4.3899695682337097</v>
      </c>
      <c r="K67" s="27">
        <v>4.7320944730061321</v>
      </c>
      <c r="L67" s="27">
        <v>-1.1315037698902519</v>
      </c>
      <c r="M67" s="27">
        <v>3.5279969744832718</v>
      </c>
    </row>
    <row r="68" spans="1:79" ht="15.5" x14ac:dyDescent="0.35">
      <c r="A68" s="19" t="s">
        <v>71</v>
      </c>
      <c r="B68" s="26">
        <v>1748038</v>
      </c>
      <c r="C68" s="26">
        <v>15432332</v>
      </c>
      <c r="D68" s="26">
        <v>598831</v>
      </c>
      <c r="E68" s="24">
        <v>17779201</v>
      </c>
      <c r="F68" s="27">
        <v>-0.75206497078268431</v>
      </c>
      <c r="G68" s="27">
        <v>0.66768532449104079</v>
      </c>
      <c r="H68" s="27">
        <v>-7.1237138665119826</v>
      </c>
      <c r="I68" s="27">
        <v>0.24345368989731053</v>
      </c>
      <c r="J68" s="27">
        <v>-4.5957852775067032</v>
      </c>
      <c r="K68" s="27">
        <v>5.2125736410812085</v>
      </c>
      <c r="L68" s="27">
        <v>-8.3723001217967159</v>
      </c>
      <c r="M68" s="27">
        <v>3.647319541207672</v>
      </c>
    </row>
    <row r="69" spans="1:79" ht="15.5" x14ac:dyDescent="0.35">
      <c r="A69" s="19" t="s">
        <v>72</v>
      </c>
      <c r="B69" s="26">
        <v>1720925</v>
      </c>
      <c r="C69" s="26">
        <v>15507481</v>
      </c>
      <c r="D69" s="26">
        <v>587644</v>
      </c>
      <c r="E69" s="24">
        <v>17816050</v>
      </c>
      <c r="F69" s="27">
        <v>-1.5510532379730879</v>
      </c>
      <c r="G69" s="27">
        <v>0.48695816030914774</v>
      </c>
      <c r="H69" s="27">
        <v>-1.8681397589637161</v>
      </c>
      <c r="I69" s="27">
        <v>0.20725903261906709</v>
      </c>
      <c r="J69" s="27">
        <v>-5.4528762862073314</v>
      </c>
      <c r="K69" s="27">
        <v>5.5400225678635229</v>
      </c>
      <c r="L69" s="27">
        <v>0.89365581631724034</v>
      </c>
      <c r="M69" s="27">
        <v>4.2113406608627724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</row>
    <row r="70" spans="1:79" ht="15.5" x14ac:dyDescent="0.35">
      <c r="A70" s="19" t="s">
        <v>73</v>
      </c>
      <c r="B70" s="26">
        <v>1698319</v>
      </c>
      <c r="C70" s="26">
        <v>15359228</v>
      </c>
      <c r="D70" s="26">
        <v>480222</v>
      </c>
      <c r="E70" s="24">
        <v>17537769</v>
      </c>
      <c r="F70" s="27">
        <v>-1.3135958859334385</v>
      </c>
      <c r="G70" s="27">
        <v>-0.95600955435637403</v>
      </c>
      <c r="H70" s="27">
        <v>-18.28011517177066</v>
      </c>
      <c r="I70" s="27">
        <v>-1.5619680007633585</v>
      </c>
      <c r="J70" s="27">
        <v>-5.9609451309322603</v>
      </c>
      <c r="K70" s="27">
        <v>2.0681739358342943</v>
      </c>
      <c r="L70" s="27">
        <v>-24.974925087723133</v>
      </c>
      <c r="M70" s="27">
        <v>0.24983332917001277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</row>
    <row r="71" spans="1:79" ht="15.5" x14ac:dyDescent="0.35">
      <c r="A71" s="19" t="s">
        <v>74</v>
      </c>
      <c r="B71" s="26">
        <v>1769317</v>
      </c>
      <c r="C71" s="26">
        <v>15254875</v>
      </c>
      <c r="D71" s="26">
        <v>468033</v>
      </c>
      <c r="E71" s="24">
        <v>17492225</v>
      </c>
      <c r="F71" s="27">
        <v>4.1804867047945615</v>
      </c>
      <c r="G71" s="27">
        <v>-0.67941565813073312</v>
      </c>
      <c r="H71" s="27">
        <v>-2.5382010819995804</v>
      </c>
      <c r="I71" s="27">
        <v>-0.25969095613016524</v>
      </c>
      <c r="J71" s="27">
        <v>0.45608771782403856</v>
      </c>
      <c r="K71" s="27">
        <v>-0.48989639644576588</v>
      </c>
      <c r="L71" s="27">
        <v>-27.409959023639729</v>
      </c>
      <c r="M71" s="27">
        <v>-1.3745867027002978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</row>
    <row r="72" spans="1:79" ht="15.5" x14ac:dyDescent="0.35">
      <c r="A72" s="19" t="s">
        <v>75</v>
      </c>
      <c r="B72" s="26">
        <v>1762405</v>
      </c>
      <c r="C72" s="26">
        <v>15116176</v>
      </c>
      <c r="D72" s="26">
        <v>450052</v>
      </c>
      <c r="E72" s="24">
        <v>17328633</v>
      </c>
      <c r="F72" s="27">
        <v>-0.3906592204788617</v>
      </c>
      <c r="G72" s="27">
        <v>-0.90921098992945426</v>
      </c>
      <c r="H72" s="27">
        <v>-3.8418231193099617</v>
      </c>
      <c r="I72" s="27">
        <v>-0.93522693653894651</v>
      </c>
      <c r="J72" s="27">
        <v>0.82189288791205684</v>
      </c>
      <c r="K72" s="27">
        <v>-2.0486599173734743</v>
      </c>
      <c r="L72" s="27">
        <v>-24.844906158832792</v>
      </c>
      <c r="M72" s="27">
        <v>-2.5342421180794328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</row>
    <row r="73" spans="1:79" ht="15.5" x14ac:dyDescent="0.35">
      <c r="A73" s="19" t="s">
        <v>76</v>
      </c>
      <c r="B73" s="26">
        <v>1757977</v>
      </c>
      <c r="C73" s="26">
        <v>15043522</v>
      </c>
      <c r="D73" s="26">
        <v>403128</v>
      </c>
      <c r="E73" s="24">
        <v>17204627</v>
      </c>
      <c r="F73" s="27">
        <v>-0.2512475849762108</v>
      </c>
      <c r="G73" s="27">
        <v>-0.48063743105398737</v>
      </c>
      <c r="H73" s="27">
        <v>-10.426350732804213</v>
      </c>
      <c r="I73" s="27">
        <v>-0.7156132858258335</v>
      </c>
      <c r="J73" s="27">
        <v>2.1530281679910557</v>
      </c>
      <c r="K73" s="27">
        <v>-2.9918398739292362</v>
      </c>
      <c r="L73" s="27">
        <v>-31.399282558828133</v>
      </c>
      <c r="M73" s="27">
        <v>-3.4318662105236597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</row>
    <row r="74" spans="1:79" ht="15.5" x14ac:dyDescent="0.35">
      <c r="A74" s="19" t="s">
        <v>77</v>
      </c>
      <c r="B74" s="26">
        <v>1804990</v>
      </c>
      <c r="C74" s="26">
        <v>15070545</v>
      </c>
      <c r="D74" s="26">
        <v>452562</v>
      </c>
      <c r="E74" s="24">
        <v>17328097</v>
      </c>
      <c r="F74" s="27">
        <v>2.6742670694781534</v>
      </c>
      <c r="G74" s="27">
        <v>0.17963213667651079</v>
      </c>
      <c r="H74" s="27">
        <v>12.262606417812695</v>
      </c>
      <c r="I74" s="27">
        <v>0.71765577945979153</v>
      </c>
      <c r="J74" s="27">
        <v>6.280975482226836</v>
      </c>
      <c r="K74" s="27">
        <v>-1.8795410811012103</v>
      </c>
      <c r="L74" s="27">
        <v>-5.7598360758149392</v>
      </c>
      <c r="M74" s="27">
        <v>-1.1955454539286037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</row>
    <row r="75" spans="1:79" ht="15.5" x14ac:dyDescent="0.35">
      <c r="A75" s="19" t="s">
        <v>78</v>
      </c>
      <c r="B75" s="26">
        <v>1787677</v>
      </c>
      <c r="C75" s="26">
        <v>15101408</v>
      </c>
      <c r="D75" s="26">
        <v>421823</v>
      </c>
      <c r="E75" s="24">
        <v>17310908</v>
      </c>
      <c r="F75" s="27">
        <v>-0.95917428905423208</v>
      </c>
      <c r="G75" s="27">
        <v>0.20479020499921674</v>
      </c>
      <c r="H75" s="27">
        <v>-6.792218524754623</v>
      </c>
      <c r="I75" s="27">
        <v>-9.9197274807494296E-2</v>
      </c>
      <c r="J75" s="27">
        <v>1.0376885543969872</v>
      </c>
      <c r="K75" s="27">
        <v>-1.0060193872450607</v>
      </c>
      <c r="L75" s="27">
        <v>-9.8732354342535693</v>
      </c>
      <c r="M75" s="27">
        <v>-1.036557670622229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</row>
    <row r="76" spans="1:79" ht="15.5" x14ac:dyDescent="0.35">
      <c r="A76" s="19" t="s">
        <v>79</v>
      </c>
      <c r="B76" s="26">
        <v>1820505</v>
      </c>
      <c r="C76" s="26">
        <v>15192460</v>
      </c>
      <c r="D76" s="26">
        <v>457469</v>
      </c>
      <c r="E76" s="24">
        <v>17470434</v>
      </c>
      <c r="F76" s="27">
        <v>1.8363496313931416</v>
      </c>
      <c r="G76" s="27">
        <v>0.60293715658832348</v>
      </c>
      <c r="H76" s="27">
        <v>8.4504638201330806</v>
      </c>
      <c r="I76" s="27">
        <v>0.92153456075210194</v>
      </c>
      <c r="J76" s="27">
        <v>3.296631591490029</v>
      </c>
      <c r="K76" s="27">
        <v>0.50465144094644643</v>
      </c>
      <c r="L76" s="27">
        <v>1.648031782993975</v>
      </c>
      <c r="M76" s="27">
        <v>0.81830459448244408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</row>
    <row r="77" spans="1:79" ht="15.5" x14ac:dyDescent="0.35">
      <c r="A77" s="19" t="s">
        <v>80</v>
      </c>
      <c r="B77" s="26">
        <v>1732160</v>
      </c>
      <c r="C77" s="26">
        <v>15259691</v>
      </c>
      <c r="D77" s="26">
        <v>506084</v>
      </c>
      <c r="E77" s="24">
        <v>17497935</v>
      </c>
      <c r="F77" s="27">
        <v>-4.8527743675518593</v>
      </c>
      <c r="G77" s="27">
        <v>0.44252872806642696</v>
      </c>
      <c r="H77" s="27">
        <v>10.626949585654977</v>
      </c>
      <c r="I77" s="27">
        <v>0.15741452101305509</v>
      </c>
      <c r="J77" s="27">
        <v>-1.4685630130542138</v>
      </c>
      <c r="K77" s="27">
        <v>1.436957382719295</v>
      </c>
      <c r="L77" s="27">
        <v>25.539282808438024</v>
      </c>
      <c r="M77" s="27">
        <v>1.7048204532420286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</row>
    <row r="78" spans="1:79" ht="15.5" x14ac:dyDescent="0.35">
      <c r="A78" s="19" t="s">
        <v>81</v>
      </c>
      <c r="B78" s="26">
        <v>1786632</v>
      </c>
      <c r="C78" s="26">
        <v>15341844</v>
      </c>
      <c r="D78" s="26">
        <v>557492</v>
      </c>
      <c r="E78" s="24">
        <v>17685968</v>
      </c>
      <c r="F78" s="27">
        <v>3.1447441344910398</v>
      </c>
      <c r="G78" s="27">
        <v>0.53836607831705408</v>
      </c>
      <c r="H78" s="27">
        <v>10.157997486583259</v>
      </c>
      <c r="I78" s="27">
        <v>1.0746010886427459</v>
      </c>
      <c r="J78" s="27">
        <v>-1.0170693466445835</v>
      </c>
      <c r="K78" s="27">
        <v>1.800193689080265</v>
      </c>
      <c r="L78" s="27">
        <v>23.185773440987091</v>
      </c>
      <c r="M78" s="27">
        <v>2.06526429301499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</row>
    <row r="79" spans="1:79" ht="15.5" x14ac:dyDescent="0.35">
      <c r="A79" s="19" t="s">
        <v>82</v>
      </c>
      <c r="B79" s="26">
        <v>1770356</v>
      </c>
      <c r="C79" s="26">
        <v>15460787</v>
      </c>
      <c r="D79" s="26">
        <v>588262</v>
      </c>
      <c r="E79" s="24">
        <v>17819405</v>
      </c>
      <c r="F79" s="27">
        <v>-0.91098782513691079</v>
      </c>
      <c r="G79" s="27">
        <v>0.77528490056344435</v>
      </c>
      <c r="H79" s="27">
        <v>5.5193617128138195</v>
      </c>
      <c r="I79" s="27">
        <v>0.75447948339610882</v>
      </c>
      <c r="J79" s="27">
        <v>-0.96891105048618753</v>
      </c>
      <c r="K79" s="27">
        <v>2.3797714756133903</v>
      </c>
      <c r="L79" s="27">
        <v>39.457070856733758</v>
      </c>
      <c r="M79" s="27">
        <v>2.9374369039451897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</row>
    <row r="80" spans="1:79" ht="15.5" x14ac:dyDescent="0.35">
      <c r="A80" s="19" t="s">
        <v>83</v>
      </c>
      <c r="B80" s="26">
        <v>1719375</v>
      </c>
      <c r="C80" s="26">
        <v>15605766</v>
      </c>
      <c r="D80" s="26">
        <v>627242</v>
      </c>
      <c r="E80" s="24">
        <v>17952383</v>
      </c>
      <c r="F80" s="27">
        <v>-2.8797032913154164</v>
      </c>
      <c r="G80" s="27">
        <v>0.93772069947022363</v>
      </c>
      <c r="H80" s="27">
        <v>6.6262991660178683</v>
      </c>
      <c r="I80" s="27">
        <v>0.74625387323539183</v>
      </c>
      <c r="J80" s="27">
        <v>-5.5550520322657722</v>
      </c>
      <c r="K80" s="27">
        <v>2.7204679163216561</v>
      </c>
      <c r="L80" s="27">
        <v>37.111367109028158</v>
      </c>
      <c r="M80" s="27">
        <v>2.7586549939171423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</row>
    <row r="81" spans="1:79" ht="15.5" x14ac:dyDescent="0.35">
      <c r="A81" s="19" t="s">
        <v>84</v>
      </c>
      <c r="B81" s="26">
        <v>1612950</v>
      </c>
      <c r="C81" s="26">
        <v>15558674</v>
      </c>
      <c r="D81" s="26">
        <v>590940</v>
      </c>
      <c r="E81" s="24">
        <v>17762564</v>
      </c>
      <c r="F81" s="27">
        <v>-6.1897491821155892</v>
      </c>
      <c r="G81" s="27">
        <v>-0.30176025963736253</v>
      </c>
      <c r="H81" s="27">
        <v>-5.787558868825748</v>
      </c>
      <c r="I81" s="27">
        <v>-1.0573470942548457</v>
      </c>
      <c r="J81" s="27">
        <v>-6.882158692037688</v>
      </c>
      <c r="K81" s="27">
        <v>1.9592991758483169</v>
      </c>
      <c r="L81" s="27">
        <v>16.767176990381039</v>
      </c>
      <c r="M81" s="27">
        <v>1.5123441708978724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</row>
    <row r="82" spans="1:79" ht="15.5" x14ac:dyDescent="0.35">
      <c r="A82" s="19" t="s">
        <v>85</v>
      </c>
      <c r="B82" s="26">
        <v>1619142</v>
      </c>
      <c r="C82" s="26">
        <v>15736511</v>
      </c>
      <c r="D82" s="26">
        <v>587541</v>
      </c>
      <c r="E82" s="24">
        <v>17943194</v>
      </c>
      <c r="F82" s="27">
        <v>0.38389286710684978</v>
      </c>
      <c r="G82" s="27">
        <v>1.1430087165525737</v>
      </c>
      <c r="H82" s="27">
        <v>-0.57518529799979179</v>
      </c>
      <c r="I82" s="27">
        <v>1.0169139995779952</v>
      </c>
      <c r="J82" s="27">
        <v>-9.3746221941619741</v>
      </c>
      <c r="K82" s="27">
        <v>2.5724873750508692</v>
      </c>
      <c r="L82" s="27">
        <v>5.3900325027085527</v>
      </c>
      <c r="M82" s="27">
        <v>1.4544072453370971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</row>
    <row r="83" spans="1:79" ht="15.5" x14ac:dyDescent="0.35">
      <c r="A83" s="19" t="s">
        <v>86</v>
      </c>
      <c r="B83" s="26">
        <v>1678356</v>
      </c>
      <c r="C83" s="26">
        <v>15796323</v>
      </c>
      <c r="D83" s="26">
        <v>606147</v>
      </c>
      <c r="E83" s="24">
        <v>18080826</v>
      </c>
      <c r="F83" s="27">
        <v>3.6571221054113812</v>
      </c>
      <c r="G83" s="27">
        <v>0.38008425120410472</v>
      </c>
      <c r="H83" s="27">
        <v>3.166757724141811</v>
      </c>
      <c r="I83" s="27">
        <v>0.76704292446483358</v>
      </c>
      <c r="J83" s="27">
        <v>-5.1966949020422977</v>
      </c>
      <c r="K83" s="27">
        <v>2.1702388112584403</v>
      </c>
      <c r="L83" s="27">
        <v>3.0403119698365622</v>
      </c>
      <c r="M83" s="27">
        <v>1.4670579629342262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</row>
    <row r="84" spans="1:79" ht="15.5" x14ac:dyDescent="0.35">
      <c r="A84" s="19" t="s">
        <v>87</v>
      </c>
      <c r="B84" s="26">
        <v>1652169</v>
      </c>
      <c r="C84" s="26">
        <v>15826398</v>
      </c>
      <c r="D84" s="26">
        <v>605366</v>
      </c>
      <c r="E84" s="24">
        <v>18083933</v>
      </c>
      <c r="F84" s="27">
        <v>-1.5602768423385704</v>
      </c>
      <c r="G84" s="27">
        <v>0.19039240967659854</v>
      </c>
      <c r="H84" s="27">
        <v>-0.12884663291248266</v>
      </c>
      <c r="I84" s="27">
        <v>1.7183949450094715E-2</v>
      </c>
      <c r="J84" s="27">
        <v>-3.9087459105779709</v>
      </c>
      <c r="K84" s="27">
        <v>1.413785135571044</v>
      </c>
      <c r="L84" s="27">
        <v>-3.4876491051300751</v>
      </c>
      <c r="M84" s="27">
        <v>0.73277179971038553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</row>
    <row r="85" spans="1:79" ht="15.5" x14ac:dyDescent="0.35">
      <c r="A85" s="19" t="s">
        <v>88</v>
      </c>
      <c r="B85" s="26">
        <v>1635569</v>
      </c>
      <c r="C85" s="26">
        <v>15751151</v>
      </c>
      <c r="D85" s="26">
        <v>571013</v>
      </c>
      <c r="E85" s="24">
        <v>17957733</v>
      </c>
      <c r="F85" s="27">
        <v>-1.0047398298842269</v>
      </c>
      <c r="G85" s="27">
        <v>-0.47545246871714131</v>
      </c>
      <c r="H85" s="27">
        <v>-5.6747488296336464</v>
      </c>
      <c r="I85" s="27">
        <v>-0.6978570424918118</v>
      </c>
      <c r="J85" s="27">
        <v>1.4023373322173738</v>
      </c>
      <c r="K85" s="27">
        <v>1.2371041388231419</v>
      </c>
      <c r="L85" s="27">
        <v>-3.372085152468951</v>
      </c>
      <c r="M85" s="27">
        <v>1.0987659214063861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</row>
    <row r="86" spans="1:79" ht="15.5" x14ac:dyDescent="0.35">
      <c r="A86" s="19" t="s">
        <v>89</v>
      </c>
      <c r="B86" s="26">
        <v>1642589</v>
      </c>
      <c r="C86" s="26">
        <v>15848131</v>
      </c>
      <c r="D86" s="26">
        <v>538260</v>
      </c>
      <c r="E86" s="24">
        <v>18028980</v>
      </c>
      <c r="F86" s="27">
        <v>0.42920842838181095</v>
      </c>
      <c r="G86" s="27">
        <v>0.61570103670518517</v>
      </c>
      <c r="H86" s="27">
        <v>-5.7359464670681763</v>
      </c>
      <c r="I86" s="27">
        <v>0.39674829779461351</v>
      </c>
      <c r="J86" s="27">
        <v>1.4481126423747881</v>
      </c>
      <c r="K86" s="27">
        <v>0.7093058937905683</v>
      </c>
      <c r="L86" s="27">
        <v>-8.387669966861889</v>
      </c>
      <c r="M86" s="27">
        <v>0.47809771214646357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</row>
    <row r="87" spans="1:79" ht="15.5" x14ac:dyDescent="0.35">
      <c r="A87" s="19" t="s">
        <v>90</v>
      </c>
      <c r="B87" s="26">
        <v>1687990</v>
      </c>
      <c r="C87" s="26">
        <v>15779454</v>
      </c>
      <c r="D87" s="26">
        <v>554598</v>
      </c>
      <c r="E87" s="24">
        <v>18022042</v>
      </c>
      <c r="F87" s="27">
        <v>2.7639902617148993</v>
      </c>
      <c r="G87" s="27">
        <v>-0.4333444744998638</v>
      </c>
      <c r="H87" s="27">
        <v>3.0353360829338927</v>
      </c>
      <c r="I87" s="27">
        <v>-3.8482487639346363E-2</v>
      </c>
      <c r="J87" s="27">
        <v>0.57401409474509002</v>
      </c>
      <c r="K87" s="27">
        <v>-0.10679067527297192</v>
      </c>
      <c r="L87" s="27">
        <v>-8.5043727016713806</v>
      </c>
      <c r="M87" s="27">
        <v>-0.32511789007869663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</row>
    <row r="88" spans="1:79" ht="15.5" x14ac:dyDescent="0.35">
      <c r="A88" s="19" t="s">
        <v>91</v>
      </c>
      <c r="B88" s="26">
        <v>1621169</v>
      </c>
      <c r="C88" s="26">
        <v>15744682</v>
      </c>
      <c r="D88" s="26">
        <v>534519</v>
      </c>
      <c r="E88" s="24">
        <v>17900370</v>
      </c>
      <c r="F88" s="27">
        <v>-3.958613498895136</v>
      </c>
      <c r="G88" s="27">
        <v>-0.22036250430464976</v>
      </c>
      <c r="H88" s="27">
        <v>-3.6204602252442264</v>
      </c>
      <c r="I88" s="27">
        <v>-0.6751288228048713</v>
      </c>
      <c r="J88" s="27">
        <v>-1.8763213690609182</v>
      </c>
      <c r="K88" s="27">
        <v>-0.51632721482172128</v>
      </c>
      <c r="L88" s="27">
        <v>-11.703168000845764</v>
      </c>
      <c r="M88" s="27">
        <v>-1.0150612701340989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</row>
    <row r="89" spans="1:79" ht="15.5" x14ac:dyDescent="0.35">
      <c r="A89" s="28" t="s">
        <v>92</v>
      </c>
      <c r="B89" s="29">
        <v>1666953</v>
      </c>
      <c r="C89" s="29">
        <v>15475006</v>
      </c>
      <c r="D89" s="29">
        <v>381089</v>
      </c>
      <c r="E89" s="30">
        <v>17523048</v>
      </c>
      <c r="F89" s="31">
        <v>2.8241349297944973</v>
      </c>
      <c r="G89" s="31">
        <v>-1.7128069020384107</v>
      </c>
      <c r="H89" s="31">
        <v>-28.704311726991925</v>
      </c>
      <c r="I89" s="31">
        <v>-2.1079005629492609</v>
      </c>
      <c r="J89" s="31">
        <v>1.9188429225547754</v>
      </c>
      <c r="K89" s="31">
        <v>-1.7531734664977816</v>
      </c>
      <c r="L89" s="31">
        <v>-33.260888981511805</v>
      </c>
      <c r="M89" s="31">
        <v>-2.4206006404037694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</row>
    <row r="90" spans="1:79" customFormat="1" ht="14.5" x14ac:dyDescent="0.35"/>
    <row r="91" spans="1:79" ht="15.5" x14ac:dyDescent="0.35">
      <c r="A91" s="32" t="s">
        <v>93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</row>
    <row r="92" spans="1:79" ht="15.5" x14ac:dyDescent="0.35">
      <c r="A92" s="32" t="s">
        <v>94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</row>
    <row r="93" spans="1:79" ht="15.5" x14ac:dyDescent="0.35">
      <c r="A93" s="32" t="s">
        <v>95</v>
      </c>
    </row>
  </sheetData>
  <mergeCells count="3">
    <mergeCell ref="B5:E5"/>
    <mergeCell ref="F5:I5"/>
    <mergeCell ref="J5:M5"/>
  </mergeCells>
  <hyperlinks>
    <hyperlink ref="A1" location="Índice!A1" display="Menú Principal" xr:uid="{00000000-0004-0000-0300-000000000000}"/>
  </hyperlinks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4"/>
  <sheetViews>
    <sheetView workbookViewId="0">
      <selection activeCell="A18" sqref="A18:XFD19"/>
    </sheetView>
  </sheetViews>
  <sheetFormatPr defaultColWidth="12.08984375" defaultRowHeight="13" x14ac:dyDescent="0.3"/>
  <cols>
    <col min="1" max="1" width="16" style="2" customWidth="1"/>
    <col min="2" max="5" width="15.6328125" style="2" customWidth="1"/>
    <col min="6" max="6" width="16.36328125" style="2" customWidth="1"/>
    <col min="7" max="7" width="16.453125" style="2" customWidth="1"/>
    <col min="8" max="8" width="15.6328125" style="2" customWidth="1"/>
    <col min="9" max="9" width="14.453125" style="2" customWidth="1"/>
    <col min="10" max="10" width="15.6328125" style="2" customWidth="1"/>
    <col min="11" max="11" width="16.453125" style="2" customWidth="1"/>
    <col min="12" max="12" width="15.6328125" style="2" customWidth="1"/>
    <col min="13" max="13" width="14.36328125" style="2" customWidth="1"/>
    <col min="14" max="14" width="15.6328125" style="2" customWidth="1"/>
    <col min="15" max="15" width="16.36328125" style="2" customWidth="1"/>
    <col min="16" max="17" width="15.6328125" style="2" customWidth="1"/>
    <col min="18" max="16384" width="12.08984375" style="2"/>
  </cols>
  <sheetData>
    <row r="1" spans="1:17" x14ac:dyDescent="0.3">
      <c r="A1" s="1" t="s">
        <v>0</v>
      </c>
    </row>
    <row r="2" spans="1:17" x14ac:dyDescent="0.3">
      <c r="A2" s="1"/>
    </row>
    <row r="3" spans="1:17" s="5" customFormat="1" ht="21" x14ac:dyDescent="0.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3"/>
      <c r="M3" s="3"/>
      <c r="N3" s="4"/>
      <c r="O3" s="4"/>
      <c r="P3" s="3"/>
      <c r="Q3" s="3"/>
    </row>
    <row r="4" spans="1:17" x14ac:dyDescent="0.3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s="103" customFormat="1" ht="21" x14ac:dyDescent="0.35">
      <c r="A5" s="102"/>
      <c r="B5" s="224" t="s">
        <v>523</v>
      </c>
      <c r="C5" s="225"/>
      <c r="D5" s="225"/>
      <c r="E5" s="226"/>
      <c r="F5" s="230" t="s">
        <v>524</v>
      </c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2"/>
    </row>
    <row r="6" spans="1:17" s="103" customFormat="1" ht="15.5" x14ac:dyDescent="0.35">
      <c r="A6" s="104"/>
      <c r="B6" s="227"/>
      <c r="C6" s="228"/>
      <c r="D6" s="228"/>
      <c r="E6" s="229"/>
      <c r="F6" s="218" t="s">
        <v>525</v>
      </c>
      <c r="G6" s="222"/>
      <c r="H6" s="222"/>
      <c r="I6" s="223"/>
      <c r="J6" s="218" t="s">
        <v>3</v>
      </c>
      <c r="K6" s="222"/>
      <c r="L6" s="222"/>
      <c r="M6" s="223"/>
      <c r="N6" s="218" t="s">
        <v>4</v>
      </c>
      <c r="O6" s="222"/>
      <c r="P6" s="222"/>
      <c r="Q6" s="223"/>
    </row>
    <row r="7" spans="1:17" s="103" customFormat="1" ht="46.5" x14ac:dyDescent="0.35">
      <c r="A7" s="10" t="s">
        <v>5</v>
      </c>
      <c r="B7" s="11" t="s">
        <v>6</v>
      </c>
      <c r="C7" s="11" t="s">
        <v>7</v>
      </c>
      <c r="D7" s="11" t="s">
        <v>8</v>
      </c>
      <c r="E7" s="12" t="s">
        <v>9</v>
      </c>
      <c r="F7" s="11" t="s">
        <v>6</v>
      </c>
      <c r="G7" s="11" t="s">
        <v>7</v>
      </c>
      <c r="H7" s="11" t="s">
        <v>8</v>
      </c>
      <c r="I7" s="12" t="s">
        <v>9</v>
      </c>
      <c r="J7" s="11" t="s">
        <v>6</v>
      </c>
      <c r="K7" s="11" t="s">
        <v>7</v>
      </c>
      <c r="L7" s="11" t="s">
        <v>8</v>
      </c>
      <c r="M7" s="12" t="s">
        <v>9</v>
      </c>
      <c r="N7" s="11" t="s">
        <v>6</v>
      </c>
      <c r="O7" s="11" t="s">
        <v>7</v>
      </c>
      <c r="P7" s="11" t="s">
        <v>10</v>
      </c>
      <c r="Q7" s="12" t="s">
        <v>9</v>
      </c>
    </row>
    <row r="8" spans="1:17" s="103" customFormat="1" ht="15.5" x14ac:dyDescent="0.35">
      <c r="A8" s="13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</row>
    <row r="9" spans="1:17" s="103" customFormat="1" ht="15.5" x14ac:dyDescent="0.35">
      <c r="A9" s="10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1:17" s="103" customFormat="1" ht="15.5" x14ac:dyDescent="0.35">
      <c r="A10" s="19" t="s">
        <v>12</v>
      </c>
      <c r="B10" s="106">
        <v>332388</v>
      </c>
      <c r="C10" s="106">
        <v>3290847</v>
      </c>
      <c r="D10" s="106">
        <v>195891</v>
      </c>
      <c r="E10" s="106">
        <v>3819126</v>
      </c>
      <c r="F10" s="107">
        <v>27.280987075535112</v>
      </c>
      <c r="G10" s="107">
        <v>43.843598310550746</v>
      </c>
      <c r="H10" s="107">
        <v>47.740798689809466</v>
      </c>
      <c r="I10" s="107">
        <v>41.809509285969909</v>
      </c>
      <c r="J10" s="107"/>
      <c r="K10" s="107"/>
      <c r="L10" s="107"/>
      <c r="M10" s="107"/>
      <c r="N10" s="107"/>
      <c r="O10" s="107"/>
      <c r="P10" s="107"/>
      <c r="Q10" s="108"/>
    </row>
    <row r="11" spans="1:17" s="103" customFormat="1" ht="15.5" x14ac:dyDescent="0.35">
      <c r="A11" s="19" t="s">
        <v>13</v>
      </c>
      <c r="B11" s="106">
        <v>369840</v>
      </c>
      <c r="C11" s="106">
        <v>3806141</v>
      </c>
      <c r="D11" s="106">
        <v>226498</v>
      </c>
      <c r="E11" s="106">
        <v>4402479</v>
      </c>
      <c r="F11" s="107">
        <v>31.028251279839857</v>
      </c>
      <c r="G11" s="107">
        <v>49.343314850802287</v>
      </c>
      <c r="H11" s="107">
        <v>54.593880610685552</v>
      </c>
      <c r="I11" s="107">
        <v>47.234800943391569</v>
      </c>
      <c r="J11" s="107">
        <v>13.735808729828536</v>
      </c>
      <c r="K11" s="107">
        <v>12.543944275048391</v>
      </c>
      <c r="L11" s="107">
        <v>14.354770152471108</v>
      </c>
      <c r="M11" s="107">
        <v>12.976214622165472</v>
      </c>
      <c r="N11" s="107"/>
      <c r="O11" s="107"/>
      <c r="P11" s="107"/>
      <c r="Q11" s="108"/>
    </row>
    <row r="12" spans="1:17" s="103" customFormat="1" ht="15.5" x14ac:dyDescent="0.35">
      <c r="A12" s="19" t="s">
        <v>14</v>
      </c>
      <c r="B12" s="106">
        <v>460321</v>
      </c>
      <c r="C12" s="106">
        <v>4150331</v>
      </c>
      <c r="D12" s="106">
        <v>296001</v>
      </c>
      <c r="E12" s="106">
        <v>4906653</v>
      </c>
      <c r="F12" s="107">
        <v>37.083544132479609</v>
      </c>
      <c r="G12" s="107">
        <v>53.142446378106136</v>
      </c>
      <c r="H12" s="107">
        <v>59.514436223258805</v>
      </c>
      <c r="I12" s="107">
        <v>51.386685079349192</v>
      </c>
      <c r="J12" s="107">
        <v>19.515417733432152</v>
      </c>
      <c r="K12" s="107">
        <v>7.6993844835742342</v>
      </c>
      <c r="L12" s="107">
        <v>9.0130167658573956</v>
      </c>
      <c r="M12" s="107">
        <v>8.7898838420710881</v>
      </c>
      <c r="N12" s="107"/>
      <c r="O12" s="107"/>
      <c r="P12" s="107"/>
      <c r="Q12" s="108"/>
    </row>
    <row r="13" spans="1:17" s="103" customFormat="1" ht="15.5" x14ac:dyDescent="0.35">
      <c r="A13" s="19" t="s">
        <v>15</v>
      </c>
      <c r="B13" s="106">
        <v>462506</v>
      </c>
      <c r="C13" s="106">
        <v>4400253</v>
      </c>
      <c r="D13" s="106">
        <v>327584</v>
      </c>
      <c r="E13" s="106">
        <v>5190343</v>
      </c>
      <c r="F13" s="107">
        <v>37.2637708996687</v>
      </c>
      <c r="G13" s="107">
        <v>55.465837718559072</v>
      </c>
      <c r="H13" s="107">
        <v>59.725460953210948</v>
      </c>
      <c r="I13" s="107">
        <v>53.382564781478145</v>
      </c>
      <c r="J13" s="107">
        <v>0.48600200278925421</v>
      </c>
      <c r="K13" s="107">
        <v>4.3720067456475498</v>
      </c>
      <c r="L13" s="107">
        <v>0.35457738213384715</v>
      </c>
      <c r="M13" s="107">
        <v>3.8840405818102441</v>
      </c>
      <c r="N13" s="107"/>
      <c r="O13" s="107"/>
      <c r="P13" s="107"/>
      <c r="Q13" s="108"/>
    </row>
    <row r="14" spans="1:17" s="103" customFormat="1" ht="15.5" x14ac:dyDescent="0.35">
      <c r="A14" s="19" t="s">
        <v>16</v>
      </c>
      <c r="B14" s="106">
        <v>336056</v>
      </c>
      <c r="C14" s="106">
        <v>5130098</v>
      </c>
      <c r="D14" s="106">
        <v>437928</v>
      </c>
      <c r="E14" s="106">
        <v>5904082</v>
      </c>
      <c r="F14" s="107">
        <v>26.769094495088368</v>
      </c>
      <c r="G14" s="107">
        <v>64.513158798181792</v>
      </c>
      <c r="H14" s="107">
        <v>89.01753608547088</v>
      </c>
      <c r="I14" s="107">
        <v>60.870822135433023</v>
      </c>
      <c r="J14" s="107">
        <v>-28.163216312264407</v>
      </c>
      <c r="K14" s="107">
        <v>16.31151976019909</v>
      </c>
      <c r="L14" s="107">
        <v>49.044535889320983</v>
      </c>
      <c r="M14" s="107">
        <v>14.027533867299379</v>
      </c>
      <c r="N14" s="107">
        <v>-1.8763711849187348</v>
      </c>
      <c r="O14" s="107">
        <v>47.143850605567231</v>
      </c>
      <c r="P14" s="107">
        <v>86.460089752273376</v>
      </c>
      <c r="Q14" s="108">
        <v>45.59085522646771</v>
      </c>
    </row>
    <row r="15" spans="1:17" s="103" customFormat="1" ht="15.5" x14ac:dyDescent="0.35">
      <c r="A15" s="19" t="s">
        <v>17</v>
      </c>
      <c r="B15" s="106">
        <v>327311</v>
      </c>
      <c r="C15" s="106">
        <v>5256978</v>
      </c>
      <c r="D15" s="106">
        <v>485331</v>
      </c>
      <c r="E15" s="106">
        <v>6069620</v>
      </c>
      <c r="F15" s="107">
        <v>26.562880413435352</v>
      </c>
      <c r="G15" s="107">
        <v>65.35168790677929</v>
      </c>
      <c r="H15" s="107">
        <v>92.256675017963531</v>
      </c>
      <c r="I15" s="107">
        <v>61.91965182450484</v>
      </c>
      <c r="J15" s="107">
        <v>-0.77034388178820468</v>
      </c>
      <c r="K15" s="107">
        <v>1.2997799584123504</v>
      </c>
      <c r="L15" s="107">
        <v>3.6387649837696712</v>
      </c>
      <c r="M15" s="107">
        <v>1.7230417666090458</v>
      </c>
      <c r="N15" s="107">
        <v>-14.391306896840216</v>
      </c>
      <c r="O15" s="107">
        <v>32.442840746271258</v>
      </c>
      <c r="P15" s="107">
        <v>68.987208796998971</v>
      </c>
      <c r="Q15" s="108">
        <v>31.089049996658801</v>
      </c>
    </row>
    <row r="16" spans="1:17" s="103" customFormat="1" ht="15.5" x14ac:dyDescent="0.35">
      <c r="A16" s="19" t="s">
        <v>18</v>
      </c>
      <c r="B16" s="106">
        <v>322417</v>
      </c>
      <c r="C16" s="106">
        <v>5336981</v>
      </c>
      <c r="D16" s="106">
        <v>500211</v>
      </c>
      <c r="E16" s="106">
        <v>6159609</v>
      </c>
      <c r="F16" s="107">
        <v>26.698459123038297</v>
      </c>
      <c r="G16" s="107">
        <v>65.594047967277831</v>
      </c>
      <c r="H16" s="107">
        <v>107.46156110157494</v>
      </c>
      <c r="I16" s="107">
        <v>62.792391811066906</v>
      </c>
      <c r="J16" s="107">
        <v>0.51040665580217581</v>
      </c>
      <c r="K16" s="107">
        <v>0.37085508922776178</v>
      </c>
      <c r="L16" s="107">
        <v>16.481068801418242</v>
      </c>
      <c r="M16" s="107">
        <v>1.4094717280317193</v>
      </c>
      <c r="N16" s="107">
        <v>-28.004564429820878</v>
      </c>
      <c r="O16" s="107">
        <v>23.4306142035297</v>
      </c>
      <c r="P16" s="107">
        <v>80.563856302780451</v>
      </c>
      <c r="Q16" s="108">
        <v>22.195840642581821</v>
      </c>
    </row>
    <row r="17" spans="1:17" s="103" customFormat="1" ht="15.5" x14ac:dyDescent="0.35">
      <c r="A17" s="19" t="s">
        <v>19</v>
      </c>
      <c r="B17" s="106">
        <v>286737</v>
      </c>
      <c r="C17" s="106">
        <v>5535621</v>
      </c>
      <c r="D17" s="106">
        <v>512655</v>
      </c>
      <c r="E17" s="106">
        <v>6335013</v>
      </c>
      <c r="F17" s="107">
        <v>23.939077191265827</v>
      </c>
      <c r="G17" s="107">
        <v>67.147018248718368</v>
      </c>
      <c r="H17" s="107">
        <v>104.98878751574357</v>
      </c>
      <c r="I17" s="107">
        <v>63.796038792745776</v>
      </c>
      <c r="J17" s="107">
        <v>-10.335360250777093</v>
      </c>
      <c r="K17" s="107">
        <v>2.3675475589115091</v>
      </c>
      <c r="L17" s="107">
        <v>-2.3010772972989479</v>
      </c>
      <c r="M17" s="107">
        <v>1.5983576238004948</v>
      </c>
      <c r="N17" s="107">
        <v>-35.757770581724287</v>
      </c>
      <c r="O17" s="107">
        <v>21.060135410612801</v>
      </c>
      <c r="P17" s="107">
        <v>75.785646255609478</v>
      </c>
      <c r="Q17" s="108">
        <v>19.507256824199537</v>
      </c>
    </row>
    <row r="18" spans="1:17" s="103" customFormat="1" ht="15.5" x14ac:dyDescent="0.35">
      <c r="A18" s="19" t="s">
        <v>20</v>
      </c>
      <c r="B18" s="106">
        <v>340321</v>
      </c>
      <c r="C18" s="106">
        <v>5858861</v>
      </c>
      <c r="D18" s="106">
        <v>538369</v>
      </c>
      <c r="E18" s="106">
        <v>6737551</v>
      </c>
      <c r="F18" s="107">
        <v>28.454100423482593</v>
      </c>
      <c r="G18" s="107">
        <v>70.52813451968828</v>
      </c>
      <c r="H18" s="107">
        <v>96.067843791543623</v>
      </c>
      <c r="I18" s="107">
        <v>66.949936036589804</v>
      </c>
      <c r="J18" s="107">
        <v>18.860473175900339</v>
      </c>
      <c r="K18" s="107">
        <v>5.0353930213936859</v>
      </c>
      <c r="L18" s="107">
        <v>-8.4970442418550682</v>
      </c>
      <c r="M18" s="107">
        <v>4.9437195530118938</v>
      </c>
      <c r="N18" s="107">
        <v>6.2945944200816895</v>
      </c>
      <c r="O18" s="107">
        <v>9.3236416160047177</v>
      </c>
      <c r="P18" s="107">
        <v>7.9201335108886051</v>
      </c>
      <c r="Q18" s="108">
        <v>9.9869094713904261</v>
      </c>
    </row>
    <row r="19" spans="1:17" s="103" customFormat="1" ht="15.5" x14ac:dyDescent="0.35">
      <c r="A19" s="19" t="s">
        <v>21</v>
      </c>
      <c r="B19" s="106">
        <v>394787</v>
      </c>
      <c r="C19" s="106">
        <v>6100775</v>
      </c>
      <c r="D19" s="106">
        <v>591065</v>
      </c>
      <c r="E19" s="106">
        <v>7086627</v>
      </c>
      <c r="F19" s="107">
        <v>32.724006850053136</v>
      </c>
      <c r="G19" s="107">
        <v>72.398743934557004</v>
      </c>
      <c r="H19" s="107">
        <v>103.19358628985653</v>
      </c>
      <c r="I19" s="107">
        <v>69.437128900397795</v>
      </c>
      <c r="J19" s="107">
        <v>15.006295623553356</v>
      </c>
      <c r="K19" s="107">
        <v>2.6522882359046873</v>
      </c>
      <c r="L19" s="107">
        <v>7.4174065088573826</v>
      </c>
      <c r="M19" s="107">
        <v>3.7150040926830386</v>
      </c>
      <c r="N19" s="107">
        <v>23.194496759099682</v>
      </c>
      <c r="O19" s="107">
        <v>10.783280820274999</v>
      </c>
      <c r="P19" s="107">
        <v>11.854872582133957</v>
      </c>
      <c r="Q19" s="108">
        <v>12.140696619547043</v>
      </c>
    </row>
    <row r="20" spans="1:17" s="103" customFormat="1" ht="15.5" x14ac:dyDescent="0.35">
      <c r="A20" s="19" t="s">
        <v>22</v>
      </c>
      <c r="B20" s="106">
        <v>416026</v>
      </c>
      <c r="C20" s="106">
        <v>6290885</v>
      </c>
      <c r="D20" s="106">
        <v>587221</v>
      </c>
      <c r="E20" s="106">
        <v>7294132</v>
      </c>
      <c r="F20" s="107">
        <v>34.987570096916244</v>
      </c>
      <c r="G20" s="107">
        <v>73.779213748540457</v>
      </c>
      <c r="H20" s="107">
        <v>105.14177158981852</v>
      </c>
      <c r="I20" s="107">
        <v>70.994591505252771</v>
      </c>
      <c r="J20" s="107">
        <v>6.917133519850216</v>
      </c>
      <c r="K20" s="107">
        <v>1.906759342719111</v>
      </c>
      <c r="L20" s="107">
        <v>1.8878937829428732</v>
      </c>
      <c r="M20" s="107">
        <v>2.2429824353611183</v>
      </c>
      <c r="N20" s="107">
        <v>31.047151207034318</v>
      </c>
      <c r="O20" s="107">
        <v>12.478519065244864</v>
      </c>
      <c r="P20" s="107">
        <v>-2.1587156262914409</v>
      </c>
      <c r="Q20" s="108">
        <v>13.062410043027306</v>
      </c>
    </row>
    <row r="21" spans="1:17" s="103" customFormat="1" ht="15.5" x14ac:dyDescent="0.35">
      <c r="A21" s="19" t="s">
        <v>23</v>
      </c>
      <c r="B21" s="106">
        <v>399758</v>
      </c>
      <c r="C21" s="106">
        <v>6438429</v>
      </c>
      <c r="D21" s="106">
        <v>592448</v>
      </c>
      <c r="E21" s="106">
        <v>7430635</v>
      </c>
      <c r="F21" s="107">
        <v>34.669465029855473</v>
      </c>
      <c r="G21" s="107">
        <v>74.782123594139222</v>
      </c>
      <c r="H21" s="107">
        <v>109.15388640366717</v>
      </c>
      <c r="I21" s="107">
        <v>72.104271138573722</v>
      </c>
      <c r="J21" s="107">
        <v>-0.90919451159258147</v>
      </c>
      <c r="K21" s="107">
        <v>1.3593392971317897</v>
      </c>
      <c r="L21" s="107">
        <v>3.8159094650799696</v>
      </c>
      <c r="M21" s="107">
        <v>1.5630481277420172</v>
      </c>
      <c r="N21" s="107">
        <v>44.823732146636907</v>
      </c>
      <c r="O21" s="107">
        <v>11.370728804575903</v>
      </c>
      <c r="P21" s="107">
        <v>3.9671844836754788</v>
      </c>
      <c r="Q21" s="108">
        <v>13.023116329869477</v>
      </c>
    </row>
    <row r="22" spans="1:17" s="103" customFormat="1" ht="15.5" x14ac:dyDescent="0.35">
      <c r="A22" s="19" t="s">
        <v>24</v>
      </c>
      <c r="B22" s="106">
        <v>539520</v>
      </c>
      <c r="C22" s="106">
        <v>6906805</v>
      </c>
      <c r="D22" s="106">
        <v>565104</v>
      </c>
      <c r="E22" s="106">
        <v>8011429</v>
      </c>
      <c r="F22" s="107">
        <v>46.607859720294101</v>
      </c>
      <c r="G22" s="107">
        <v>79.276573667772766</v>
      </c>
      <c r="H22" s="107">
        <v>99.101933447323418</v>
      </c>
      <c r="I22" s="107">
        <v>76.737178843703234</v>
      </c>
      <c r="J22" s="107">
        <v>34.434897337348367</v>
      </c>
      <c r="K22" s="107">
        <v>6.0100594334897783</v>
      </c>
      <c r="L22" s="107">
        <v>-9.2089739426868817</v>
      </c>
      <c r="M22" s="107">
        <v>6.4252888656564533</v>
      </c>
      <c r="N22" s="107">
        <v>63.800151917048751</v>
      </c>
      <c r="O22" s="107">
        <v>12.404183391015856</v>
      </c>
      <c r="P22" s="107">
        <v>3.1582780835212931</v>
      </c>
      <c r="Q22" s="108">
        <v>14.618748555285332</v>
      </c>
    </row>
    <row r="23" spans="1:17" s="103" customFormat="1" ht="15.5" x14ac:dyDescent="0.35">
      <c r="A23" s="19" t="s">
        <v>25</v>
      </c>
      <c r="B23" s="106">
        <v>440959</v>
      </c>
      <c r="C23" s="106">
        <v>6963355</v>
      </c>
      <c r="D23" s="106">
        <v>560764</v>
      </c>
      <c r="E23" s="106">
        <v>7965078</v>
      </c>
      <c r="F23" s="107">
        <v>41.152392800181424</v>
      </c>
      <c r="G23" s="107">
        <v>80.49255045497415</v>
      </c>
      <c r="H23" s="107">
        <v>108.18605028041819</v>
      </c>
      <c r="I23" s="107">
        <v>77.77795680040731</v>
      </c>
      <c r="J23" s="107">
        <v>-11.705036345484121</v>
      </c>
      <c r="K23" s="107">
        <v>1.5338412483582031</v>
      </c>
      <c r="L23" s="107">
        <v>9.1664375427380929</v>
      </c>
      <c r="M23" s="107">
        <v>1.3562890536071404</v>
      </c>
      <c r="N23" s="107">
        <v>25.755971720543137</v>
      </c>
      <c r="O23" s="107">
        <v>11.179484726604283</v>
      </c>
      <c r="P23" s="107">
        <v>4.8379595768079264</v>
      </c>
      <c r="Q23" s="108">
        <v>12.012057572215863</v>
      </c>
    </row>
    <row r="24" spans="1:17" s="103" customFormat="1" ht="15.5" x14ac:dyDescent="0.35">
      <c r="A24" s="19" t="s">
        <v>26</v>
      </c>
      <c r="B24" s="106">
        <v>509102</v>
      </c>
      <c r="C24" s="106">
        <v>7045127</v>
      </c>
      <c r="D24" s="106">
        <v>566236</v>
      </c>
      <c r="E24" s="106">
        <v>8120465</v>
      </c>
      <c r="F24" s="107">
        <v>40.243340429181565</v>
      </c>
      <c r="G24" s="107">
        <v>81.022372352099751</v>
      </c>
      <c r="H24" s="107">
        <v>112.34038838495664</v>
      </c>
      <c r="I24" s="107">
        <v>77.601006691174561</v>
      </c>
      <c r="J24" s="107">
        <v>-2.2089903141570222</v>
      </c>
      <c r="K24" s="107">
        <v>0.65822476009376185</v>
      </c>
      <c r="L24" s="107">
        <v>3.8399942448868574</v>
      </c>
      <c r="M24" s="107">
        <v>-0.2275067596424929</v>
      </c>
      <c r="N24" s="107">
        <v>15.021821514631451</v>
      </c>
      <c r="O24" s="107">
        <v>9.8173431723546756</v>
      </c>
      <c r="P24" s="107">
        <v>6.8465812267473725</v>
      </c>
      <c r="Q24" s="108">
        <v>9.3055189780660861</v>
      </c>
    </row>
    <row r="25" spans="1:17" s="103" customFormat="1" ht="15.5" x14ac:dyDescent="0.35">
      <c r="A25" s="19" t="s">
        <v>27</v>
      </c>
      <c r="B25" s="106">
        <v>587169</v>
      </c>
      <c r="C25" s="106">
        <v>7179216</v>
      </c>
      <c r="D25" s="106">
        <v>569501</v>
      </c>
      <c r="E25" s="106">
        <v>8335886</v>
      </c>
      <c r="F25" s="107">
        <v>39.591161912262379</v>
      </c>
      <c r="G25" s="107">
        <v>81.325676254931039</v>
      </c>
      <c r="H25" s="107">
        <v>112.73117768738186</v>
      </c>
      <c r="I25" s="107">
        <v>77.069937671978977</v>
      </c>
      <c r="J25" s="107">
        <v>-1.6205874312716695</v>
      </c>
      <c r="K25" s="107">
        <v>0.37434586772306933</v>
      </c>
      <c r="L25" s="107">
        <v>0.34786180468426853</v>
      </c>
      <c r="M25" s="107">
        <v>-0.68435841471626846</v>
      </c>
      <c r="N25" s="107">
        <v>14.196056611108965</v>
      </c>
      <c r="O25" s="107">
        <v>8.7501562489790565</v>
      </c>
      <c r="P25" s="107">
        <v>3.2772917223353293</v>
      </c>
      <c r="Q25" s="108">
        <v>6.8867855606805639</v>
      </c>
    </row>
    <row r="26" spans="1:17" s="103" customFormat="1" ht="15.5" x14ac:dyDescent="0.35">
      <c r="A26" s="19" t="s">
        <v>28</v>
      </c>
      <c r="B26" s="106">
        <v>704411</v>
      </c>
      <c r="C26" s="106">
        <v>7593729</v>
      </c>
      <c r="D26" s="106">
        <v>551133</v>
      </c>
      <c r="E26" s="106">
        <v>8849273</v>
      </c>
      <c r="F26" s="107">
        <v>42.860784941277259</v>
      </c>
      <c r="G26" s="107">
        <v>85.187617447055644</v>
      </c>
      <c r="H26" s="107">
        <v>103.24670945406724</v>
      </c>
      <c r="I26" s="107">
        <v>79.784916454723387</v>
      </c>
      <c r="J26" s="107">
        <v>8.2584669686145205</v>
      </c>
      <c r="K26" s="107">
        <v>4.7487354178508134</v>
      </c>
      <c r="L26" s="107">
        <v>-8.4133497297582345</v>
      </c>
      <c r="M26" s="107">
        <v>3.5227468254869443</v>
      </c>
      <c r="N26" s="107">
        <v>-8.0395770187775444</v>
      </c>
      <c r="O26" s="107">
        <v>7.4562301393782615</v>
      </c>
      <c r="P26" s="107">
        <v>4.182336168998102</v>
      </c>
      <c r="Q26" s="108">
        <v>3.97165709887215</v>
      </c>
    </row>
    <row r="27" spans="1:17" s="103" customFormat="1" ht="15.5" x14ac:dyDescent="0.35">
      <c r="A27" s="19" t="s">
        <v>29</v>
      </c>
      <c r="B27" s="106">
        <v>774451</v>
      </c>
      <c r="C27" s="106">
        <v>7702511</v>
      </c>
      <c r="D27" s="106">
        <v>564634</v>
      </c>
      <c r="E27" s="106">
        <v>9041596</v>
      </c>
      <c r="F27" s="107">
        <v>44.33782464697817</v>
      </c>
      <c r="G27" s="107">
        <v>85.656939692373868</v>
      </c>
      <c r="H27" s="107">
        <v>103.87607737805047</v>
      </c>
      <c r="I27" s="107">
        <v>80.137883735315484</v>
      </c>
      <c r="J27" s="107">
        <v>3.4461331208109458</v>
      </c>
      <c r="K27" s="107">
        <v>0.55092777493150891</v>
      </c>
      <c r="L27" s="107">
        <v>0.60957673838817339</v>
      </c>
      <c r="M27" s="107">
        <v>0.44239850873617481</v>
      </c>
      <c r="N27" s="107">
        <v>7.740575043263842</v>
      </c>
      <c r="O27" s="107">
        <v>6.4159840981664162</v>
      </c>
      <c r="P27" s="107">
        <v>-3.9838527159428372</v>
      </c>
      <c r="Q27" s="108">
        <v>3.0341847896109941</v>
      </c>
    </row>
    <row r="28" spans="1:17" s="103" customFormat="1" ht="15.5" x14ac:dyDescent="0.35">
      <c r="A28" s="19" t="s">
        <v>30</v>
      </c>
      <c r="B28" s="106">
        <v>847667</v>
      </c>
      <c r="C28" s="106">
        <v>7754905</v>
      </c>
      <c r="D28" s="106">
        <v>604897</v>
      </c>
      <c r="E28" s="106">
        <v>9207469</v>
      </c>
      <c r="F28" s="107">
        <v>49.149062496013769</v>
      </c>
      <c r="G28" s="107">
        <v>85.092705551053072</v>
      </c>
      <c r="H28" s="107">
        <v>107.03773501437735</v>
      </c>
      <c r="I28" s="107">
        <v>80.743976584299489</v>
      </c>
      <c r="J28" s="107">
        <v>10.851316877503848</v>
      </c>
      <c r="K28" s="107">
        <v>-0.65871386877370819</v>
      </c>
      <c r="L28" s="107">
        <v>3.0436821606386166</v>
      </c>
      <c r="M28" s="107">
        <v>0.75631252128625093</v>
      </c>
      <c r="N28" s="107">
        <v>22.129679027276804</v>
      </c>
      <c r="O28" s="107">
        <v>5.0237151551979053</v>
      </c>
      <c r="P28" s="107">
        <v>-4.7201664929345739</v>
      </c>
      <c r="Q28" s="108">
        <v>4.0501663923418807</v>
      </c>
    </row>
    <row r="29" spans="1:17" s="103" customFormat="1" ht="15.5" x14ac:dyDescent="0.35">
      <c r="A29" s="19" t="s">
        <v>31</v>
      </c>
      <c r="B29" s="106">
        <v>810428</v>
      </c>
      <c r="C29" s="106">
        <v>8010063</v>
      </c>
      <c r="D29" s="106">
        <v>672832</v>
      </c>
      <c r="E29" s="106">
        <v>9493323</v>
      </c>
      <c r="F29" s="107">
        <v>46.292130723912166</v>
      </c>
      <c r="G29" s="107">
        <v>86.397281128069963</v>
      </c>
      <c r="H29" s="107">
        <v>110.7394734200049</v>
      </c>
      <c r="I29" s="107">
        <v>81.63166805409125</v>
      </c>
      <c r="J29" s="107">
        <v>-5.81278996386414</v>
      </c>
      <c r="K29" s="107">
        <v>1.533122690797728</v>
      </c>
      <c r="L29" s="107">
        <v>3.4583489692960434</v>
      </c>
      <c r="M29" s="107">
        <v>1.0993903289677309</v>
      </c>
      <c r="N29" s="107">
        <v>16.925415895850058</v>
      </c>
      <c r="O29" s="107">
        <v>6.2361668622846755</v>
      </c>
      <c r="P29" s="107">
        <v>-1.7667732283434656</v>
      </c>
      <c r="Q29" s="108">
        <v>5.9189490998781791</v>
      </c>
    </row>
    <row r="30" spans="1:17" s="103" customFormat="1" ht="15.5" x14ac:dyDescent="0.35">
      <c r="A30" s="19" t="s">
        <v>32</v>
      </c>
      <c r="B30" s="106">
        <v>948146</v>
      </c>
      <c r="C30" s="106">
        <v>8381666</v>
      </c>
      <c r="D30" s="106">
        <v>528398</v>
      </c>
      <c r="E30" s="106">
        <v>9858210</v>
      </c>
      <c r="F30" s="107">
        <v>54.755549498209163</v>
      </c>
      <c r="G30" s="107">
        <v>88.700021969527967</v>
      </c>
      <c r="H30" s="107">
        <v>89.443161736327866</v>
      </c>
      <c r="I30" s="107">
        <v>83.744187599294378</v>
      </c>
      <c r="J30" s="107">
        <v>18.282629557004213</v>
      </c>
      <c r="K30" s="107">
        <v>2.6652931798218926</v>
      </c>
      <c r="L30" s="107">
        <v>-19.23100320597144</v>
      </c>
      <c r="M30" s="107">
        <v>2.5878676689582214</v>
      </c>
      <c r="N30" s="107">
        <v>27.752092205564338</v>
      </c>
      <c r="O30" s="107">
        <v>4.1231397563798344</v>
      </c>
      <c r="P30" s="107">
        <v>-13.369479560876806</v>
      </c>
      <c r="Q30" s="108">
        <v>4.9624306454188138</v>
      </c>
    </row>
    <row r="31" spans="1:17" s="103" customFormat="1" ht="15.5" x14ac:dyDescent="0.35">
      <c r="A31" s="19" t="s">
        <v>33</v>
      </c>
      <c r="B31" s="106">
        <v>1043477</v>
      </c>
      <c r="C31" s="106">
        <v>8568497</v>
      </c>
      <c r="D31" s="106">
        <v>609044</v>
      </c>
      <c r="E31" s="106">
        <v>10221018</v>
      </c>
      <c r="F31" s="107">
        <v>60.093617957416953</v>
      </c>
      <c r="G31" s="107">
        <v>89.267283958720228</v>
      </c>
      <c r="H31" s="107">
        <v>101.29208764708328</v>
      </c>
      <c r="I31" s="107">
        <v>85.629041003345066</v>
      </c>
      <c r="J31" s="107">
        <v>9.748908572970084</v>
      </c>
      <c r="K31" s="107">
        <v>0.63952857800546603</v>
      </c>
      <c r="L31" s="107">
        <v>13.247436339163876</v>
      </c>
      <c r="M31" s="107">
        <v>2.2507274332512317</v>
      </c>
      <c r="N31" s="107">
        <v>35.535783354027515</v>
      </c>
      <c r="O31" s="107">
        <v>4.2148882265844012</v>
      </c>
      <c r="P31" s="107">
        <v>-2.4875696081234633</v>
      </c>
      <c r="Q31" s="108">
        <v>6.852136607657533</v>
      </c>
    </row>
    <row r="32" spans="1:17" s="103" customFormat="1" ht="15.5" x14ac:dyDescent="0.35">
      <c r="A32" s="19" t="s">
        <v>34</v>
      </c>
      <c r="B32" s="106">
        <v>1230871</v>
      </c>
      <c r="C32" s="106">
        <v>8787060</v>
      </c>
      <c r="D32" s="106">
        <v>628042</v>
      </c>
      <c r="E32" s="106">
        <v>10645973</v>
      </c>
      <c r="F32" s="107">
        <v>72.707967466419987</v>
      </c>
      <c r="G32" s="107">
        <v>90.626394594755709</v>
      </c>
      <c r="H32" s="107">
        <v>111.53195230019269</v>
      </c>
      <c r="I32" s="107">
        <v>89.073336256713247</v>
      </c>
      <c r="J32" s="107">
        <v>20.991163351059527</v>
      </c>
      <c r="K32" s="107">
        <v>1.5225181900504259</v>
      </c>
      <c r="L32" s="107">
        <v>10.109244355577518</v>
      </c>
      <c r="M32" s="107">
        <v>4.0223447711315918</v>
      </c>
      <c r="N32" s="107">
        <v>47.933579551628199</v>
      </c>
      <c r="O32" s="107">
        <v>6.5031297428691959</v>
      </c>
      <c r="P32" s="107">
        <v>4.1987223339616353</v>
      </c>
      <c r="Q32" s="108">
        <v>10.315765986231341</v>
      </c>
    </row>
    <row r="33" spans="1:17" s="103" customFormat="1" ht="15.5" x14ac:dyDescent="0.35">
      <c r="A33" s="19" t="s">
        <v>35</v>
      </c>
      <c r="B33" s="106">
        <v>1158075</v>
      </c>
      <c r="C33" s="106">
        <v>9087352</v>
      </c>
      <c r="D33" s="106">
        <v>536457</v>
      </c>
      <c r="E33" s="106">
        <v>10781884</v>
      </c>
      <c r="F33" s="107">
        <v>65.085805974804771</v>
      </c>
      <c r="G33" s="107">
        <v>92.729567198168382</v>
      </c>
      <c r="H33" s="107">
        <v>94.107668503945291</v>
      </c>
      <c r="I33" s="107">
        <v>88.745673169759243</v>
      </c>
      <c r="J33" s="107">
        <v>-10.4832548030386</v>
      </c>
      <c r="K33" s="107">
        <v>2.3207064705786928</v>
      </c>
      <c r="L33" s="107">
        <v>-15.622683398699277</v>
      </c>
      <c r="M33" s="107">
        <v>-0.36785765608875476</v>
      </c>
      <c r="N33" s="107">
        <v>40.597991401559639</v>
      </c>
      <c r="O33" s="107">
        <v>7.3292654437954186</v>
      </c>
      <c r="P33" s="107">
        <v>-15.018858589817984</v>
      </c>
      <c r="Q33" s="108">
        <v>8.7147614219448055</v>
      </c>
    </row>
    <row r="34" spans="1:17" s="103" customFormat="1" ht="15.5" x14ac:dyDescent="0.35">
      <c r="A34" s="19" t="s">
        <v>36</v>
      </c>
      <c r="B34" s="106">
        <v>1377519</v>
      </c>
      <c r="C34" s="106">
        <v>9391938</v>
      </c>
      <c r="D34" s="106">
        <v>543132</v>
      </c>
      <c r="E34" s="106">
        <v>11312589</v>
      </c>
      <c r="F34" s="107">
        <v>75.697631287556362</v>
      </c>
      <c r="G34" s="107">
        <v>94.967988033469155</v>
      </c>
      <c r="H34" s="107">
        <v>95.492714076741308</v>
      </c>
      <c r="I34" s="107">
        <v>92.136195813755137</v>
      </c>
      <c r="J34" s="107">
        <v>16.304361840213687</v>
      </c>
      <c r="K34" s="107">
        <v>2.4139235229224454</v>
      </c>
      <c r="L34" s="107">
        <v>1.4717669609867645</v>
      </c>
      <c r="M34" s="107">
        <v>3.8204934650844846</v>
      </c>
      <c r="N34" s="107">
        <v>38.246501005404276</v>
      </c>
      <c r="O34" s="107">
        <v>7.0664763376208528</v>
      </c>
      <c r="P34" s="107">
        <v>6.7635716615732866</v>
      </c>
      <c r="Q34" s="108">
        <v>10.021003791469663</v>
      </c>
    </row>
    <row r="35" spans="1:17" s="103" customFormat="1" ht="15.5" x14ac:dyDescent="0.35">
      <c r="A35" s="19" t="s">
        <v>37</v>
      </c>
      <c r="B35" s="106">
        <v>1602913</v>
      </c>
      <c r="C35" s="106">
        <v>9556770</v>
      </c>
      <c r="D35" s="106">
        <v>567501</v>
      </c>
      <c r="E35" s="106">
        <v>11727184</v>
      </c>
      <c r="F35" s="107">
        <v>86.207317532282431</v>
      </c>
      <c r="G35" s="107">
        <v>95.412635384972347</v>
      </c>
      <c r="H35" s="107">
        <v>99.31694562866204</v>
      </c>
      <c r="I35" s="107">
        <v>94.216755070649</v>
      </c>
      <c r="J35" s="107">
        <v>13.883771613410723</v>
      </c>
      <c r="K35" s="107">
        <v>0.46820761470327543</v>
      </c>
      <c r="L35" s="107">
        <v>4.0047364753372117</v>
      </c>
      <c r="M35" s="107">
        <v>2.2581345349872217</v>
      </c>
      <c r="N35" s="107">
        <v>43.455029772662314</v>
      </c>
      <c r="O35" s="107">
        <v>6.8842146346626887</v>
      </c>
      <c r="P35" s="107">
        <v>-1.9499469941847036</v>
      </c>
      <c r="Q35" s="108">
        <v>10.028973776511707</v>
      </c>
    </row>
    <row r="36" spans="1:17" s="103" customFormat="1" ht="15.5" x14ac:dyDescent="0.35">
      <c r="A36" s="19" t="s">
        <v>38</v>
      </c>
      <c r="B36" s="106">
        <v>1587156</v>
      </c>
      <c r="C36" s="106">
        <v>9768533</v>
      </c>
      <c r="D36" s="106">
        <v>586044</v>
      </c>
      <c r="E36" s="106">
        <v>11941733</v>
      </c>
      <c r="F36" s="107">
        <v>86.136249050939128</v>
      </c>
      <c r="G36" s="107">
        <v>96.156802240228885</v>
      </c>
      <c r="H36" s="107">
        <v>99.090163587944375</v>
      </c>
      <c r="I36" s="107">
        <v>94.828356202391205</v>
      </c>
      <c r="J36" s="107">
        <v>-8.2439035777548408E-2</v>
      </c>
      <c r="K36" s="107">
        <v>0.77994581352245351</v>
      </c>
      <c r="L36" s="107">
        <v>-0.22834173894713539</v>
      </c>
      <c r="M36" s="107">
        <v>0.64914264058828497</v>
      </c>
      <c r="N36" s="107">
        <v>18.46878966974419</v>
      </c>
      <c r="O36" s="107">
        <v>6.1024248732423958</v>
      </c>
      <c r="P36" s="107">
        <v>-11.155358133390102</v>
      </c>
      <c r="Q36" s="108">
        <v>6.4609906707566722</v>
      </c>
    </row>
    <row r="37" spans="1:17" s="103" customFormat="1" ht="15.5" x14ac:dyDescent="0.35">
      <c r="A37" s="19" t="s">
        <v>39</v>
      </c>
      <c r="B37" s="106">
        <v>1251772</v>
      </c>
      <c r="C37" s="106">
        <v>9960546</v>
      </c>
      <c r="D37" s="106">
        <v>608220</v>
      </c>
      <c r="E37" s="106">
        <v>11820538</v>
      </c>
      <c r="F37" s="107">
        <v>71.609990841175915</v>
      </c>
      <c r="G37" s="107">
        <v>97.200714327536744</v>
      </c>
      <c r="H37" s="107">
        <v>101.19560623858217</v>
      </c>
      <c r="I37" s="107">
        <v>93.84004652095129</v>
      </c>
      <c r="J37" s="107">
        <v>-16.864279986434859</v>
      </c>
      <c r="K37" s="107">
        <v>1.085635194793455</v>
      </c>
      <c r="L37" s="107">
        <v>2.1247746238395981</v>
      </c>
      <c r="M37" s="107">
        <v>-1.0422090195580047</v>
      </c>
      <c r="N37" s="107">
        <v>10.023974918427992</v>
      </c>
      <c r="O37" s="107">
        <v>4.8217060258819666</v>
      </c>
      <c r="P37" s="107">
        <v>7.5317323734778618</v>
      </c>
      <c r="Q37" s="108">
        <v>5.7404188499952546</v>
      </c>
    </row>
    <row r="38" spans="1:17" s="103" customFormat="1" ht="15.5" x14ac:dyDescent="0.35">
      <c r="A38" s="19" t="s">
        <v>40</v>
      </c>
      <c r="B38" s="106">
        <v>1262814</v>
      </c>
      <c r="C38" s="106">
        <v>10109986</v>
      </c>
      <c r="D38" s="106">
        <v>599301</v>
      </c>
      <c r="E38" s="106">
        <v>11972101</v>
      </c>
      <c r="F38" s="107">
        <v>75.791471333340127</v>
      </c>
      <c r="G38" s="107">
        <v>98.484754908999378</v>
      </c>
      <c r="H38" s="107">
        <v>97.134276202547241</v>
      </c>
      <c r="I38" s="107">
        <v>95.405223734598493</v>
      </c>
      <c r="J38" s="107">
        <v>5.8392417636783822</v>
      </c>
      <c r="K38" s="107">
        <v>1.3210196965588228</v>
      </c>
      <c r="L38" s="107">
        <v>-4.0133462182733499</v>
      </c>
      <c r="M38" s="107">
        <v>1.6679203300456136</v>
      </c>
      <c r="N38" s="107">
        <v>0.12396695139282876</v>
      </c>
      <c r="O38" s="107">
        <v>3.7031076980285516</v>
      </c>
      <c r="P38" s="107">
        <v>1.7190443707429948</v>
      </c>
      <c r="Q38" s="108">
        <v>3.5480387397927693</v>
      </c>
    </row>
    <row r="39" spans="1:17" s="103" customFormat="1" ht="15.5" x14ac:dyDescent="0.35">
      <c r="A39" s="19" t="s">
        <v>41</v>
      </c>
      <c r="B39" s="106">
        <v>1585173</v>
      </c>
      <c r="C39" s="106">
        <v>10287446</v>
      </c>
      <c r="D39" s="106">
        <v>610416</v>
      </c>
      <c r="E39" s="106">
        <v>12483035</v>
      </c>
      <c r="F39" s="107">
        <v>95.763602686646152</v>
      </c>
      <c r="G39" s="107">
        <v>98.857009971757734</v>
      </c>
      <c r="H39" s="107">
        <v>105.30114579272227</v>
      </c>
      <c r="I39" s="107">
        <v>98.747454192874912</v>
      </c>
      <c r="J39" s="107">
        <v>26.35142319043544</v>
      </c>
      <c r="K39" s="107">
        <v>0.37798242286566364</v>
      </c>
      <c r="L39" s="107">
        <v>8.407814326165596</v>
      </c>
      <c r="M39" s="107">
        <v>3.5031944032477114</v>
      </c>
      <c r="N39" s="107">
        <v>11.085236645700224</v>
      </c>
      <c r="O39" s="107">
        <v>3.6099774132513751</v>
      </c>
      <c r="P39" s="107">
        <v>6.0253566258820168</v>
      </c>
      <c r="Q39" s="108">
        <v>4.8088040379108188</v>
      </c>
    </row>
    <row r="40" spans="1:17" s="103" customFormat="1" ht="15.5" x14ac:dyDescent="0.35">
      <c r="A40" s="19" t="s">
        <v>42</v>
      </c>
      <c r="B40" s="106">
        <v>1746306</v>
      </c>
      <c r="C40" s="106">
        <v>10507783</v>
      </c>
      <c r="D40" s="106">
        <v>668948</v>
      </c>
      <c r="E40" s="106">
        <v>12923037</v>
      </c>
      <c r="F40" s="107">
        <v>103.24978818582416</v>
      </c>
      <c r="G40" s="107">
        <v>100.09150160070648</v>
      </c>
      <c r="H40" s="107">
        <v>105.84955220101901</v>
      </c>
      <c r="I40" s="107">
        <v>100.79194334390569</v>
      </c>
      <c r="J40" s="107">
        <v>7.8173599250166204</v>
      </c>
      <c r="K40" s="107">
        <v>1.2487648870843193</v>
      </c>
      <c r="L40" s="107">
        <v>0.52079813962921939</v>
      </c>
      <c r="M40" s="107">
        <v>2.0704221366937281</v>
      </c>
      <c r="N40" s="107">
        <v>19.867987430895042</v>
      </c>
      <c r="O40" s="107">
        <v>4.0919615345022864</v>
      </c>
      <c r="P40" s="107">
        <v>6.8214526733277214</v>
      </c>
      <c r="Q40" s="108">
        <v>6.2888226479286935</v>
      </c>
    </row>
    <row r="41" spans="1:17" s="103" customFormat="1" ht="15.5" x14ac:dyDescent="0.35">
      <c r="A41" s="19" t="s">
        <v>43</v>
      </c>
      <c r="B41" s="106">
        <v>2156981</v>
      </c>
      <c r="C41" s="106">
        <v>10854414</v>
      </c>
      <c r="D41" s="106">
        <v>618209</v>
      </c>
      <c r="E41" s="106">
        <v>13629604</v>
      </c>
      <c r="F41" s="107">
        <v>124.07380989907193</v>
      </c>
      <c r="G41" s="107">
        <v>102.50139571848717</v>
      </c>
      <c r="H41" s="107">
        <v>92.514957514373876</v>
      </c>
      <c r="I41" s="107">
        <v>104.87360170880456</v>
      </c>
      <c r="J41" s="107">
        <v>20.168585407429273</v>
      </c>
      <c r="K41" s="107">
        <v>2.4076910419372544</v>
      </c>
      <c r="L41" s="107">
        <v>-12.597686442094147</v>
      </c>
      <c r="M41" s="107">
        <v>4.0495879228879428</v>
      </c>
      <c r="N41" s="107">
        <v>73.263267375994687</v>
      </c>
      <c r="O41" s="107">
        <v>5.4533358397848231</v>
      </c>
      <c r="P41" s="107">
        <v>-8.5780885622074425</v>
      </c>
      <c r="Q41" s="108">
        <v>11.757832180304661</v>
      </c>
    </row>
    <row r="42" spans="1:17" s="103" customFormat="1" ht="15.5" x14ac:dyDescent="0.35">
      <c r="A42" s="19" t="s">
        <v>44</v>
      </c>
      <c r="B42" s="106">
        <v>2450552</v>
      </c>
      <c r="C42" s="106">
        <v>11581175</v>
      </c>
      <c r="D42" s="106">
        <v>474144</v>
      </c>
      <c r="E42" s="106">
        <v>14505871</v>
      </c>
      <c r="F42" s="107">
        <v>141.80072979100387</v>
      </c>
      <c r="G42" s="107">
        <v>106.65649511294816</v>
      </c>
      <c r="H42" s="107">
        <v>76.84206943829949</v>
      </c>
      <c r="I42" s="107">
        <v>109.86308269190425</v>
      </c>
      <c r="J42" s="107">
        <v>14.287398691433694</v>
      </c>
      <c r="K42" s="107">
        <v>4.0537003085037826</v>
      </c>
      <c r="L42" s="107">
        <v>-16.940923389214458</v>
      </c>
      <c r="M42" s="107">
        <v>4.7576138339881391</v>
      </c>
      <c r="N42" s="107">
        <v>87.093253761161307</v>
      </c>
      <c r="O42" s="107">
        <v>8.2974671678875964</v>
      </c>
      <c r="P42" s="107">
        <v>-20.890881733584798</v>
      </c>
      <c r="Q42" s="108">
        <v>15.154158641800496</v>
      </c>
    </row>
    <row r="43" spans="1:17" s="103" customFormat="1" ht="15.5" x14ac:dyDescent="0.35">
      <c r="A43" s="19" t="s">
        <v>45</v>
      </c>
      <c r="B43" s="106">
        <v>2981374</v>
      </c>
      <c r="C43" s="106">
        <v>12230997</v>
      </c>
      <c r="D43" s="106">
        <v>576552</v>
      </c>
      <c r="E43" s="106">
        <v>15788923</v>
      </c>
      <c r="F43" s="107">
        <v>177.56050206214729</v>
      </c>
      <c r="G43" s="107">
        <v>110.67275223684607</v>
      </c>
      <c r="H43" s="107">
        <v>81.504927316602178</v>
      </c>
      <c r="I43" s="107">
        <v>117.49497468216148</v>
      </c>
      <c r="J43" s="107">
        <v>25.218327383680418</v>
      </c>
      <c r="K43" s="107">
        <v>3.765600134942293</v>
      </c>
      <c r="L43" s="107">
        <v>6.0681055473743362</v>
      </c>
      <c r="M43" s="107">
        <v>6.9467302420957999</v>
      </c>
      <c r="N43" s="107">
        <v>85.415436638441534</v>
      </c>
      <c r="O43" s="107">
        <v>11.952356508116058</v>
      </c>
      <c r="P43" s="107">
        <v>-22.598252181378186</v>
      </c>
      <c r="Q43" s="108">
        <v>18.985320322961098</v>
      </c>
    </row>
    <row r="44" spans="1:17" s="103" customFormat="1" ht="15.5" x14ac:dyDescent="0.35">
      <c r="A44" s="19" t="s">
        <v>46</v>
      </c>
      <c r="B44" s="106">
        <v>2859228</v>
      </c>
      <c r="C44" s="106">
        <v>12941154</v>
      </c>
      <c r="D44" s="106">
        <v>413083</v>
      </c>
      <c r="E44" s="106">
        <v>16213465</v>
      </c>
      <c r="F44" s="107">
        <v>168.71488337237639</v>
      </c>
      <c r="G44" s="107">
        <v>114.48814737539421</v>
      </c>
      <c r="H44" s="107">
        <v>59.777262288415812</v>
      </c>
      <c r="I44" s="107">
        <v>118.43952565647386</v>
      </c>
      <c r="J44" s="107">
        <v>-4.9817490866718046</v>
      </c>
      <c r="K44" s="107">
        <v>3.4474566335740642</v>
      </c>
      <c r="L44" s="107">
        <v>-26.658099999017537</v>
      </c>
      <c r="M44" s="107">
        <v>0.80390755167827344</v>
      </c>
      <c r="N44" s="107">
        <v>63.404580616408836</v>
      </c>
      <c r="O44" s="107">
        <v>14.383484655990131</v>
      </c>
      <c r="P44" s="107">
        <v>-43.526202005188694</v>
      </c>
      <c r="Q44" s="108">
        <v>17.508921573576576</v>
      </c>
    </row>
    <row r="45" spans="1:17" s="103" customFormat="1" ht="15.5" x14ac:dyDescent="0.35">
      <c r="A45" s="19" t="s">
        <v>47</v>
      </c>
      <c r="B45" s="106">
        <v>1482008</v>
      </c>
      <c r="C45" s="106">
        <v>13024414</v>
      </c>
      <c r="D45" s="106">
        <v>747954</v>
      </c>
      <c r="E45" s="106">
        <v>15254376</v>
      </c>
      <c r="F45" s="107">
        <v>87.230048882702121</v>
      </c>
      <c r="G45" s="107">
        <v>113.35685865961342</v>
      </c>
      <c r="H45" s="107">
        <v>102.33090761331314</v>
      </c>
      <c r="I45" s="107">
        <v>109.58897102630696</v>
      </c>
      <c r="J45" s="107">
        <v>-48.297359937016523</v>
      </c>
      <c r="K45" s="107">
        <v>-0.98812736664469769</v>
      </c>
      <c r="L45" s="107">
        <v>71.187009400970453</v>
      </c>
      <c r="M45" s="107">
        <v>-7.4726359980850976</v>
      </c>
      <c r="N45" s="107">
        <v>-29.695034791258877</v>
      </c>
      <c r="O45" s="107">
        <v>10.590551343261723</v>
      </c>
      <c r="P45" s="107">
        <v>10.61012225770539</v>
      </c>
      <c r="Q45" s="108">
        <v>4.4962404653510868</v>
      </c>
    </row>
    <row r="46" spans="1:17" s="103" customFormat="1" ht="15.5" x14ac:dyDescent="0.35">
      <c r="A46" s="19" t="s">
        <v>48</v>
      </c>
      <c r="B46" s="106">
        <v>1054725</v>
      </c>
      <c r="C46" s="106">
        <v>13042531</v>
      </c>
      <c r="D46" s="106">
        <v>924747</v>
      </c>
      <c r="E46" s="106">
        <v>15022003</v>
      </c>
      <c r="F46" s="107">
        <v>59.780042769461495</v>
      </c>
      <c r="G46" s="107">
        <v>114.79594535611568</v>
      </c>
      <c r="H46" s="107">
        <v>155.32490262243371</v>
      </c>
      <c r="I46" s="107">
        <v>109.48026618960431</v>
      </c>
      <c r="J46" s="107">
        <v>-31.468520842115467</v>
      </c>
      <c r="K46" s="107">
        <v>1.2695188571020033</v>
      </c>
      <c r="L46" s="107">
        <v>51.786890437221246</v>
      </c>
      <c r="M46" s="107">
        <v>-9.9193226913829591E-2</v>
      </c>
      <c r="N46" s="107">
        <v>-57.842217837969081</v>
      </c>
      <c r="O46" s="107">
        <v>7.6314623263664449</v>
      </c>
      <c r="P46" s="107">
        <v>102.13524148663407</v>
      </c>
      <c r="Q46" s="108">
        <v>-0.3484487171851014</v>
      </c>
    </row>
    <row r="47" spans="1:17" s="103" customFormat="1" ht="15.5" x14ac:dyDescent="0.35">
      <c r="A47" s="19" t="s">
        <v>49</v>
      </c>
      <c r="B47" s="106">
        <v>1525729</v>
      </c>
      <c r="C47" s="106">
        <v>13139527</v>
      </c>
      <c r="D47" s="106">
        <v>923613</v>
      </c>
      <c r="E47" s="106">
        <v>15588869</v>
      </c>
      <c r="F47" s="107">
        <v>84.67931309881989</v>
      </c>
      <c r="G47" s="107">
        <v>116.26196196380425</v>
      </c>
      <c r="H47" s="107">
        <v>164.84229012620003</v>
      </c>
      <c r="I47" s="107">
        <v>114.08941043185132</v>
      </c>
      <c r="J47" s="107">
        <v>41.651476271740194</v>
      </c>
      <c r="K47" s="107">
        <v>1.2770630557906504</v>
      </c>
      <c r="L47" s="107">
        <v>6.1274060650154283</v>
      </c>
      <c r="M47" s="107">
        <v>4.2100228677418805</v>
      </c>
      <c r="N47" s="107">
        <v>-52.309600324749248</v>
      </c>
      <c r="O47" s="107">
        <v>5.0502130054531857</v>
      </c>
      <c r="P47" s="107">
        <v>102.24825118348693</v>
      </c>
      <c r="Q47" s="108">
        <v>-2.8984765174192684</v>
      </c>
    </row>
    <row r="48" spans="1:17" s="103" customFormat="1" ht="15.5" x14ac:dyDescent="0.35">
      <c r="A48" s="19" t="s">
        <v>50</v>
      </c>
      <c r="B48" s="106">
        <v>1617564</v>
      </c>
      <c r="C48" s="106">
        <v>13352010</v>
      </c>
      <c r="D48" s="106">
        <v>810403</v>
      </c>
      <c r="E48" s="106">
        <v>15779977</v>
      </c>
      <c r="F48" s="107">
        <v>97.024713181103024</v>
      </c>
      <c r="G48" s="107">
        <v>117.28085352851552</v>
      </c>
      <c r="H48" s="107">
        <v>153.57500208454934</v>
      </c>
      <c r="I48" s="107">
        <v>116.20436091006263</v>
      </c>
      <c r="J48" s="107">
        <v>14.579003573016912</v>
      </c>
      <c r="K48" s="107">
        <v>0.87637568427452184</v>
      </c>
      <c r="L48" s="107">
        <v>-6.8351926153323088</v>
      </c>
      <c r="M48" s="107">
        <v>1.853765805437857</v>
      </c>
      <c r="N48" s="107">
        <v>-42.49190632046583</v>
      </c>
      <c r="O48" s="107">
        <v>2.4392971824099163</v>
      </c>
      <c r="P48" s="107">
        <v>156.91207025101667</v>
      </c>
      <c r="Q48" s="108">
        <v>-1.8871780632541357</v>
      </c>
    </row>
    <row r="49" spans="1:17" s="103" customFormat="1" ht="15.5" x14ac:dyDescent="0.35">
      <c r="A49" s="19" t="s">
        <v>51</v>
      </c>
      <c r="B49" s="106">
        <v>1696508</v>
      </c>
      <c r="C49" s="106">
        <v>13584681</v>
      </c>
      <c r="D49" s="106">
        <v>847648</v>
      </c>
      <c r="E49" s="106">
        <v>16128837</v>
      </c>
      <c r="F49" s="107">
        <v>106.28430808709194</v>
      </c>
      <c r="G49" s="107">
        <v>118.39290215052227</v>
      </c>
      <c r="H49" s="107">
        <v>162.11572372271291</v>
      </c>
      <c r="I49" s="107">
        <v>118.65284368034253</v>
      </c>
      <c r="J49" s="107">
        <v>9.5435426732004558</v>
      </c>
      <c r="K49" s="107">
        <v>0.94819281114488785</v>
      </c>
      <c r="L49" s="107">
        <v>5.5612707291135655</v>
      </c>
      <c r="M49" s="107">
        <v>2.1070489533305148</v>
      </c>
      <c r="N49" s="107">
        <v>21.843687408695601</v>
      </c>
      <c r="O49" s="107">
        <v>4.4426455976792845</v>
      </c>
      <c r="P49" s="107">
        <v>58.423029272166673</v>
      </c>
      <c r="Q49" s="108">
        <v>8.2707890850254984</v>
      </c>
    </row>
    <row r="50" spans="1:17" s="103" customFormat="1" ht="15.5" x14ac:dyDescent="0.35">
      <c r="A50" s="19" t="s">
        <v>52</v>
      </c>
      <c r="B50" s="106">
        <v>1998698</v>
      </c>
      <c r="C50" s="106">
        <v>14076102</v>
      </c>
      <c r="D50" s="106">
        <v>687828</v>
      </c>
      <c r="E50" s="106">
        <v>16762628</v>
      </c>
      <c r="F50" s="107">
        <v>126.28103956561351</v>
      </c>
      <c r="G50" s="107">
        <v>120.8146432191599</v>
      </c>
      <c r="H50" s="107">
        <v>138.65068022342854</v>
      </c>
      <c r="I50" s="107">
        <v>122.08924883547229</v>
      </c>
      <c r="J50" s="107">
        <v>18.814378000311915</v>
      </c>
      <c r="K50" s="107">
        <v>2.0455120405433513</v>
      </c>
      <c r="L50" s="107">
        <v>-14.47425515579206</v>
      </c>
      <c r="M50" s="107">
        <v>2.8961844053123853</v>
      </c>
      <c r="N50" s="107">
        <v>111.24280565105904</v>
      </c>
      <c r="O50" s="107">
        <v>5.2429533502888592</v>
      </c>
      <c r="P50" s="107">
        <v>-10.73506058428837</v>
      </c>
      <c r="Q50" s="108">
        <v>11.517128232069695</v>
      </c>
    </row>
    <row r="51" spans="1:17" s="103" customFormat="1" ht="15.5" x14ac:dyDescent="0.35">
      <c r="A51" s="19" t="s">
        <v>53</v>
      </c>
      <c r="B51" s="106">
        <v>2014408</v>
      </c>
      <c r="C51" s="106">
        <v>14346146</v>
      </c>
      <c r="D51" s="106">
        <v>710241</v>
      </c>
      <c r="E51" s="106">
        <v>17070795</v>
      </c>
      <c r="F51" s="107">
        <v>122.34604162567022</v>
      </c>
      <c r="G51" s="107">
        <v>121.71614109629951</v>
      </c>
      <c r="H51" s="107">
        <v>138.39134704566533</v>
      </c>
      <c r="I51" s="107">
        <v>122.40414201488916</v>
      </c>
      <c r="J51" s="107">
        <v>-3.1160639423614578</v>
      </c>
      <c r="K51" s="107">
        <v>0.74618262581322981</v>
      </c>
      <c r="L51" s="107">
        <v>-0.18704068191033318</v>
      </c>
      <c r="M51" s="107">
        <v>0.25792048228687747</v>
      </c>
      <c r="N51" s="107">
        <v>44.481617940019945</v>
      </c>
      <c r="O51" s="107">
        <v>4.6912842690486345</v>
      </c>
      <c r="P51" s="107">
        <v>-16.0462118430194</v>
      </c>
      <c r="Q51" s="108">
        <v>7.2879082743656065</v>
      </c>
    </row>
    <row r="52" spans="1:17" s="103" customFormat="1" ht="15.5" x14ac:dyDescent="0.35">
      <c r="A52" s="19" t="s">
        <v>54</v>
      </c>
      <c r="B52" s="106">
        <v>1897121</v>
      </c>
      <c r="C52" s="106">
        <v>14710837</v>
      </c>
      <c r="D52" s="106">
        <v>821400</v>
      </c>
      <c r="E52" s="106">
        <v>17429358</v>
      </c>
      <c r="F52" s="107">
        <v>114.25686581546614</v>
      </c>
      <c r="G52" s="107">
        <v>123.14929323778073</v>
      </c>
      <c r="H52" s="107">
        <v>144.11537651765036</v>
      </c>
      <c r="I52" s="107">
        <v>122.95070553237181</v>
      </c>
      <c r="J52" s="107">
        <v>-6.6117184526114148</v>
      </c>
      <c r="K52" s="107">
        <v>1.1774544678896159</v>
      </c>
      <c r="L52" s="107">
        <v>4.136118040744452</v>
      </c>
      <c r="M52" s="107">
        <v>0.44652371111442157</v>
      </c>
      <c r="N52" s="107">
        <v>17.76058085551686</v>
      </c>
      <c r="O52" s="107">
        <v>5.0037491480554142</v>
      </c>
      <c r="P52" s="107">
        <v>-6.1596128526770659</v>
      </c>
      <c r="Q52" s="108">
        <v>5.805586442259747</v>
      </c>
    </row>
    <row r="53" spans="1:17" s="103" customFormat="1" ht="15.5" x14ac:dyDescent="0.35">
      <c r="A53" s="19" t="s">
        <v>55</v>
      </c>
      <c r="B53" s="106">
        <v>2216458</v>
      </c>
      <c r="C53" s="106">
        <v>15239690</v>
      </c>
      <c r="D53" s="106">
        <v>836438</v>
      </c>
      <c r="E53" s="106">
        <v>18292586</v>
      </c>
      <c r="F53" s="107">
        <v>124.34867884388601</v>
      </c>
      <c r="G53" s="107">
        <v>124.75661119114125</v>
      </c>
      <c r="H53" s="107">
        <v>132.53610351417043</v>
      </c>
      <c r="I53" s="107">
        <v>125.04251630637661</v>
      </c>
      <c r="J53" s="107">
        <v>8.8325659525082081</v>
      </c>
      <c r="K53" s="107">
        <v>1.3051783823534002</v>
      </c>
      <c r="L53" s="107">
        <v>-8.0347241795269309</v>
      </c>
      <c r="M53" s="107">
        <v>1.7013410089412151</v>
      </c>
      <c r="N53" s="107">
        <v>16.996272621911103</v>
      </c>
      <c r="O53" s="107">
        <v>5.3750764826495212</v>
      </c>
      <c r="P53" s="107">
        <v>-18.245990906555278</v>
      </c>
      <c r="Q53" s="108">
        <v>5.3851828812870428</v>
      </c>
    </row>
    <row r="54" spans="1:17" s="103" customFormat="1" ht="15.5" x14ac:dyDescent="0.35">
      <c r="A54" s="19" t="s">
        <v>56</v>
      </c>
      <c r="B54" s="106">
        <v>2639401</v>
      </c>
      <c r="C54" s="106">
        <v>15576348</v>
      </c>
      <c r="D54" s="106">
        <v>707206</v>
      </c>
      <c r="E54" s="106">
        <v>18922955</v>
      </c>
      <c r="F54" s="107">
        <v>148.28153818582433</v>
      </c>
      <c r="G54" s="107">
        <v>125.32593388303543</v>
      </c>
      <c r="H54" s="107">
        <v>121.57572631940863</v>
      </c>
      <c r="I54" s="107">
        <v>127.94110408641734</v>
      </c>
      <c r="J54" s="107">
        <v>19.246573075364083</v>
      </c>
      <c r="K54" s="107">
        <v>0.45634671097463109</v>
      </c>
      <c r="L54" s="107">
        <v>-8.2697294579736518</v>
      </c>
      <c r="M54" s="107">
        <v>2.3180817738333692</v>
      </c>
      <c r="N54" s="107">
        <v>17.421854219674614</v>
      </c>
      <c r="O54" s="107">
        <v>3.7340595011251754</v>
      </c>
      <c r="P54" s="107">
        <v>-12.315088448541678</v>
      </c>
      <c r="Q54" s="108">
        <v>4.7930962855140757</v>
      </c>
    </row>
    <row r="55" spans="1:17" s="103" customFormat="1" ht="15.5" x14ac:dyDescent="0.35">
      <c r="A55" s="19" t="s">
        <v>57</v>
      </c>
      <c r="B55" s="106">
        <v>2829695</v>
      </c>
      <c r="C55" s="106">
        <v>16214501</v>
      </c>
      <c r="D55" s="106">
        <v>683918</v>
      </c>
      <c r="E55" s="106">
        <v>19728114</v>
      </c>
      <c r="F55" s="107">
        <v>161.54472816456274</v>
      </c>
      <c r="G55" s="107">
        <v>126.63902417079542</v>
      </c>
      <c r="H55" s="107">
        <v>110.06490423688035</v>
      </c>
      <c r="I55" s="107">
        <v>129.98913271301132</v>
      </c>
      <c r="J55" s="107">
        <v>8.944599672359189</v>
      </c>
      <c r="K55" s="107">
        <v>1.0477402777508749</v>
      </c>
      <c r="L55" s="107">
        <v>-9.4680265798179004</v>
      </c>
      <c r="M55" s="107">
        <v>1.6007589126404875</v>
      </c>
      <c r="N55" s="107">
        <v>32.039194744710066</v>
      </c>
      <c r="O55" s="107">
        <v>4.0445605900379489</v>
      </c>
      <c r="P55" s="107">
        <v>-20.468362663915705</v>
      </c>
      <c r="Q55" s="108">
        <v>6.1966781297315254</v>
      </c>
    </row>
    <row r="56" spans="1:17" s="103" customFormat="1" ht="15.5" x14ac:dyDescent="0.35">
      <c r="A56" s="19" t="s">
        <v>58</v>
      </c>
      <c r="B56" s="106">
        <v>2575368</v>
      </c>
      <c r="C56" s="106">
        <v>16702351</v>
      </c>
      <c r="D56" s="106">
        <v>690751</v>
      </c>
      <c r="E56" s="106">
        <v>19968470</v>
      </c>
      <c r="F56" s="107">
        <v>149.77171074172054</v>
      </c>
      <c r="G56" s="107">
        <v>128.06517461835625</v>
      </c>
      <c r="H56" s="107">
        <v>106.679196853142</v>
      </c>
      <c r="I56" s="107">
        <v>129.58878917221853</v>
      </c>
      <c r="J56" s="107">
        <v>-7.2877756870216359</v>
      </c>
      <c r="K56" s="107">
        <v>1.1261540089233524</v>
      </c>
      <c r="L56" s="107">
        <v>-3.0761007854526179</v>
      </c>
      <c r="M56" s="107">
        <v>-0.30798231547298771</v>
      </c>
      <c r="N56" s="107">
        <v>31.083335493915687</v>
      </c>
      <c r="O56" s="107">
        <v>3.9918064093829475</v>
      </c>
      <c r="P56" s="107">
        <v>-25.976533919628906</v>
      </c>
      <c r="Q56" s="108">
        <v>5.3989797058130451</v>
      </c>
    </row>
    <row r="57" spans="1:17" s="103" customFormat="1" ht="15.5" x14ac:dyDescent="0.35">
      <c r="A57" s="19" t="s">
        <v>59</v>
      </c>
      <c r="B57" s="106">
        <v>2857765</v>
      </c>
      <c r="C57" s="106">
        <v>17140786</v>
      </c>
      <c r="D57" s="106">
        <v>658574</v>
      </c>
      <c r="E57" s="106">
        <v>20657125</v>
      </c>
      <c r="F57" s="107">
        <v>170.69894961936021</v>
      </c>
      <c r="G57" s="107">
        <v>129.52762745209907</v>
      </c>
      <c r="H57" s="107">
        <v>102.6782206312481</v>
      </c>
      <c r="I57" s="107">
        <v>132.85302146987533</v>
      </c>
      <c r="J57" s="107">
        <v>13.972758122345574</v>
      </c>
      <c r="K57" s="107">
        <v>1.1419598170236522</v>
      </c>
      <c r="L57" s="107">
        <v>-3.7504746379013132</v>
      </c>
      <c r="M57" s="107">
        <v>2.5189156550562197</v>
      </c>
      <c r="N57" s="107">
        <v>37.274437659015923</v>
      </c>
      <c r="O57" s="107">
        <v>3.824259264022567</v>
      </c>
      <c r="P57" s="107">
        <v>-22.528112786815115</v>
      </c>
      <c r="Q57" s="108">
        <v>6.2462795809079763</v>
      </c>
    </row>
    <row r="58" spans="1:17" s="103" customFormat="1" ht="15.5" x14ac:dyDescent="0.35">
      <c r="A58" s="19" t="s">
        <v>60</v>
      </c>
      <c r="B58" s="106">
        <v>3111930</v>
      </c>
      <c r="C58" s="106">
        <v>17523169</v>
      </c>
      <c r="D58" s="106">
        <v>987838</v>
      </c>
      <c r="E58" s="106">
        <v>21622937</v>
      </c>
      <c r="F58" s="107">
        <v>176.25289914788416</v>
      </c>
      <c r="G58" s="107">
        <v>130.81300810580441</v>
      </c>
      <c r="H58" s="107">
        <v>154.97953401244746</v>
      </c>
      <c r="I58" s="107">
        <v>136.86624565863156</v>
      </c>
      <c r="J58" s="107">
        <v>3.253651847834238</v>
      </c>
      <c r="K58" s="107">
        <v>0.99236022383000222</v>
      </c>
      <c r="L58" s="107">
        <v>50.937105317622233</v>
      </c>
      <c r="M58" s="107">
        <v>3.0208000874607288</v>
      </c>
      <c r="N58" s="107">
        <v>18.863684113531743</v>
      </c>
      <c r="O58" s="107">
        <v>4.3782432356658019</v>
      </c>
      <c r="P58" s="107">
        <v>27.475721267976638</v>
      </c>
      <c r="Q58" s="108">
        <v>6.9759766698478387</v>
      </c>
    </row>
    <row r="59" spans="1:17" s="103" customFormat="1" ht="15.5" x14ac:dyDescent="0.35">
      <c r="A59" s="19" t="s">
        <v>61</v>
      </c>
      <c r="B59" s="106">
        <v>2982818</v>
      </c>
      <c r="C59" s="106">
        <v>17901091</v>
      </c>
      <c r="D59" s="106">
        <v>1024935</v>
      </c>
      <c r="E59" s="106">
        <v>21908844</v>
      </c>
      <c r="F59" s="107">
        <v>163.2071533195778</v>
      </c>
      <c r="G59" s="107">
        <v>131.83987013017619</v>
      </c>
      <c r="H59" s="107">
        <v>153.59180352189611</v>
      </c>
      <c r="I59" s="107">
        <v>136.30970801554571</v>
      </c>
      <c r="J59" s="107">
        <v>-7.4017198533343764</v>
      </c>
      <c r="K59" s="107">
        <v>0.78498464276675062</v>
      </c>
      <c r="L59" s="107">
        <v>-0.89542822501962327</v>
      </c>
      <c r="M59" s="107">
        <v>-0.40662885169945318</v>
      </c>
      <c r="N59" s="107">
        <v>1.0290804125292041</v>
      </c>
      <c r="O59" s="107">
        <v>4.1068272544223738</v>
      </c>
      <c r="P59" s="107">
        <v>39.546574438785399</v>
      </c>
      <c r="Q59" s="108">
        <v>4.8623874708733528</v>
      </c>
    </row>
    <row r="60" spans="1:17" s="103" customFormat="1" ht="15.5" x14ac:dyDescent="0.35">
      <c r="A60" s="19" t="s">
        <v>62</v>
      </c>
      <c r="B60" s="106">
        <v>2945968</v>
      </c>
      <c r="C60" s="106">
        <v>18130356</v>
      </c>
      <c r="D60" s="106">
        <v>1030613</v>
      </c>
      <c r="E60" s="106">
        <v>22106937</v>
      </c>
      <c r="F60" s="107">
        <v>162.15709813803539</v>
      </c>
      <c r="G60" s="107">
        <v>132.33608530539183</v>
      </c>
      <c r="H60" s="107">
        <v>151.56385572644143</v>
      </c>
      <c r="I60" s="107">
        <v>136.48819509884541</v>
      </c>
      <c r="J60" s="107">
        <v>-0.64338796442720003</v>
      </c>
      <c r="K60" s="107">
        <v>0.37637717234224599</v>
      </c>
      <c r="L60" s="107">
        <v>-1.3203489697714121</v>
      </c>
      <c r="M60" s="107">
        <v>0.13094231210541984</v>
      </c>
      <c r="N60" s="107">
        <v>8.2695105337170727</v>
      </c>
      <c r="O60" s="107">
        <v>3.3349508949354956</v>
      </c>
      <c r="P60" s="107">
        <v>42.074425190029395</v>
      </c>
      <c r="Q60" s="108">
        <v>5.3240762342935621</v>
      </c>
    </row>
    <row r="61" spans="1:17" s="103" customFormat="1" ht="15.5" x14ac:dyDescent="0.35">
      <c r="A61" s="19" t="s">
        <v>63</v>
      </c>
      <c r="B61" s="106">
        <v>2701651</v>
      </c>
      <c r="C61" s="106">
        <v>18559188</v>
      </c>
      <c r="D61" s="106">
        <v>1024987</v>
      </c>
      <c r="E61" s="106">
        <v>22285826</v>
      </c>
      <c r="F61" s="107">
        <v>156.0231142702205</v>
      </c>
      <c r="G61" s="107">
        <v>133.23882726323515</v>
      </c>
      <c r="H61" s="107">
        <v>161.8723419039903</v>
      </c>
      <c r="I61" s="107">
        <v>136.77285231006525</v>
      </c>
      <c r="J61" s="107">
        <v>-3.782741513167287</v>
      </c>
      <c r="K61" s="107">
        <v>0.68215857810820513</v>
      </c>
      <c r="L61" s="107">
        <v>6.8014145774667467</v>
      </c>
      <c r="M61" s="107">
        <v>0.20855811816815617</v>
      </c>
      <c r="N61" s="107">
        <v>-8.5974959903767356</v>
      </c>
      <c r="O61" s="107">
        <v>2.8651801041507774</v>
      </c>
      <c r="P61" s="107">
        <v>57.650123764150663</v>
      </c>
      <c r="Q61" s="108">
        <v>2.9505018379117232</v>
      </c>
    </row>
    <row r="62" spans="1:17" ht="15.5" x14ac:dyDescent="0.35">
      <c r="A62" s="19" t="s">
        <v>64</v>
      </c>
      <c r="B62" s="106">
        <v>2959920</v>
      </c>
      <c r="C62" s="106">
        <v>18979091</v>
      </c>
      <c r="D62" s="106">
        <v>1080775</v>
      </c>
      <c r="E62" s="106">
        <v>23019786</v>
      </c>
      <c r="F62" s="107">
        <v>179.80329231156136</v>
      </c>
      <c r="G62" s="107">
        <v>133.93293421101009</v>
      </c>
      <c r="H62" s="107">
        <v>168.36573347810713</v>
      </c>
      <c r="I62" s="107">
        <v>139.86382774886471</v>
      </c>
      <c r="J62" s="107">
        <v>15.241445572067835</v>
      </c>
      <c r="K62" s="107">
        <v>0.52094945747580557</v>
      </c>
      <c r="L62" s="107">
        <v>4.0114274605158817</v>
      </c>
      <c r="M62" s="107">
        <v>2.2599334492141798</v>
      </c>
      <c r="N62" s="107">
        <v>2.0143743341766385</v>
      </c>
      <c r="O62" s="107">
        <v>2.385027414614771</v>
      </c>
      <c r="P62" s="107">
        <v>8.6373981899987804</v>
      </c>
      <c r="Q62" s="108">
        <v>2.1901543918356969</v>
      </c>
    </row>
    <row r="63" spans="1:17" ht="15.5" x14ac:dyDescent="0.35">
      <c r="A63" s="19" t="s">
        <v>65</v>
      </c>
      <c r="B63" s="106">
        <v>2866631</v>
      </c>
      <c r="C63" s="106">
        <v>19429037</v>
      </c>
      <c r="D63" s="106">
        <v>1145656</v>
      </c>
      <c r="E63" s="106">
        <v>23441324</v>
      </c>
      <c r="F63" s="107">
        <v>168.51066656399146</v>
      </c>
      <c r="G63" s="107">
        <v>134.69324329120914</v>
      </c>
      <c r="H63" s="107">
        <v>169.36875671728063</v>
      </c>
      <c r="I63" s="107">
        <v>139.51308873102636</v>
      </c>
      <c r="J63" s="107">
        <v>-6.2805444785750346</v>
      </c>
      <c r="K63" s="107">
        <v>0.56767895415565928</v>
      </c>
      <c r="L63" s="107">
        <v>0.59574072375239151</v>
      </c>
      <c r="M63" s="107">
        <v>-0.2507717853025726</v>
      </c>
      <c r="N63" s="107">
        <v>3.2495593094677533</v>
      </c>
      <c r="O63" s="107">
        <v>2.164271823247077</v>
      </c>
      <c r="P63" s="107">
        <v>10.272002042827344</v>
      </c>
      <c r="Q63" s="108">
        <v>2.3500752529785451</v>
      </c>
    </row>
    <row r="64" spans="1:17" ht="15.5" x14ac:dyDescent="0.35">
      <c r="A64" s="19" t="s">
        <v>66</v>
      </c>
      <c r="B64" s="106">
        <v>3178347</v>
      </c>
      <c r="C64" s="106">
        <v>19890585</v>
      </c>
      <c r="D64" s="106">
        <v>1169644</v>
      </c>
      <c r="E64" s="106">
        <v>24238576</v>
      </c>
      <c r="F64" s="107">
        <v>172.53427237896506</v>
      </c>
      <c r="G64" s="107">
        <v>135.88949045604238</v>
      </c>
      <c r="H64" s="107">
        <v>179.35446475532132</v>
      </c>
      <c r="I64" s="107">
        <v>141.48444464005416</v>
      </c>
      <c r="J64" s="107">
        <v>2.3877454745249826</v>
      </c>
      <c r="K64" s="107">
        <v>0.88812707720380413</v>
      </c>
      <c r="L64" s="107">
        <v>5.8958383066537889</v>
      </c>
      <c r="M64" s="107">
        <v>1.4130257791284961</v>
      </c>
      <c r="N64" s="107">
        <v>6.3994572917777326</v>
      </c>
      <c r="O64" s="107">
        <v>2.6851369695955363</v>
      </c>
      <c r="P64" s="107">
        <v>18.33590792189883</v>
      </c>
      <c r="Q64" s="108">
        <v>3.6605726506899972</v>
      </c>
    </row>
    <row r="65" spans="1:17" ht="15.5" x14ac:dyDescent="0.35">
      <c r="A65" s="19" t="s">
        <v>67</v>
      </c>
      <c r="B65" s="106">
        <v>2974121</v>
      </c>
      <c r="C65" s="106">
        <v>20256130</v>
      </c>
      <c r="D65" s="106">
        <v>1199722</v>
      </c>
      <c r="E65" s="106">
        <v>24429973</v>
      </c>
      <c r="F65" s="107">
        <v>162.32123014183702</v>
      </c>
      <c r="G65" s="107">
        <v>138.0996449083855</v>
      </c>
      <c r="H65" s="107">
        <v>183.57060231230147</v>
      </c>
      <c r="I65" s="107">
        <v>142.41929195322533</v>
      </c>
      <c r="J65" s="107">
        <v>-5.9194281207477832</v>
      </c>
      <c r="K65" s="107">
        <v>1.6264351606043226</v>
      </c>
      <c r="L65" s="107">
        <v>2.3507290787167623</v>
      </c>
      <c r="M65" s="107">
        <v>0.66074211589088883</v>
      </c>
      <c r="N65" s="107">
        <v>4.036655659051025</v>
      </c>
      <c r="O65" s="107">
        <v>3.6481990610342185</v>
      </c>
      <c r="P65" s="107">
        <v>13.404550865879749</v>
      </c>
      <c r="Q65" s="108">
        <v>4.1283336186917818</v>
      </c>
    </row>
    <row r="66" spans="1:17" ht="15.5" x14ac:dyDescent="0.35">
      <c r="A66" s="19" t="s">
        <v>68</v>
      </c>
      <c r="B66" s="109">
        <v>3030174</v>
      </c>
      <c r="C66" s="109">
        <v>20681752</v>
      </c>
      <c r="D66" s="109">
        <v>1117505</v>
      </c>
      <c r="E66" s="109">
        <v>24829431</v>
      </c>
      <c r="F66" s="110">
        <v>166.47688658850211</v>
      </c>
      <c r="G66" s="110">
        <v>140.75481200479669</v>
      </c>
      <c r="H66" s="110">
        <v>191.86644438301695</v>
      </c>
      <c r="I66" s="110">
        <v>145.23467841392375</v>
      </c>
      <c r="J66" s="110">
        <v>2.560143514827895</v>
      </c>
      <c r="K66" s="110">
        <v>1.9226458534144841</v>
      </c>
      <c r="L66" s="110">
        <v>4.5191560991896029</v>
      </c>
      <c r="M66" s="110">
        <v>1.976829418322823</v>
      </c>
      <c r="N66" s="110">
        <v>-7.4116583471493858</v>
      </c>
      <c r="O66" s="110">
        <v>5.0935028295869378</v>
      </c>
      <c r="P66" s="110">
        <v>13.958131752483748</v>
      </c>
      <c r="Q66" s="110">
        <v>3.8400569693421982</v>
      </c>
    </row>
    <row r="67" spans="1:17" ht="15.5" x14ac:dyDescent="0.35">
      <c r="A67" s="19" t="s">
        <v>69</v>
      </c>
      <c r="B67" s="109">
        <v>3070315</v>
      </c>
      <c r="C67" s="109">
        <v>21286897</v>
      </c>
      <c r="D67" s="109">
        <v>1183675</v>
      </c>
      <c r="E67" s="109">
        <v>25540887</v>
      </c>
      <c r="F67" s="110">
        <v>170.0090034618477</v>
      </c>
      <c r="G67" s="110">
        <v>141.45989014227729</v>
      </c>
      <c r="H67" s="110">
        <v>184.92552516708795</v>
      </c>
      <c r="I67" s="110">
        <v>145.99745639420644</v>
      </c>
      <c r="J67" s="110">
        <v>2.121686046469784</v>
      </c>
      <c r="K67" s="110">
        <v>0.50092648872037682</v>
      </c>
      <c r="L67" s="110">
        <v>-3.6175784870819072</v>
      </c>
      <c r="M67" s="110">
        <v>0.52520375203279901</v>
      </c>
      <c r="N67" s="110">
        <v>0.889164424073563</v>
      </c>
      <c r="O67" s="110">
        <v>5.0237463184686471</v>
      </c>
      <c r="P67" s="110">
        <v>9.1851465118655273</v>
      </c>
      <c r="Q67" s="110">
        <v>4.6478561417858</v>
      </c>
    </row>
    <row r="68" spans="1:17" ht="15.5" x14ac:dyDescent="0.35">
      <c r="A68" s="19" t="s">
        <v>70</v>
      </c>
      <c r="B68" s="109">
        <v>2875783</v>
      </c>
      <c r="C68" s="109">
        <v>21833223</v>
      </c>
      <c r="D68" s="109">
        <v>1231394</v>
      </c>
      <c r="E68" s="109">
        <v>25940400</v>
      </c>
      <c r="F68" s="110">
        <v>163.27764290142872</v>
      </c>
      <c r="G68" s="110">
        <v>142.42176895775961</v>
      </c>
      <c r="H68" s="110">
        <v>190.984270164805</v>
      </c>
      <c r="I68" s="110">
        <v>146.25827595387511</v>
      </c>
      <c r="J68" s="110">
        <v>-3.9594141623973345</v>
      </c>
      <c r="K68" s="110">
        <v>0.67996575885567179</v>
      </c>
      <c r="L68" s="110">
        <v>3.276316231760168</v>
      </c>
      <c r="M68" s="110">
        <v>0.17864664639390959</v>
      </c>
      <c r="N68" s="110">
        <v>-5.3650960762187001</v>
      </c>
      <c r="O68" s="110">
        <v>4.8070520242551762</v>
      </c>
      <c r="P68" s="110">
        <v>6.4842575429328031</v>
      </c>
      <c r="Q68" s="110">
        <v>3.3741032987519626</v>
      </c>
    </row>
    <row r="69" spans="1:17" ht="15.5" x14ac:dyDescent="0.35">
      <c r="A69" s="19" t="s">
        <v>71</v>
      </c>
      <c r="B69" s="109">
        <v>2222517</v>
      </c>
      <c r="C69" s="109">
        <v>21894080</v>
      </c>
      <c r="D69" s="109">
        <v>1299016</v>
      </c>
      <c r="E69" s="109">
        <v>25415613</v>
      </c>
      <c r="F69" s="110">
        <v>127.14351747502057</v>
      </c>
      <c r="G69" s="110">
        <v>141.87149421098508</v>
      </c>
      <c r="H69" s="110">
        <v>216.92530947796621</v>
      </c>
      <c r="I69" s="110">
        <v>142.95137897366703</v>
      </c>
      <c r="J69" s="110">
        <v>-22.13047958330856</v>
      </c>
      <c r="K69" s="110">
        <v>-0.38636983011897108</v>
      </c>
      <c r="L69" s="110">
        <v>13.582814590319959</v>
      </c>
      <c r="M69" s="110">
        <v>-2.2609981955831082</v>
      </c>
      <c r="N69" s="110">
        <v>-21.671664659070167</v>
      </c>
      <c r="O69" s="110">
        <v>2.7312519920683398</v>
      </c>
      <c r="P69" s="110">
        <v>18.16996117326002</v>
      </c>
      <c r="Q69" s="110">
        <v>0.37360600038403025</v>
      </c>
    </row>
    <row r="70" spans="1:17" ht="15.5" x14ac:dyDescent="0.35">
      <c r="A70" s="19" t="s">
        <v>72</v>
      </c>
      <c r="B70" s="109">
        <v>1269754</v>
      </c>
      <c r="C70" s="109">
        <v>21927458</v>
      </c>
      <c r="D70" s="109">
        <v>1855527</v>
      </c>
      <c r="E70" s="109">
        <v>25052739</v>
      </c>
      <c r="F70" s="110">
        <v>73.783227043595744</v>
      </c>
      <c r="G70" s="110">
        <v>141.39922531583304</v>
      </c>
      <c r="H70" s="110">
        <v>315.75698892526771</v>
      </c>
      <c r="I70" s="110">
        <v>140.6189306832884</v>
      </c>
      <c r="J70" s="110">
        <v>-41.968549786196007</v>
      </c>
      <c r="K70" s="110">
        <v>-0.33288498001557976</v>
      </c>
      <c r="L70" s="110">
        <v>45.560234389035244</v>
      </c>
      <c r="M70" s="110">
        <v>-1.6316374890012697</v>
      </c>
      <c r="N70" s="110">
        <v>-55.679596996564896</v>
      </c>
      <c r="O70" s="110">
        <v>0.45782684219306535</v>
      </c>
      <c r="P70" s="110">
        <v>64.571241178020671</v>
      </c>
      <c r="Q70" s="110">
        <v>-3.1781305822017991</v>
      </c>
    </row>
    <row r="71" spans="1:17" ht="15.5" x14ac:dyDescent="0.35">
      <c r="A71" s="19" t="s">
        <v>73</v>
      </c>
      <c r="B71" s="109">
        <v>1487119</v>
      </c>
      <c r="C71" s="109">
        <v>21791229</v>
      </c>
      <c r="D71" s="109">
        <v>1807847</v>
      </c>
      <c r="E71" s="109">
        <v>25086195</v>
      </c>
      <c r="F71" s="110">
        <v>87.56417375063225</v>
      </c>
      <c r="G71" s="110">
        <v>141.87711127147799</v>
      </c>
      <c r="H71" s="110">
        <v>376.46067860281283</v>
      </c>
      <c r="I71" s="110">
        <v>143.0409706046419</v>
      </c>
      <c r="J71" s="110">
        <v>18.677614492103835</v>
      </c>
      <c r="K71" s="110">
        <v>0.33796928842964036</v>
      </c>
      <c r="L71" s="110">
        <v>19.224812690341508</v>
      </c>
      <c r="M71" s="110">
        <v>1.7224138382964771</v>
      </c>
      <c r="N71" s="110">
        <v>-48.494390316050037</v>
      </c>
      <c r="O71" s="110">
        <v>0.29493952581263194</v>
      </c>
      <c r="P71" s="110">
        <v>103.57421089525896</v>
      </c>
      <c r="Q71" s="110">
        <v>-2.0250255467340161</v>
      </c>
    </row>
    <row r="72" spans="1:17" ht="15.5" x14ac:dyDescent="0.35">
      <c r="A72" s="19" t="s">
        <v>74</v>
      </c>
      <c r="B72" s="109">
        <v>1250577</v>
      </c>
      <c r="C72" s="109">
        <v>21693226</v>
      </c>
      <c r="D72" s="109">
        <v>1835935</v>
      </c>
      <c r="E72" s="109">
        <v>24779738</v>
      </c>
      <c r="F72" s="110">
        <v>70.681342009374234</v>
      </c>
      <c r="G72" s="110">
        <v>142.20520325469727</v>
      </c>
      <c r="H72" s="110">
        <v>392.26614362662463</v>
      </c>
      <c r="I72" s="110">
        <v>141.66144101164946</v>
      </c>
      <c r="J72" s="110">
        <v>-19.280524235102614</v>
      </c>
      <c r="K72" s="110">
        <v>0.23125082000823305</v>
      </c>
      <c r="L72" s="110">
        <v>4.1984371601495818</v>
      </c>
      <c r="M72" s="110">
        <v>-0.96442969252871213</v>
      </c>
      <c r="N72" s="110">
        <v>-56.710949059912139</v>
      </c>
      <c r="O72" s="110">
        <v>-0.15205941103467735</v>
      </c>
      <c r="P72" s="110">
        <v>105.39185938618326</v>
      </c>
      <c r="Q72" s="110">
        <v>-3.1429571504557718</v>
      </c>
    </row>
    <row r="73" spans="1:17" ht="15.5" x14ac:dyDescent="0.35">
      <c r="A73" s="19" t="s">
        <v>75</v>
      </c>
      <c r="B73" s="109">
        <v>1145025</v>
      </c>
      <c r="C73" s="109">
        <v>21478117</v>
      </c>
      <c r="D73" s="109">
        <v>1748567</v>
      </c>
      <c r="E73" s="109">
        <v>24371709</v>
      </c>
      <c r="F73" s="110">
        <v>64.969459346744927</v>
      </c>
      <c r="G73" s="110">
        <v>142.08697358379527</v>
      </c>
      <c r="H73" s="110">
        <v>388.52554815887942</v>
      </c>
      <c r="I73" s="110">
        <v>140.64415236908764</v>
      </c>
      <c r="J73" s="110">
        <v>-8.0811746073974682</v>
      </c>
      <c r="K73" s="110">
        <v>-8.3140186291386087E-2</v>
      </c>
      <c r="L73" s="110">
        <v>-0.95358611201115107</v>
      </c>
      <c r="M73" s="110">
        <v>-0.71811258963415669</v>
      </c>
      <c r="N73" s="110">
        <v>-48.900690623484408</v>
      </c>
      <c r="O73" s="110">
        <v>0.15188348724215484</v>
      </c>
      <c r="P73" s="110">
        <v>79.105678859636797</v>
      </c>
      <c r="Q73" s="110">
        <v>-1.6139939475536047</v>
      </c>
    </row>
    <row r="74" spans="1:17" ht="15.5" x14ac:dyDescent="0.35">
      <c r="A74" s="19" t="s">
        <v>76</v>
      </c>
      <c r="B74" s="109">
        <v>849907</v>
      </c>
      <c r="C74" s="109">
        <v>22334600</v>
      </c>
      <c r="D74" s="109">
        <v>1729066</v>
      </c>
      <c r="E74" s="109">
        <v>24913573</v>
      </c>
      <c r="F74" s="110">
        <v>48.345740587049775</v>
      </c>
      <c r="G74" s="110">
        <v>148.4665625509771</v>
      </c>
      <c r="H74" s="110">
        <v>428.91240499295515</v>
      </c>
      <c r="I74" s="110">
        <v>144.80739977681586</v>
      </c>
      <c r="J74" s="110">
        <v>-25.586974136530237</v>
      </c>
      <c r="K74" s="110">
        <v>4.4899182565947937</v>
      </c>
      <c r="L74" s="110">
        <v>10.394903765134211</v>
      </c>
      <c r="M74" s="110">
        <v>2.9601283363724695</v>
      </c>
      <c r="N74" s="110">
        <v>-34.47597438577187</v>
      </c>
      <c r="O74" s="110">
        <v>4.9981442397285303</v>
      </c>
      <c r="P74" s="110">
        <v>35.83623483769307</v>
      </c>
      <c r="Q74" s="110">
        <v>2.9785954658985592</v>
      </c>
    </row>
    <row r="75" spans="1:17" ht="15.5" x14ac:dyDescent="0.35">
      <c r="A75" s="19" t="s">
        <v>77</v>
      </c>
      <c r="B75" s="109">
        <v>1106498</v>
      </c>
      <c r="C75" s="109">
        <v>22124924</v>
      </c>
      <c r="D75" s="109">
        <v>1694764</v>
      </c>
      <c r="E75" s="109">
        <v>24926186</v>
      </c>
      <c r="F75" s="110">
        <v>61.302167879046422</v>
      </c>
      <c r="G75" s="110">
        <v>146.80905036944583</v>
      </c>
      <c r="H75" s="110">
        <v>374.48217039875198</v>
      </c>
      <c r="I75" s="110">
        <v>143.84837527167582</v>
      </c>
      <c r="J75" s="110">
        <v>26.799521808271255</v>
      </c>
      <c r="K75" s="110">
        <v>-1.1164212015497776</v>
      </c>
      <c r="L75" s="110">
        <v>-12.690291528196108</v>
      </c>
      <c r="M75" s="110">
        <v>-0.6622758965481923</v>
      </c>
      <c r="N75" s="110">
        <v>-29.991724636579697</v>
      </c>
      <c r="O75" s="110">
        <v>3.4762049027983855</v>
      </c>
      <c r="P75" s="110">
        <v>-0.52555507560679837</v>
      </c>
      <c r="Q75" s="110">
        <v>0.56445692700557437</v>
      </c>
    </row>
    <row r="76" spans="1:17" ht="15.5" x14ac:dyDescent="0.35">
      <c r="A76" s="19" t="s">
        <v>78</v>
      </c>
      <c r="B76" s="26">
        <v>1096057</v>
      </c>
      <c r="C76" s="26">
        <v>22108120</v>
      </c>
      <c r="D76" s="26">
        <v>1706564</v>
      </c>
      <c r="E76" s="24">
        <v>24910741</v>
      </c>
      <c r="F76" s="27">
        <v>61.311802971118389</v>
      </c>
      <c r="G76" s="27">
        <v>146.39773986637536</v>
      </c>
      <c r="H76" s="27">
        <v>404.568740917399</v>
      </c>
      <c r="I76" s="27">
        <v>143.90198942770652</v>
      </c>
      <c r="J76" s="27">
        <v>1.5717375755741614E-2</v>
      </c>
      <c r="K76" s="27">
        <v>-0.28016699381638865</v>
      </c>
      <c r="L76" s="27">
        <v>8.034179701161893</v>
      </c>
      <c r="M76" s="27">
        <v>3.7271297593344244E-2</v>
      </c>
      <c r="N76" s="110">
        <v>-13.256028779155315</v>
      </c>
      <c r="O76" s="27">
        <v>2.9482301039076786</v>
      </c>
      <c r="P76" s="27">
        <v>3.1362883314458356</v>
      </c>
      <c r="Q76" s="27">
        <v>1.5816219290560651</v>
      </c>
    </row>
    <row r="77" spans="1:17" ht="15.5" x14ac:dyDescent="0.35">
      <c r="A77" s="19" t="s">
        <v>79</v>
      </c>
      <c r="B77" s="26">
        <v>1222709</v>
      </c>
      <c r="C77" s="26">
        <v>22195471</v>
      </c>
      <c r="D77" s="26">
        <v>1769016</v>
      </c>
      <c r="E77" s="24">
        <v>25187196</v>
      </c>
      <c r="F77" s="27">
        <v>67.163177250268475</v>
      </c>
      <c r="G77" s="27">
        <v>146.09530648756029</v>
      </c>
      <c r="H77" s="27">
        <v>386.69636631115986</v>
      </c>
      <c r="I77" s="27">
        <v>144.17040813067382</v>
      </c>
      <c r="J77" s="27">
        <v>9.5436343340065122</v>
      </c>
      <c r="K77" s="27">
        <v>-0.20658336603496252</v>
      </c>
      <c r="L77" s="27">
        <v>-4.4176360649396118</v>
      </c>
      <c r="M77" s="27">
        <v>0.18652883398957432</v>
      </c>
      <c r="N77" s="110">
        <v>3.3765371077133066</v>
      </c>
      <c r="O77" s="27">
        <v>2.8210417905770502</v>
      </c>
      <c r="P77" s="27">
        <v>-0.47080091808313629</v>
      </c>
      <c r="Q77" s="27">
        <v>2.5072181830442242</v>
      </c>
    </row>
    <row r="78" spans="1:17" ht="15.5" x14ac:dyDescent="0.35">
      <c r="A78" s="19" t="s">
        <v>80</v>
      </c>
      <c r="B78" s="109">
        <v>1370403</v>
      </c>
      <c r="C78" s="109">
        <v>22866768</v>
      </c>
      <c r="D78" s="109">
        <v>1763090</v>
      </c>
      <c r="E78" s="109">
        <v>26000261</v>
      </c>
      <c r="F78" s="110">
        <v>79.115266488084245</v>
      </c>
      <c r="G78" s="110">
        <v>149.85079317792213</v>
      </c>
      <c r="H78" s="110">
        <v>348.37892523770762</v>
      </c>
      <c r="I78" s="110">
        <v>148.59045367353346</v>
      </c>
      <c r="J78" s="110">
        <v>17.795598313163463</v>
      </c>
      <c r="K78" s="110">
        <v>2.5705731283582445</v>
      </c>
      <c r="L78" s="110">
        <v>-9.9089219376371496</v>
      </c>
      <c r="M78" s="110">
        <v>3.0658479782157411</v>
      </c>
      <c r="N78" s="110">
        <v>63.644750349065092</v>
      </c>
      <c r="O78" s="110">
        <v>0.93235177211685727</v>
      </c>
      <c r="P78" s="110">
        <v>-18.776206707420894</v>
      </c>
      <c r="Q78" s="110">
        <v>2.6124727759411659</v>
      </c>
    </row>
    <row r="79" spans="1:17" ht="15.5" x14ac:dyDescent="0.35">
      <c r="A79" s="19" t="s">
        <v>81</v>
      </c>
      <c r="B79" s="109">
        <v>1372271</v>
      </c>
      <c r="C79" s="109">
        <v>22820041</v>
      </c>
      <c r="D79" s="109">
        <v>1801238</v>
      </c>
      <c r="E79" s="109">
        <v>25993550</v>
      </c>
      <c r="F79" s="110">
        <v>76.807702985281807</v>
      </c>
      <c r="G79" s="110">
        <v>148.74379507443825</v>
      </c>
      <c r="H79" s="110">
        <v>323.09665430176574</v>
      </c>
      <c r="I79" s="110">
        <v>146.97273001964041</v>
      </c>
      <c r="J79" s="110">
        <v>-2.9167107755997845</v>
      </c>
      <c r="K79" s="110">
        <v>-0.73873356290447001</v>
      </c>
      <c r="L79" s="110">
        <v>-7.2571183571713327</v>
      </c>
      <c r="M79" s="110">
        <v>-1.0887130457568506</v>
      </c>
      <c r="N79" s="110">
        <v>25.293616266277752</v>
      </c>
      <c r="O79" s="110">
        <v>1.3178647366246299</v>
      </c>
      <c r="P79" s="110">
        <v>-13.721752371353347</v>
      </c>
      <c r="Q79" s="110">
        <v>2.1719777801201046</v>
      </c>
    </row>
    <row r="80" spans="1:17" ht="15.5" x14ac:dyDescent="0.35">
      <c r="A80" s="19" t="s">
        <v>82</v>
      </c>
      <c r="B80" s="26">
        <v>1368584</v>
      </c>
      <c r="C80" s="26">
        <v>22781304</v>
      </c>
      <c r="D80" s="26">
        <v>1811019</v>
      </c>
      <c r="E80" s="24">
        <v>25960907</v>
      </c>
      <c r="F80" s="27">
        <v>77.305581476268046</v>
      </c>
      <c r="G80" s="27">
        <v>147.34892861534149</v>
      </c>
      <c r="H80" s="27">
        <v>307.85925318990519</v>
      </c>
      <c r="I80" s="27">
        <v>145.6889666069097</v>
      </c>
      <c r="J80" s="27">
        <v>0.64821426970891327</v>
      </c>
      <c r="K80" s="27">
        <v>-0.93776446835897032</v>
      </c>
      <c r="L80" s="27">
        <v>-4.7160504167985344</v>
      </c>
      <c r="M80" s="27">
        <v>-0.87347048160509866</v>
      </c>
      <c r="N80" s="110">
        <v>26.085969960276167</v>
      </c>
      <c r="O80" s="27">
        <v>0.6497291213882983</v>
      </c>
      <c r="P80" s="27">
        <v>-23.90434009018977</v>
      </c>
      <c r="Q80" s="27">
        <v>1.2418015805826688</v>
      </c>
    </row>
    <row r="81" spans="1:17" ht="15.5" x14ac:dyDescent="0.35">
      <c r="A81" s="19" t="s">
        <v>83</v>
      </c>
      <c r="B81" s="26">
        <v>1528719</v>
      </c>
      <c r="C81" s="26">
        <v>22974643</v>
      </c>
      <c r="D81" s="26">
        <v>1837782</v>
      </c>
      <c r="E81" s="24">
        <v>26341144</v>
      </c>
      <c r="F81" s="27">
        <v>88.911319520174487</v>
      </c>
      <c r="G81" s="27">
        <v>147.21893817964462</v>
      </c>
      <c r="H81" s="27">
        <v>292.9940915946317</v>
      </c>
      <c r="I81" s="27">
        <v>146.72784108939743</v>
      </c>
      <c r="J81" s="27">
        <v>15.012807383732408</v>
      </c>
      <c r="K81" s="27">
        <v>-8.8219464449734719E-2</v>
      </c>
      <c r="L81" s="27">
        <v>-4.8285576740822567</v>
      </c>
      <c r="M81" s="27">
        <v>0.71307697946048076</v>
      </c>
      <c r="N81" s="110">
        <v>32.381050391446564</v>
      </c>
      <c r="O81" s="27">
        <v>0.76910868603434768</v>
      </c>
      <c r="P81" s="27">
        <v>-24.231485702953183</v>
      </c>
      <c r="Q81" s="27">
        <v>1.7738958999169885</v>
      </c>
    </row>
    <row r="82" spans="1:17" ht="15.5" x14ac:dyDescent="0.35">
      <c r="A82" s="19" t="s">
        <v>84</v>
      </c>
      <c r="B82" s="109">
        <v>1614278</v>
      </c>
      <c r="C82" s="109">
        <v>23003445</v>
      </c>
      <c r="D82" s="109">
        <v>1892889</v>
      </c>
      <c r="E82" s="109">
        <v>26510612</v>
      </c>
      <c r="F82" s="110">
        <v>100.08233361232524</v>
      </c>
      <c r="G82" s="110">
        <v>147.84964965523412</v>
      </c>
      <c r="H82" s="110">
        <v>320.31830642704841</v>
      </c>
      <c r="I82" s="110">
        <v>149.24991684759024</v>
      </c>
      <c r="J82" s="110">
        <v>12.564220340488808</v>
      </c>
      <c r="K82" s="110">
        <v>0.42841735131919911</v>
      </c>
      <c r="L82" s="110">
        <v>9.3258586491296249</v>
      </c>
      <c r="M82" s="110">
        <v>1.7188801658004182</v>
      </c>
      <c r="N82" s="110">
        <v>26.501923149559126</v>
      </c>
      <c r="O82" s="110">
        <v>-1.3354240443105292</v>
      </c>
      <c r="P82" s="110">
        <v>-8.054625804793659</v>
      </c>
      <c r="Q82" s="110">
        <v>0.44381261228643165</v>
      </c>
    </row>
    <row r="83" spans="1:17" ht="15.5" x14ac:dyDescent="0.35">
      <c r="A83" s="19" t="s">
        <v>85</v>
      </c>
      <c r="B83" s="109">
        <v>1629986</v>
      </c>
      <c r="C83" s="109">
        <v>23257274</v>
      </c>
      <c r="D83" s="109">
        <v>1874567</v>
      </c>
      <c r="E83" s="109">
        <v>26761827</v>
      </c>
      <c r="F83" s="110">
        <v>100.66973742883576</v>
      </c>
      <c r="G83" s="110">
        <v>147.79180721825821</v>
      </c>
      <c r="H83" s="110">
        <v>319.05296821838817</v>
      </c>
      <c r="I83" s="110">
        <v>149.14750963512961</v>
      </c>
      <c r="J83" s="110">
        <v>0.58692058359255395</v>
      </c>
      <c r="K83" s="110">
        <v>-3.9122471450414587E-2</v>
      </c>
      <c r="L83" s="110">
        <v>-0.39502525558851032</v>
      </c>
      <c r="M83" s="110">
        <v>-6.8614585939907879E-2</v>
      </c>
      <c r="N83" s="110">
        <v>31.067241326207196</v>
      </c>
      <c r="O83" s="110">
        <v>-0.64001853368311767</v>
      </c>
      <c r="P83" s="110">
        <v>-1.2515406859028744</v>
      </c>
      <c r="Q83" s="110">
        <v>1.4797164175956778</v>
      </c>
    </row>
    <row r="84" spans="1:17" ht="15.5" x14ac:dyDescent="0.35">
      <c r="A84" s="19" t="s">
        <v>86</v>
      </c>
      <c r="B84" s="109">
        <v>1793243</v>
      </c>
      <c r="C84" s="109">
        <v>23360540</v>
      </c>
      <c r="D84" s="109">
        <v>1924621</v>
      </c>
      <c r="E84" s="109">
        <v>27078404</v>
      </c>
      <c r="F84" s="110">
        <v>106.84521043211332</v>
      </c>
      <c r="G84" s="110">
        <v>147.88593522682461</v>
      </c>
      <c r="H84" s="110">
        <v>317.51720292272341</v>
      </c>
      <c r="I84" s="110">
        <v>149.76309157557293</v>
      </c>
      <c r="J84" s="110">
        <v>6.1343887060826496</v>
      </c>
      <c r="K84" s="110">
        <v>6.3689598454796936E-2</v>
      </c>
      <c r="L84" s="110">
        <v>-0.48135120141353793</v>
      </c>
      <c r="M84" s="110">
        <v>0.41273363661871176</v>
      </c>
      <c r="N84" s="110">
        <v>38.211508654020811</v>
      </c>
      <c r="O84" s="110">
        <v>0.36444554875929569</v>
      </c>
      <c r="P84" s="110">
        <v>3.1371315407111133</v>
      </c>
      <c r="Q84" s="110">
        <v>2.7964540236295354</v>
      </c>
    </row>
    <row r="85" spans="1:17" ht="15.5" x14ac:dyDescent="0.35">
      <c r="A85" s="19" t="s">
        <v>87</v>
      </c>
      <c r="B85" s="109">
        <v>1881384</v>
      </c>
      <c r="C85" s="109">
        <v>23415803</v>
      </c>
      <c r="D85" s="109">
        <v>1913978</v>
      </c>
      <c r="E85" s="109">
        <v>27211165</v>
      </c>
      <c r="F85" s="110">
        <v>113.87358072933216</v>
      </c>
      <c r="G85" s="110">
        <v>147.95408911111676</v>
      </c>
      <c r="H85" s="110">
        <v>316.16873098257912</v>
      </c>
      <c r="I85" s="110">
        <v>150.47149865021066</v>
      </c>
      <c r="J85" s="110">
        <v>6.5780864381230097</v>
      </c>
      <c r="K85" s="110">
        <v>4.6085440233123443E-2</v>
      </c>
      <c r="L85" s="110">
        <v>-0.42469256082243723</v>
      </c>
      <c r="M85" s="110">
        <v>0.47301846348455356</v>
      </c>
      <c r="N85" s="110">
        <v>28.075459169733264</v>
      </c>
      <c r="O85" s="110">
        <v>0.49935894156163396</v>
      </c>
      <c r="P85" s="110">
        <v>7.9095927367744956</v>
      </c>
      <c r="Q85" s="110">
        <v>2.5514295944232712</v>
      </c>
    </row>
    <row r="86" spans="1:17" ht="15.5" x14ac:dyDescent="0.35">
      <c r="A86" s="19" t="s">
        <v>88</v>
      </c>
      <c r="B86" s="109">
        <v>1656263</v>
      </c>
      <c r="C86" s="109">
        <v>23275978</v>
      </c>
      <c r="D86" s="109">
        <v>1825583</v>
      </c>
      <c r="E86" s="109">
        <v>26757824</v>
      </c>
      <c r="F86" s="110">
        <v>101.26524775169987</v>
      </c>
      <c r="G86" s="110">
        <v>147.77318813082294</v>
      </c>
      <c r="H86" s="110">
        <v>319.70953375842583</v>
      </c>
      <c r="I86" s="110">
        <v>149.00446509590046</v>
      </c>
      <c r="J86" s="110">
        <v>-11.072219646452696</v>
      </c>
      <c r="K86" s="110">
        <v>-0.12226832078832128</v>
      </c>
      <c r="L86" s="110">
        <v>1.1199092221557461</v>
      </c>
      <c r="M86" s="110">
        <v>-0.97495776108438292</v>
      </c>
      <c r="N86" s="110">
        <v>1.1819410046499446</v>
      </c>
      <c r="O86" s="110">
        <v>-5.1715729181278647E-2</v>
      </c>
      <c r="P86" s="110">
        <v>-0.19005241236851322</v>
      </c>
      <c r="Q86" s="110">
        <v>-0.16445687667647757</v>
      </c>
    </row>
    <row r="87" spans="1:17" ht="15.5" x14ac:dyDescent="0.35">
      <c r="A87" s="19" t="s">
        <v>89</v>
      </c>
      <c r="B87" s="109">
        <v>1689993</v>
      </c>
      <c r="C87" s="109">
        <v>23398876</v>
      </c>
      <c r="D87" s="109">
        <v>1848757</v>
      </c>
      <c r="E87" s="109">
        <v>26937626</v>
      </c>
      <c r="F87" s="110">
        <v>102.88593190384205</v>
      </c>
      <c r="G87" s="110">
        <v>147.64438784611258</v>
      </c>
      <c r="H87" s="110">
        <v>343.46914130717494</v>
      </c>
      <c r="I87" s="110">
        <v>149.41292297179319</v>
      </c>
      <c r="J87" s="110">
        <v>1.6004346882318998</v>
      </c>
      <c r="K87" s="110">
        <v>-8.7160794417140419E-2</v>
      </c>
      <c r="L87" s="110">
        <v>7.4316230953256346</v>
      </c>
      <c r="M87" s="110">
        <v>0.27412458789730643</v>
      </c>
      <c r="N87" s="110">
        <v>2.201450536784133</v>
      </c>
      <c r="O87" s="110">
        <v>-9.9748000190513775E-2</v>
      </c>
      <c r="P87" s="110">
        <v>7.6527020654683753</v>
      </c>
      <c r="Q87" s="110">
        <v>0.17795358253911431</v>
      </c>
    </row>
    <row r="88" spans="1:17" ht="15.5" x14ac:dyDescent="0.35">
      <c r="A88" s="19" t="s">
        <v>90</v>
      </c>
      <c r="B88" s="109">
        <v>1684037</v>
      </c>
      <c r="C88" s="109">
        <v>23374518</v>
      </c>
      <c r="D88" s="109">
        <v>1863965</v>
      </c>
      <c r="E88" s="109">
        <v>26922520</v>
      </c>
      <c r="F88" s="110">
        <v>99.765816148199931</v>
      </c>
      <c r="G88" s="110">
        <v>148.13261599545839</v>
      </c>
      <c r="H88" s="110">
        <v>336.09298987735258</v>
      </c>
      <c r="I88" s="110">
        <v>149.38662333602375</v>
      </c>
      <c r="J88" s="110">
        <v>-3.0325970693040882</v>
      </c>
      <c r="K88" s="110">
        <v>0.33067843381537898</v>
      </c>
      <c r="L88" s="110">
        <v>-2.1475441437767029</v>
      </c>
      <c r="M88" s="110">
        <v>-1.7601981974757486E-2</v>
      </c>
      <c r="N88" s="110">
        <v>-6.6258414909589725</v>
      </c>
      <c r="O88" s="110">
        <v>0.16680475276802387</v>
      </c>
      <c r="P88" s="110">
        <v>5.8503245756892364</v>
      </c>
      <c r="Q88" s="110">
        <v>-0.25137584673805558</v>
      </c>
    </row>
    <row r="89" spans="1:17" ht="15.5" x14ac:dyDescent="0.35">
      <c r="A89" s="19" t="s">
        <v>91</v>
      </c>
      <c r="B89" s="109">
        <v>1628495</v>
      </c>
      <c r="C89" s="109">
        <v>23332485</v>
      </c>
      <c r="D89" s="109">
        <v>1856715</v>
      </c>
      <c r="E89" s="109">
        <v>26817695</v>
      </c>
      <c r="F89" s="110">
        <v>100.45189613174198</v>
      </c>
      <c r="G89" s="110">
        <v>148.19279932106599</v>
      </c>
      <c r="H89" s="110">
        <v>347.36183372340366</v>
      </c>
      <c r="I89" s="110">
        <v>149.81642837550285</v>
      </c>
      <c r="J89" s="110">
        <v>0.68769044351111308</v>
      </c>
      <c r="K89" s="110">
        <v>4.0628004307596832E-2</v>
      </c>
      <c r="L89" s="110">
        <v>3.352894640903803</v>
      </c>
      <c r="M89" s="110">
        <v>0.28771320341869355</v>
      </c>
      <c r="N89" s="110">
        <v>-11.786478050156679</v>
      </c>
      <c r="O89" s="110">
        <v>0.16134073169815633</v>
      </c>
      <c r="P89" s="110">
        <v>9.8659670245958786</v>
      </c>
      <c r="Q89" s="110">
        <v>-0.43534508567008023</v>
      </c>
    </row>
    <row r="90" spans="1:17" ht="15.5" x14ac:dyDescent="0.35">
      <c r="A90" s="28" t="s">
        <v>92</v>
      </c>
      <c r="B90" s="111">
        <v>1432939</v>
      </c>
      <c r="C90" s="111">
        <v>22867309</v>
      </c>
      <c r="D90" s="111">
        <v>1578350</v>
      </c>
      <c r="E90" s="111">
        <v>25878598</v>
      </c>
      <c r="F90" s="112">
        <v>85.961571801964425</v>
      </c>
      <c r="G90" s="112">
        <v>147.76930619606867</v>
      </c>
      <c r="H90" s="112">
        <v>414.16834387767682</v>
      </c>
      <c r="I90" s="112">
        <v>147.68319986340276</v>
      </c>
      <c r="J90" s="112">
        <v>-14.425137690555479</v>
      </c>
      <c r="K90" s="112">
        <v>-0.28577172908368365</v>
      </c>
      <c r="L90" s="112">
        <v>19.232541882384723</v>
      </c>
      <c r="M90" s="112">
        <v>-1.4238949194232076</v>
      </c>
      <c r="N90" s="112">
        <v>-15.112465815774945</v>
      </c>
      <c r="O90" s="112">
        <v>-2.6269547293233941E-3</v>
      </c>
      <c r="P90" s="112">
        <v>29.545196544130746</v>
      </c>
      <c r="Q90" s="112">
        <v>-0.88672861692252747</v>
      </c>
    </row>
    <row r="91" spans="1:17" customFormat="1" ht="14.5" x14ac:dyDescent="0.35"/>
    <row r="92" spans="1:17" ht="15.5" x14ac:dyDescent="0.35">
      <c r="A92" s="32" t="s">
        <v>93</v>
      </c>
    </row>
    <row r="93" spans="1:17" ht="15.5" x14ac:dyDescent="0.35">
      <c r="A93" s="32" t="s">
        <v>94</v>
      </c>
    </row>
    <row r="94" spans="1:17" ht="15.5" x14ac:dyDescent="0.35">
      <c r="A94" s="32" t="s">
        <v>95</v>
      </c>
    </row>
  </sheetData>
  <mergeCells count="5">
    <mergeCell ref="B5:E6"/>
    <mergeCell ref="F5:Q5"/>
    <mergeCell ref="F6:I6"/>
    <mergeCell ref="J6:M6"/>
    <mergeCell ref="N6:Q6"/>
  </mergeCells>
  <hyperlinks>
    <hyperlink ref="A1" location="Índice!A1" display="Menú Principal" xr:uid="{00000000-0004-0000-0400-000000000000}"/>
  </hyperlinks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95"/>
  <sheetViews>
    <sheetView workbookViewId="0">
      <pane xSplit="3" ySplit="2" topLeftCell="AK209" activePane="bottomRight" state="frozen"/>
      <selection pane="topRight" activeCell="D1" sqref="D1"/>
      <selection pane="bottomLeft" activeCell="A3" sqref="A3"/>
      <selection pane="bottomRight" activeCell="AT214" sqref="AT214:AT295"/>
    </sheetView>
  </sheetViews>
  <sheetFormatPr defaultRowHeight="14.5" x14ac:dyDescent="0.35"/>
  <sheetData>
    <row r="1" spans="1:57" ht="70" x14ac:dyDescent="0.35">
      <c r="A1" s="233" t="s">
        <v>118</v>
      </c>
      <c r="B1" s="235" t="s">
        <v>119</v>
      </c>
      <c r="C1" s="237" t="s">
        <v>120</v>
      </c>
      <c r="D1" s="56" t="s">
        <v>121</v>
      </c>
      <c r="E1" s="56" t="s">
        <v>122</v>
      </c>
      <c r="F1" s="56" t="s">
        <v>123</v>
      </c>
      <c r="G1" s="56" t="s">
        <v>124</v>
      </c>
      <c r="H1" s="56" t="s">
        <v>125</v>
      </c>
      <c r="I1" s="56" t="s">
        <v>126</v>
      </c>
      <c r="J1" s="56" t="s">
        <v>127</v>
      </c>
      <c r="K1" s="56" t="s">
        <v>128</v>
      </c>
      <c r="L1" s="56" t="s">
        <v>129</v>
      </c>
      <c r="M1" s="56" t="s">
        <v>130</v>
      </c>
      <c r="N1" s="56" t="s">
        <v>131</v>
      </c>
      <c r="O1" s="56" t="s">
        <v>132</v>
      </c>
      <c r="P1" s="56" t="s">
        <v>133</v>
      </c>
      <c r="Q1" s="56" t="s">
        <v>134</v>
      </c>
      <c r="R1" s="56" t="s">
        <v>135</v>
      </c>
      <c r="S1" s="56" t="s">
        <v>136</v>
      </c>
      <c r="T1" s="56" t="s">
        <v>137</v>
      </c>
      <c r="U1" s="56" t="s">
        <v>138</v>
      </c>
      <c r="V1" s="56" t="s">
        <v>139</v>
      </c>
      <c r="W1" s="56" t="s">
        <v>140</v>
      </c>
      <c r="X1" s="56" t="s">
        <v>141</v>
      </c>
      <c r="Y1" s="56" t="s">
        <v>142</v>
      </c>
      <c r="Z1" s="56" t="s">
        <v>143</v>
      </c>
      <c r="AA1" s="56" t="s">
        <v>144</v>
      </c>
      <c r="AB1" s="56" t="s">
        <v>145</v>
      </c>
      <c r="AC1" s="56" t="s">
        <v>146</v>
      </c>
      <c r="AD1" s="56" t="s">
        <v>147</v>
      </c>
      <c r="AE1" s="56" t="s">
        <v>148</v>
      </c>
      <c r="AF1" s="56" t="s">
        <v>149</v>
      </c>
      <c r="AG1" s="56" t="s">
        <v>150</v>
      </c>
      <c r="AH1" s="56" t="s">
        <v>151</v>
      </c>
      <c r="AI1" s="56" t="s">
        <v>152</v>
      </c>
      <c r="AJ1" s="56" t="s">
        <v>153</v>
      </c>
      <c r="AK1" s="56" t="s">
        <v>154</v>
      </c>
      <c r="AL1" s="56" t="s">
        <v>155</v>
      </c>
      <c r="AM1" s="56" t="s">
        <v>156</v>
      </c>
      <c r="AN1" s="56" t="s">
        <v>157</v>
      </c>
      <c r="AO1" s="56" t="s">
        <v>158</v>
      </c>
      <c r="AP1" s="56" t="s">
        <v>159</v>
      </c>
      <c r="AQ1" s="56" t="s">
        <v>160</v>
      </c>
      <c r="AR1" s="56" t="s">
        <v>161</v>
      </c>
      <c r="AS1" s="56" t="s">
        <v>162</v>
      </c>
      <c r="AT1" s="56" t="s">
        <v>163</v>
      </c>
      <c r="AU1" s="56" t="s">
        <v>164</v>
      </c>
      <c r="AV1" s="56" t="s">
        <v>165</v>
      </c>
      <c r="AW1" s="56" t="s">
        <v>166</v>
      </c>
      <c r="AX1" s="56" t="s">
        <v>167</v>
      </c>
      <c r="AY1" s="56" t="s">
        <v>168</v>
      </c>
      <c r="AZ1" s="56" t="s">
        <v>169</v>
      </c>
      <c r="BA1" s="56" t="s">
        <v>170</v>
      </c>
      <c r="BB1" s="56" t="s">
        <v>171</v>
      </c>
      <c r="BC1" s="56" t="s">
        <v>172</v>
      </c>
      <c r="BD1" s="56" t="s">
        <v>173</v>
      </c>
      <c r="BE1" s="56" t="s">
        <v>174</v>
      </c>
    </row>
    <row r="2" spans="1:57" ht="20" x14ac:dyDescent="0.35">
      <c r="A2" s="234"/>
      <c r="B2" s="236"/>
      <c r="C2" s="238"/>
      <c r="D2" s="57" t="s">
        <v>175</v>
      </c>
      <c r="E2" s="57" t="s">
        <v>175</v>
      </c>
      <c r="F2" s="57" t="s">
        <v>175</v>
      </c>
      <c r="G2" s="57" t="s">
        <v>175</v>
      </c>
      <c r="H2" s="57" t="s">
        <v>175</v>
      </c>
      <c r="I2" s="57" t="s">
        <v>175</v>
      </c>
      <c r="J2" s="57" t="s">
        <v>175</v>
      </c>
      <c r="K2" s="57" t="s">
        <v>175</v>
      </c>
      <c r="L2" s="57" t="s">
        <v>175</v>
      </c>
      <c r="M2" s="57" t="s">
        <v>175</v>
      </c>
      <c r="N2" s="57" t="s">
        <v>175</v>
      </c>
      <c r="O2" s="57" t="s">
        <v>175</v>
      </c>
      <c r="P2" s="57" t="s">
        <v>175</v>
      </c>
      <c r="Q2" s="57" t="s">
        <v>175</v>
      </c>
      <c r="R2" s="57" t="s">
        <v>175</v>
      </c>
      <c r="S2" s="57" t="s">
        <v>175</v>
      </c>
      <c r="T2" s="57" t="s">
        <v>175</v>
      </c>
      <c r="U2" s="57" t="s">
        <v>175</v>
      </c>
      <c r="V2" s="57" t="s">
        <v>175</v>
      </c>
      <c r="W2" s="57" t="s">
        <v>175</v>
      </c>
      <c r="X2" s="57" t="s">
        <v>175</v>
      </c>
      <c r="Y2" s="57" t="s">
        <v>175</v>
      </c>
      <c r="Z2" s="57" t="s">
        <v>175</v>
      </c>
      <c r="AA2" s="57" t="s">
        <v>175</v>
      </c>
      <c r="AB2" s="57" t="s">
        <v>175</v>
      </c>
      <c r="AC2" s="57" t="s">
        <v>175</v>
      </c>
      <c r="AD2" s="57" t="s">
        <v>175</v>
      </c>
      <c r="AE2" s="57" t="s">
        <v>175</v>
      </c>
      <c r="AF2" s="57" t="s">
        <v>175</v>
      </c>
      <c r="AG2" s="57" t="s">
        <v>175</v>
      </c>
      <c r="AH2" s="57" t="s">
        <v>175</v>
      </c>
      <c r="AI2" s="57" t="s">
        <v>175</v>
      </c>
      <c r="AJ2" s="57" t="s">
        <v>175</v>
      </c>
      <c r="AK2" s="57" t="s">
        <v>175</v>
      </c>
      <c r="AL2" s="57" t="s">
        <v>175</v>
      </c>
      <c r="AM2" s="57" t="s">
        <v>175</v>
      </c>
      <c r="AN2" s="57" t="s">
        <v>175</v>
      </c>
      <c r="AO2" s="57" t="s">
        <v>175</v>
      </c>
      <c r="AP2" s="57" t="s">
        <v>175</v>
      </c>
      <c r="AQ2" s="57" t="s">
        <v>175</v>
      </c>
      <c r="AR2" s="57" t="s">
        <v>175</v>
      </c>
      <c r="AS2" s="57" t="s">
        <v>175</v>
      </c>
      <c r="AT2" s="57" t="s">
        <v>175</v>
      </c>
      <c r="AU2" s="57" t="s">
        <v>175</v>
      </c>
      <c r="AV2" s="57" t="s">
        <v>175</v>
      </c>
      <c r="AW2" s="57" t="s">
        <v>175</v>
      </c>
      <c r="AX2" s="57" t="s">
        <v>175</v>
      </c>
      <c r="AY2" s="57" t="s">
        <v>175</v>
      </c>
      <c r="AZ2" s="57" t="s">
        <v>175</v>
      </c>
      <c r="BA2" s="57" t="s">
        <v>175</v>
      </c>
      <c r="BB2" s="57" t="s">
        <v>175</v>
      </c>
      <c r="BC2" s="57" t="s">
        <v>175</v>
      </c>
      <c r="BD2" s="57" t="s">
        <v>175</v>
      </c>
      <c r="BE2" s="57" t="s">
        <v>175</v>
      </c>
    </row>
    <row r="3" spans="1:57" x14ac:dyDescent="0.35">
      <c r="A3" s="239" t="s">
        <v>176</v>
      </c>
      <c r="B3" s="239" t="s">
        <v>177</v>
      </c>
      <c r="C3" s="58" t="s">
        <v>178</v>
      </c>
      <c r="D3" s="59" t="s">
        <v>179</v>
      </c>
      <c r="E3" s="60" t="s">
        <v>179</v>
      </c>
      <c r="F3" s="59" t="s">
        <v>179</v>
      </c>
      <c r="G3" s="60" t="s">
        <v>179</v>
      </c>
      <c r="H3" s="59" t="s">
        <v>179</v>
      </c>
      <c r="I3" s="60" t="s">
        <v>179</v>
      </c>
      <c r="J3" s="59" t="s">
        <v>179</v>
      </c>
      <c r="K3" s="60" t="s">
        <v>179</v>
      </c>
      <c r="L3" s="59" t="s">
        <v>179</v>
      </c>
      <c r="M3" s="60" t="s">
        <v>179</v>
      </c>
      <c r="N3" s="59" t="s">
        <v>179</v>
      </c>
      <c r="O3" s="60" t="s">
        <v>179</v>
      </c>
      <c r="P3" s="59" t="s">
        <v>179</v>
      </c>
      <c r="Q3" s="60" t="s">
        <v>179</v>
      </c>
      <c r="R3" s="59" t="s">
        <v>179</v>
      </c>
      <c r="S3" s="60" t="s">
        <v>179</v>
      </c>
      <c r="T3" s="59" t="s">
        <v>179</v>
      </c>
      <c r="U3" s="60" t="s">
        <v>179</v>
      </c>
      <c r="V3" s="59" t="s">
        <v>179</v>
      </c>
      <c r="W3" s="60" t="s">
        <v>179</v>
      </c>
      <c r="X3" s="59" t="s">
        <v>179</v>
      </c>
      <c r="Y3" s="60" t="s">
        <v>179</v>
      </c>
      <c r="Z3" s="59" t="s">
        <v>179</v>
      </c>
      <c r="AA3" s="60" t="s">
        <v>179</v>
      </c>
      <c r="AB3" s="59" t="s">
        <v>179</v>
      </c>
      <c r="AC3" s="60" t="s">
        <v>179</v>
      </c>
      <c r="AD3" s="59" t="s">
        <v>179</v>
      </c>
      <c r="AE3" s="60" t="s">
        <v>179</v>
      </c>
      <c r="AF3" s="59" t="s">
        <v>179</v>
      </c>
      <c r="AG3" s="60" t="s">
        <v>179</v>
      </c>
      <c r="AH3" s="59" t="s">
        <v>179</v>
      </c>
      <c r="AI3" s="60" t="s">
        <v>179</v>
      </c>
      <c r="AJ3" s="59" t="s">
        <v>179</v>
      </c>
      <c r="AK3" s="60" t="s">
        <v>179</v>
      </c>
      <c r="AL3" s="59" t="s">
        <v>179</v>
      </c>
      <c r="AM3" s="60" t="s">
        <v>179</v>
      </c>
      <c r="AN3" s="59">
        <v>-0.26669100000000001</v>
      </c>
      <c r="AO3" s="60" t="s">
        <v>179</v>
      </c>
      <c r="AP3" s="59" t="s">
        <v>179</v>
      </c>
      <c r="AQ3" s="60" t="s">
        <v>179</v>
      </c>
      <c r="AR3" s="59" t="s">
        <v>179</v>
      </c>
      <c r="AS3" s="60" t="s">
        <v>179</v>
      </c>
      <c r="AT3" s="59" t="s">
        <v>179</v>
      </c>
      <c r="AU3" s="60" t="s">
        <v>179</v>
      </c>
      <c r="AV3" s="59" t="s">
        <v>179</v>
      </c>
      <c r="AW3" s="60" t="s">
        <v>179</v>
      </c>
      <c r="AX3" s="59" t="s">
        <v>179</v>
      </c>
      <c r="AY3" s="60" t="s">
        <v>179</v>
      </c>
      <c r="AZ3" s="59" t="s">
        <v>179</v>
      </c>
      <c r="BA3" s="60" t="s">
        <v>179</v>
      </c>
      <c r="BB3" s="59" t="s">
        <v>179</v>
      </c>
      <c r="BC3" s="60" t="s">
        <v>179</v>
      </c>
      <c r="BD3" s="59" t="s">
        <v>179</v>
      </c>
      <c r="BE3" s="60" t="s">
        <v>179</v>
      </c>
    </row>
    <row r="4" spans="1:57" x14ac:dyDescent="0.35">
      <c r="A4" s="240"/>
      <c r="B4" s="240"/>
      <c r="C4" s="58" t="s">
        <v>180</v>
      </c>
      <c r="D4" s="59" t="s">
        <v>179</v>
      </c>
      <c r="E4" s="60" t="s">
        <v>179</v>
      </c>
      <c r="F4" s="59" t="s">
        <v>179</v>
      </c>
      <c r="G4" s="60" t="s">
        <v>179</v>
      </c>
      <c r="H4" s="59" t="s">
        <v>179</v>
      </c>
      <c r="I4" s="60" t="s">
        <v>179</v>
      </c>
      <c r="J4" s="59" t="s">
        <v>179</v>
      </c>
      <c r="K4" s="60" t="s">
        <v>179</v>
      </c>
      <c r="L4" s="59" t="s">
        <v>179</v>
      </c>
      <c r="M4" s="60" t="s">
        <v>179</v>
      </c>
      <c r="N4" s="59" t="s">
        <v>179</v>
      </c>
      <c r="O4" s="60" t="s">
        <v>179</v>
      </c>
      <c r="P4" s="59" t="s">
        <v>179</v>
      </c>
      <c r="Q4" s="60" t="s">
        <v>179</v>
      </c>
      <c r="R4" s="59" t="s">
        <v>179</v>
      </c>
      <c r="S4" s="60" t="s">
        <v>179</v>
      </c>
      <c r="T4" s="59" t="s">
        <v>179</v>
      </c>
      <c r="U4" s="60" t="s">
        <v>179</v>
      </c>
      <c r="V4" s="59" t="s">
        <v>179</v>
      </c>
      <c r="W4" s="60" t="s">
        <v>179</v>
      </c>
      <c r="X4" s="59" t="s">
        <v>179</v>
      </c>
      <c r="Y4" s="60" t="s">
        <v>179</v>
      </c>
      <c r="Z4" s="59" t="s">
        <v>179</v>
      </c>
      <c r="AA4" s="60" t="s">
        <v>179</v>
      </c>
      <c r="AB4" s="59" t="s">
        <v>179</v>
      </c>
      <c r="AC4" s="60" t="s">
        <v>179</v>
      </c>
      <c r="AD4" s="59" t="s">
        <v>179</v>
      </c>
      <c r="AE4" s="60" t="s">
        <v>179</v>
      </c>
      <c r="AF4" s="59" t="s">
        <v>179</v>
      </c>
      <c r="AG4" s="60" t="s">
        <v>179</v>
      </c>
      <c r="AH4" s="59" t="s">
        <v>179</v>
      </c>
      <c r="AI4" s="60" t="s">
        <v>179</v>
      </c>
      <c r="AJ4" s="59" t="s">
        <v>179</v>
      </c>
      <c r="AK4" s="60" t="s">
        <v>179</v>
      </c>
      <c r="AL4" s="59" t="s">
        <v>179</v>
      </c>
      <c r="AM4" s="60" t="s">
        <v>179</v>
      </c>
      <c r="AN4" s="59">
        <v>-0.20649600000000001</v>
      </c>
      <c r="AO4" s="60" t="s">
        <v>179</v>
      </c>
      <c r="AP4" s="59" t="s">
        <v>179</v>
      </c>
      <c r="AQ4" s="60" t="s">
        <v>179</v>
      </c>
      <c r="AR4" s="59" t="s">
        <v>179</v>
      </c>
      <c r="AS4" s="60" t="s">
        <v>179</v>
      </c>
      <c r="AT4" s="59" t="s">
        <v>179</v>
      </c>
      <c r="AU4" s="60" t="s">
        <v>179</v>
      </c>
      <c r="AV4" s="59" t="s">
        <v>179</v>
      </c>
      <c r="AW4" s="60" t="s">
        <v>179</v>
      </c>
      <c r="AX4" s="59" t="s">
        <v>179</v>
      </c>
      <c r="AY4" s="60" t="s">
        <v>179</v>
      </c>
      <c r="AZ4" s="59" t="s">
        <v>179</v>
      </c>
      <c r="BA4" s="60" t="s">
        <v>179</v>
      </c>
      <c r="BB4" s="59" t="s">
        <v>179</v>
      </c>
      <c r="BC4" s="60" t="s">
        <v>179</v>
      </c>
      <c r="BD4" s="59" t="s">
        <v>179</v>
      </c>
      <c r="BE4" s="60" t="s">
        <v>179</v>
      </c>
    </row>
    <row r="5" spans="1:57" x14ac:dyDescent="0.35">
      <c r="A5" s="240"/>
      <c r="B5" s="240"/>
      <c r="C5" s="58" t="s">
        <v>181</v>
      </c>
      <c r="D5" s="59" t="s">
        <v>179</v>
      </c>
      <c r="E5" s="60" t="s">
        <v>179</v>
      </c>
      <c r="F5" s="59" t="s">
        <v>179</v>
      </c>
      <c r="G5" s="60" t="s">
        <v>179</v>
      </c>
      <c r="H5" s="59" t="s">
        <v>179</v>
      </c>
      <c r="I5" s="60" t="s">
        <v>179</v>
      </c>
      <c r="J5" s="59" t="s">
        <v>179</v>
      </c>
      <c r="K5" s="60" t="s">
        <v>179</v>
      </c>
      <c r="L5" s="59" t="s">
        <v>179</v>
      </c>
      <c r="M5" s="60" t="s">
        <v>179</v>
      </c>
      <c r="N5" s="59" t="s">
        <v>179</v>
      </c>
      <c r="O5" s="60" t="s">
        <v>179</v>
      </c>
      <c r="P5" s="59" t="s">
        <v>179</v>
      </c>
      <c r="Q5" s="60" t="s">
        <v>179</v>
      </c>
      <c r="R5" s="59" t="s">
        <v>179</v>
      </c>
      <c r="S5" s="60" t="s">
        <v>179</v>
      </c>
      <c r="T5" s="59" t="s">
        <v>179</v>
      </c>
      <c r="U5" s="60" t="s">
        <v>179</v>
      </c>
      <c r="V5" s="59" t="s">
        <v>179</v>
      </c>
      <c r="W5" s="60" t="s">
        <v>179</v>
      </c>
      <c r="X5" s="59" t="s">
        <v>179</v>
      </c>
      <c r="Y5" s="60" t="s">
        <v>179</v>
      </c>
      <c r="Z5" s="59" t="s">
        <v>179</v>
      </c>
      <c r="AA5" s="60" t="s">
        <v>179</v>
      </c>
      <c r="AB5" s="59" t="s">
        <v>179</v>
      </c>
      <c r="AC5" s="60" t="s">
        <v>179</v>
      </c>
      <c r="AD5" s="59" t="s">
        <v>179</v>
      </c>
      <c r="AE5" s="60" t="s">
        <v>179</v>
      </c>
      <c r="AF5" s="59" t="s">
        <v>179</v>
      </c>
      <c r="AG5" s="60" t="s">
        <v>179</v>
      </c>
      <c r="AH5" s="59" t="s">
        <v>179</v>
      </c>
      <c r="AI5" s="60" t="s">
        <v>179</v>
      </c>
      <c r="AJ5" s="59" t="s">
        <v>179</v>
      </c>
      <c r="AK5" s="60" t="s">
        <v>179</v>
      </c>
      <c r="AL5" s="59" t="s">
        <v>179</v>
      </c>
      <c r="AM5" s="60" t="s">
        <v>179</v>
      </c>
      <c r="AN5" s="59">
        <v>1.564208</v>
      </c>
      <c r="AO5" s="60" t="s">
        <v>179</v>
      </c>
      <c r="AP5" s="59" t="s">
        <v>179</v>
      </c>
      <c r="AQ5" s="60" t="s">
        <v>179</v>
      </c>
      <c r="AR5" s="59" t="s">
        <v>179</v>
      </c>
      <c r="AS5" s="60" t="s">
        <v>179</v>
      </c>
      <c r="AT5" s="59" t="s">
        <v>179</v>
      </c>
      <c r="AU5" s="60" t="s">
        <v>179</v>
      </c>
      <c r="AV5" s="59" t="s">
        <v>179</v>
      </c>
      <c r="AW5" s="60" t="s">
        <v>179</v>
      </c>
      <c r="AX5" s="59" t="s">
        <v>179</v>
      </c>
      <c r="AY5" s="60" t="s">
        <v>179</v>
      </c>
      <c r="AZ5" s="59" t="s">
        <v>179</v>
      </c>
      <c r="BA5" s="60" t="s">
        <v>179</v>
      </c>
      <c r="BB5" s="59" t="s">
        <v>179</v>
      </c>
      <c r="BC5" s="60" t="s">
        <v>179</v>
      </c>
      <c r="BD5" s="59" t="s">
        <v>179</v>
      </c>
      <c r="BE5" s="60" t="s">
        <v>179</v>
      </c>
    </row>
    <row r="6" spans="1:57" x14ac:dyDescent="0.35">
      <c r="A6" s="240"/>
      <c r="B6" s="240"/>
      <c r="C6" s="58" t="s">
        <v>182</v>
      </c>
      <c r="D6" s="59" t="s">
        <v>179</v>
      </c>
      <c r="E6" s="60" t="s">
        <v>179</v>
      </c>
      <c r="F6" s="59" t="s">
        <v>179</v>
      </c>
      <c r="G6" s="60" t="s">
        <v>179</v>
      </c>
      <c r="H6" s="59" t="s">
        <v>179</v>
      </c>
      <c r="I6" s="60" t="s">
        <v>179</v>
      </c>
      <c r="J6" s="59" t="s">
        <v>179</v>
      </c>
      <c r="K6" s="60" t="s">
        <v>179</v>
      </c>
      <c r="L6" s="59" t="s">
        <v>179</v>
      </c>
      <c r="M6" s="60" t="s">
        <v>179</v>
      </c>
      <c r="N6" s="59" t="s">
        <v>179</v>
      </c>
      <c r="O6" s="60" t="s">
        <v>179</v>
      </c>
      <c r="P6" s="59" t="s">
        <v>179</v>
      </c>
      <c r="Q6" s="60" t="s">
        <v>179</v>
      </c>
      <c r="R6" s="59" t="s">
        <v>179</v>
      </c>
      <c r="S6" s="60" t="s">
        <v>179</v>
      </c>
      <c r="T6" s="59" t="s">
        <v>179</v>
      </c>
      <c r="U6" s="60" t="s">
        <v>179</v>
      </c>
      <c r="V6" s="59" t="s">
        <v>179</v>
      </c>
      <c r="W6" s="60" t="s">
        <v>179</v>
      </c>
      <c r="X6" s="59" t="s">
        <v>179</v>
      </c>
      <c r="Y6" s="60" t="s">
        <v>179</v>
      </c>
      <c r="Z6" s="59" t="s">
        <v>179</v>
      </c>
      <c r="AA6" s="60" t="s">
        <v>179</v>
      </c>
      <c r="AB6" s="59" t="s">
        <v>179</v>
      </c>
      <c r="AC6" s="60" t="s">
        <v>179</v>
      </c>
      <c r="AD6" s="59" t="s">
        <v>179</v>
      </c>
      <c r="AE6" s="60" t="s">
        <v>179</v>
      </c>
      <c r="AF6" s="59" t="s">
        <v>179</v>
      </c>
      <c r="AG6" s="60" t="s">
        <v>179</v>
      </c>
      <c r="AH6" s="59" t="s">
        <v>179</v>
      </c>
      <c r="AI6" s="60" t="s">
        <v>179</v>
      </c>
      <c r="AJ6" s="59" t="s">
        <v>179</v>
      </c>
      <c r="AK6" s="60" t="s">
        <v>179</v>
      </c>
      <c r="AL6" s="59" t="s">
        <v>179</v>
      </c>
      <c r="AM6" s="60" t="s">
        <v>179</v>
      </c>
      <c r="AN6" s="59">
        <v>1.504256</v>
      </c>
      <c r="AO6" s="60" t="s">
        <v>179</v>
      </c>
      <c r="AP6" s="59" t="s">
        <v>179</v>
      </c>
      <c r="AQ6" s="60" t="s">
        <v>179</v>
      </c>
      <c r="AR6" s="59" t="s">
        <v>179</v>
      </c>
      <c r="AS6" s="60" t="s">
        <v>179</v>
      </c>
      <c r="AT6" s="59" t="s">
        <v>179</v>
      </c>
      <c r="AU6" s="60" t="s">
        <v>179</v>
      </c>
      <c r="AV6" s="59" t="s">
        <v>179</v>
      </c>
      <c r="AW6" s="60" t="s">
        <v>179</v>
      </c>
      <c r="AX6" s="59" t="s">
        <v>179</v>
      </c>
      <c r="AY6" s="60" t="s">
        <v>179</v>
      </c>
      <c r="AZ6" s="59" t="s">
        <v>179</v>
      </c>
      <c r="BA6" s="60" t="s">
        <v>179</v>
      </c>
      <c r="BB6" s="59" t="s">
        <v>179</v>
      </c>
      <c r="BC6" s="60" t="s">
        <v>179</v>
      </c>
      <c r="BD6" s="59" t="s">
        <v>179</v>
      </c>
      <c r="BE6" s="60" t="s">
        <v>179</v>
      </c>
    </row>
    <row r="7" spans="1:57" x14ac:dyDescent="0.35">
      <c r="A7" s="240"/>
      <c r="B7" s="240"/>
      <c r="C7" s="58" t="s">
        <v>183</v>
      </c>
      <c r="D7" s="59" t="s">
        <v>179</v>
      </c>
      <c r="E7" s="60" t="s">
        <v>179</v>
      </c>
      <c r="F7" s="59" t="s">
        <v>179</v>
      </c>
      <c r="G7" s="60" t="s">
        <v>179</v>
      </c>
      <c r="H7" s="59" t="s">
        <v>179</v>
      </c>
      <c r="I7" s="60" t="s">
        <v>179</v>
      </c>
      <c r="J7" s="59" t="s">
        <v>179</v>
      </c>
      <c r="K7" s="60" t="s">
        <v>179</v>
      </c>
      <c r="L7" s="59" t="s">
        <v>179</v>
      </c>
      <c r="M7" s="60" t="s">
        <v>179</v>
      </c>
      <c r="N7" s="59" t="s">
        <v>179</v>
      </c>
      <c r="O7" s="60" t="s">
        <v>179</v>
      </c>
      <c r="P7" s="59" t="s">
        <v>179</v>
      </c>
      <c r="Q7" s="60" t="s">
        <v>179</v>
      </c>
      <c r="R7" s="59" t="s">
        <v>179</v>
      </c>
      <c r="S7" s="60" t="s">
        <v>179</v>
      </c>
      <c r="T7" s="59" t="s">
        <v>179</v>
      </c>
      <c r="U7" s="60" t="s">
        <v>179</v>
      </c>
      <c r="V7" s="59" t="s">
        <v>179</v>
      </c>
      <c r="W7" s="60" t="s">
        <v>179</v>
      </c>
      <c r="X7" s="59" t="s">
        <v>179</v>
      </c>
      <c r="Y7" s="60" t="s">
        <v>179</v>
      </c>
      <c r="Z7" s="59" t="s">
        <v>179</v>
      </c>
      <c r="AA7" s="60" t="s">
        <v>179</v>
      </c>
      <c r="AB7" s="59" t="s">
        <v>179</v>
      </c>
      <c r="AC7" s="60" t="s">
        <v>179</v>
      </c>
      <c r="AD7" s="59" t="s">
        <v>179</v>
      </c>
      <c r="AE7" s="60" t="s">
        <v>179</v>
      </c>
      <c r="AF7" s="59" t="s">
        <v>179</v>
      </c>
      <c r="AG7" s="60" t="s">
        <v>179</v>
      </c>
      <c r="AH7" s="59" t="s">
        <v>179</v>
      </c>
      <c r="AI7" s="60" t="s">
        <v>179</v>
      </c>
      <c r="AJ7" s="59" t="s">
        <v>179</v>
      </c>
      <c r="AK7" s="60" t="s">
        <v>179</v>
      </c>
      <c r="AL7" s="59" t="s">
        <v>179</v>
      </c>
      <c r="AM7" s="60" t="s">
        <v>179</v>
      </c>
      <c r="AN7" s="59">
        <v>1.650658</v>
      </c>
      <c r="AO7" s="60" t="s">
        <v>179</v>
      </c>
      <c r="AP7" s="59" t="s">
        <v>179</v>
      </c>
      <c r="AQ7" s="60" t="s">
        <v>179</v>
      </c>
      <c r="AR7" s="59" t="s">
        <v>179</v>
      </c>
      <c r="AS7" s="60" t="s">
        <v>179</v>
      </c>
      <c r="AT7" s="59" t="s">
        <v>179</v>
      </c>
      <c r="AU7" s="60" t="s">
        <v>179</v>
      </c>
      <c r="AV7" s="59" t="s">
        <v>179</v>
      </c>
      <c r="AW7" s="60" t="s">
        <v>179</v>
      </c>
      <c r="AX7" s="59" t="s">
        <v>179</v>
      </c>
      <c r="AY7" s="60" t="s">
        <v>179</v>
      </c>
      <c r="AZ7" s="59" t="s">
        <v>179</v>
      </c>
      <c r="BA7" s="60" t="s">
        <v>179</v>
      </c>
      <c r="BB7" s="59" t="s">
        <v>179</v>
      </c>
      <c r="BC7" s="60" t="s">
        <v>179</v>
      </c>
      <c r="BD7" s="59" t="s">
        <v>179</v>
      </c>
      <c r="BE7" s="60" t="s">
        <v>179</v>
      </c>
    </row>
    <row r="8" spans="1:57" x14ac:dyDescent="0.35">
      <c r="A8" s="240"/>
      <c r="B8" s="240"/>
      <c r="C8" s="58" t="s">
        <v>184</v>
      </c>
      <c r="D8" s="59" t="s">
        <v>179</v>
      </c>
      <c r="E8" s="60" t="s">
        <v>179</v>
      </c>
      <c r="F8" s="59" t="s">
        <v>179</v>
      </c>
      <c r="G8" s="60" t="s">
        <v>179</v>
      </c>
      <c r="H8" s="59" t="s">
        <v>179</v>
      </c>
      <c r="I8" s="60" t="s">
        <v>179</v>
      </c>
      <c r="J8" s="59" t="s">
        <v>179</v>
      </c>
      <c r="K8" s="60" t="s">
        <v>179</v>
      </c>
      <c r="L8" s="59" t="s">
        <v>179</v>
      </c>
      <c r="M8" s="60" t="s">
        <v>179</v>
      </c>
      <c r="N8" s="59" t="s">
        <v>179</v>
      </c>
      <c r="O8" s="60" t="s">
        <v>179</v>
      </c>
      <c r="P8" s="59" t="s">
        <v>179</v>
      </c>
      <c r="Q8" s="60" t="s">
        <v>179</v>
      </c>
      <c r="R8" s="59" t="s">
        <v>179</v>
      </c>
      <c r="S8" s="60" t="s">
        <v>179</v>
      </c>
      <c r="T8" s="59" t="s">
        <v>179</v>
      </c>
      <c r="U8" s="60" t="s">
        <v>179</v>
      </c>
      <c r="V8" s="59" t="s">
        <v>179</v>
      </c>
      <c r="W8" s="60" t="s">
        <v>179</v>
      </c>
      <c r="X8" s="59" t="s">
        <v>179</v>
      </c>
      <c r="Y8" s="60" t="s">
        <v>179</v>
      </c>
      <c r="Z8" s="59" t="s">
        <v>179</v>
      </c>
      <c r="AA8" s="60" t="s">
        <v>179</v>
      </c>
      <c r="AB8" s="59" t="s">
        <v>179</v>
      </c>
      <c r="AC8" s="60" t="s">
        <v>179</v>
      </c>
      <c r="AD8" s="59" t="s">
        <v>179</v>
      </c>
      <c r="AE8" s="60" t="s">
        <v>179</v>
      </c>
      <c r="AF8" s="59" t="s">
        <v>179</v>
      </c>
      <c r="AG8" s="60" t="s">
        <v>179</v>
      </c>
      <c r="AH8" s="59" t="s">
        <v>179</v>
      </c>
      <c r="AI8" s="60" t="s">
        <v>179</v>
      </c>
      <c r="AJ8" s="59" t="s">
        <v>179</v>
      </c>
      <c r="AK8" s="60" t="s">
        <v>179</v>
      </c>
      <c r="AL8" s="59" t="s">
        <v>179</v>
      </c>
      <c r="AM8" s="60" t="s">
        <v>179</v>
      </c>
      <c r="AN8" s="59">
        <v>0.57289699999999999</v>
      </c>
      <c r="AO8" s="60" t="s">
        <v>179</v>
      </c>
      <c r="AP8" s="59" t="s">
        <v>179</v>
      </c>
      <c r="AQ8" s="60" t="s">
        <v>179</v>
      </c>
      <c r="AR8" s="59" t="s">
        <v>179</v>
      </c>
      <c r="AS8" s="60" t="s">
        <v>179</v>
      </c>
      <c r="AT8" s="59" t="s">
        <v>179</v>
      </c>
      <c r="AU8" s="60" t="s">
        <v>179</v>
      </c>
      <c r="AV8" s="59" t="s">
        <v>179</v>
      </c>
      <c r="AW8" s="60" t="s">
        <v>179</v>
      </c>
      <c r="AX8" s="59" t="s">
        <v>179</v>
      </c>
      <c r="AY8" s="60" t="s">
        <v>179</v>
      </c>
      <c r="AZ8" s="59" t="s">
        <v>179</v>
      </c>
      <c r="BA8" s="60" t="s">
        <v>179</v>
      </c>
      <c r="BB8" s="59" t="s">
        <v>179</v>
      </c>
      <c r="BC8" s="60" t="s">
        <v>179</v>
      </c>
      <c r="BD8" s="59" t="s">
        <v>179</v>
      </c>
      <c r="BE8" s="60" t="s">
        <v>179</v>
      </c>
    </row>
    <row r="9" spans="1:57" x14ac:dyDescent="0.35">
      <c r="A9" s="240"/>
      <c r="B9" s="240"/>
      <c r="C9" s="58" t="s">
        <v>185</v>
      </c>
      <c r="D9" s="59" t="s">
        <v>179</v>
      </c>
      <c r="E9" s="60" t="s">
        <v>179</v>
      </c>
      <c r="F9" s="59" t="s">
        <v>179</v>
      </c>
      <c r="G9" s="60" t="s">
        <v>179</v>
      </c>
      <c r="H9" s="59" t="s">
        <v>179</v>
      </c>
      <c r="I9" s="60" t="s">
        <v>179</v>
      </c>
      <c r="J9" s="59" t="s">
        <v>179</v>
      </c>
      <c r="K9" s="60" t="s">
        <v>179</v>
      </c>
      <c r="L9" s="59" t="s">
        <v>179</v>
      </c>
      <c r="M9" s="60" t="s">
        <v>179</v>
      </c>
      <c r="N9" s="59" t="s">
        <v>179</v>
      </c>
      <c r="O9" s="60" t="s">
        <v>179</v>
      </c>
      <c r="P9" s="59" t="s">
        <v>179</v>
      </c>
      <c r="Q9" s="60" t="s">
        <v>179</v>
      </c>
      <c r="R9" s="59" t="s">
        <v>179</v>
      </c>
      <c r="S9" s="60" t="s">
        <v>179</v>
      </c>
      <c r="T9" s="59" t="s">
        <v>179</v>
      </c>
      <c r="U9" s="60" t="s">
        <v>179</v>
      </c>
      <c r="V9" s="59" t="s">
        <v>179</v>
      </c>
      <c r="W9" s="60" t="s">
        <v>179</v>
      </c>
      <c r="X9" s="59" t="s">
        <v>179</v>
      </c>
      <c r="Y9" s="60" t="s">
        <v>179</v>
      </c>
      <c r="Z9" s="59" t="s">
        <v>179</v>
      </c>
      <c r="AA9" s="60" t="s">
        <v>179</v>
      </c>
      <c r="AB9" s="59" t="s">
        <v>179</v>
      </c>
      <c r="AC9" s="60" t="s">
        <v>179</v>
      </c>
      <c r="AD9" s="59" t="s">
        <v>179</v>
      </c>
      <c r="AE9" s="60" t="s">
        <v>179</v>
      </c>
      <c r="AF9" s="59" t="s">
        <v>179</v>
      </c>
      <c r="AG9" s="60" t="s">
        <v>179</v>
      </c>
      <c r="AH9" s="59" t="s">
        <v>179</v>
      </c>
      <c r="AI9" s="60" t="s">
        <v>179</v>
      </c>
      <c r="AJ9" s="59" t="s">
        <v>179</v>
      </c>
      <c r="AK9" s="60" t="s">
        <v>179</v>
      </c>
      <c r="AL9" s="59" t="s">
        <v>179</v>
      </c>
      <c r="AM9" s="60" t="s">
        <v>179</v>
      </c>
      <c r="AN9" s="59">
        <v>0.11174199999999999</v>
      </c>
      <c r="AO9" s="60" t="s">
        <v>179</v>
      </c>
      <c r="AP9" s="59" t="s">
        <v>179</v>
      </c>
      <c r="AQ9" s="60" t="s">
        <v>179</v>
      </c>
      <c r="AR9" s="59" t="s">
        <v>179</v>
      </c>
      <c r="AS9" s="60" t="s">
        <v>179</v>
      </c>
      <c r="AT9" s="59" t="s">
        <v>179</v>
      </c>
      <c r="AU9" s="60" t="s">
        <v>179</v>
      </c>
      <c r="AV9" s="59" t="s">
        <v>179</v>
      </c>
      <c r="AW9" s="60" t="s">
        <v>179</v>
      </c>
      <c r="AX9" s="59" t="s">
        <v>179</v>
      </c>
      <c r="AY9" s="60" t="s">
        <v>179</v>
      </c>
      <c r="AZ9" s="59" t="s">
        <v>179</v>
      </c>
      <c r="BA9" s="60" t="s">
        <v>179</v>
      </c>
      <c r="BB9" s="59" t="s">
        <v>179</v>
      </c>
      <c r="BC9" s="60" t="s">
        <v>179</v>
      </c>
      <c r="BD9" s="59" t="s">
        <v>179</v>
      </c>
      <c r="BE9" s="60" t="s">
        <v>179</v>
      </c>
    </row>
    <row r="10" spans="1:57" x14ac:dyDescent="0.35">
      <c r="A10" s="240"/>
      <c r="B10" s="240"/>
      <c r="C10" s="58" t="s">
        <v>186</v>
      </c>
      <c r="D10" s="59" t="s">
        <v>179</v>
      </c>
      <c r="E10" s="60" t="s">
        <v>179</v>
      </c>
      <c r="F10" s="59" t="s">
        <v>179</v>
      </c>
      <c r="G10" s="60" t="s">
        <v>179</v>
      </c>
      <c r="H10" s="59" t="s">
        <v>179</v>
      </c>
      <c r="I10" s="60" t="s">
        <v>179</v>
      </c>
      <c r="J10" s="59" t="s">
        <v>179</v>
      </c>
      <c r="K10" s="60" t="s">
        <v>179</v>
      </c>
      <c r="L10" s="59" t="s">
        <v>179</v>
      </c>
      <c r="M10" s="60" t="s">
        <v>179</v>
      </c>
      <c r="N10" s="59" t="s">
        <v>179</v>
      </c>
      <c r="O10" s="60" t="s">
        <v>179</v>
      </c>
      <c r="P10" s="59" t="s">
        <v>179</v>
      </c>
      <c r="Q10" s="60" t="s">
        <v>179</v>
      </c>
      <c r="R10" s="59" t="s">
        <v>179</v>
      </c>
      <c r="S10" s="60" t="s">
        <v>179</v>
      </c>
      <c r="T10" s="59" t="s">
        <v>179</v>
      </c>
      <c r="U10" s="60" t="s">
        <v>179</v>
      </c>
      <c r="V10" s="59" t="s">
        <v>179</v>
      </c>
      <c r="W10" s="60" t="s">
        <v>179</v>
      </c>
      <c r="X10" s="59" t="s">
        <v>179</v>
      </c>
      <c r="Y10" s="60" t="s">
        <v>179</v>
      </c>
      <c r="Z10" s="59" t="s">
        <v>179</v>
      </c>
      <c r="AA10" s="60" t="s">
        <v>179</v>
      </c>
      <c r="AB10" s="59" t="s">
        <v>179</v>
      </c>
      <c r="AC10" s="60" t="s">
        <v>179</v>
      </c>
      <c r="AD10" s="59" t="s">
        <v>179</v>
      </c>
      <c r="AE10" s="60" t="s">
        <v>179</v>
      </c>
      <c r="AF10" s="59" t="s">
        <v>179</v>
      </c>
      <c r="AG10" s="60" t="s">
        <v>179</v>
      </c>
      <c r="AH10" s="59" t="s">
        <v>179</v>
      </c>
      <c r="AI10" s="60" t="s">
        <v>179</v>
      </c>
      <c r="AJ10" s="59" t="s">
        <v>179</v>
      </c>
      <c r="AK10" s="60" t="s">
        <v>179</v>
      </c>
      <c r="AL10" s="59" t="s">
        <v>179</v>
      </c>
      <c r="AM10" s="60" t="s">
        <v>179</v>
      </c>
      <c r="AN10" s="59">
        <v>-1.3779509999999999</v>
      </c>
      <c r="AO10" s="60" t="s">
        <v>179</v>
      </c>
      <c r="AP10" s="59" t="s">
        <v>179</v>
      </c>
      <c r="AQ10" s="60" t="s">
        <v>179</v>
      </c>
      <c r="AR10" s="59" t="s">
        <v>179</v>
      </c>
      <c r="AS10" s="60" t="s">
        <v>179</v>
      </c>
      <c r="AT10" s="59" t="s">
        <v>179</v>
      </c>
      <c r="AU10" s="60" t="s">
        <v>179</v>
      </c>
      <c r="AV10" s="59" t="s">
        <v>179</v>
      </c>
      <c r="AW10" s="60" t="s">
        <v>179</v>
      </c>
      <c r="AX10" s="59" t="s">
        <v>179</v>
      </c>
      <c r="AY10" s="60" t="s">
        <v>179</v>
      </c>
      <c r="AZ10" s="59" t="s">
        <v>179</v>
      </c>
      <c r="BA10" s="60" t="s">
        <v>179</v>
      </c>
      <c r="BB10" s="59" t="s">
        <v>179</v>
      </c>
      <c r="BC10" s="60" t="s">
        <v>179</v>
      </c>
      <c r="BD10" s="59" t="s">
        <v>179</v>
      </c>
      <c r="BE10" s="60" t="s">
        <v>179</v>
      </c>
    </row>
    <row r="11" spans="1:57" x14ac:dyDescent="0.35">
      <c r="A11" s="240"/>
      <c r="B11" s="240"/>
      <c r="C11" s="58" t="s">
        <v>187</v>
      </c>
      <c r="D11" s="59" t="s">
        <v>179</v>
      </c>
      <c r="E11" s="60" t="s">
        <v>179</v>
      </c>
      <c r="F11" s="59" t="s">
        <v>179</v>
      </c>
      <c r="G11" s="60" t="s">
        <v>179</v>
      </c>
      <c r="H11" s="59" t="s">
        <v>179</v>
      </c>
      <c r="I11" s="60" t="s">
        <v>179</v>
      </c>
      <c r="J11" s="59" t="s">
        <v>179</v>
      </c>
      <c r="K11" s="60" t="s">
        <v>179</v>
      </c>
      <c r="L11" s="59" t="s">
        <v>179</v>
      </c>
      <c r="M11" s="60" t="s">
        <v>179</v>
      </c>
      <c r="N11" s="59" t="s">
        <v>179</v>
      </c>
      <c r="O11" s="60" t="s">
        <v>179</v>
      </c>
      <c r="P11" s="59" t="s">
        <v>179</v>
      </c>
      <c r="Q11" s="60" t="s">
        <v>179</v>
      </c>
      <c r="R11" s="59" t="s">
        <v>179</v>
      </c>
      <c r="S11" s="60" t="s">
        <v>179</v>
      </c>
      <c r="T11" s="59" t="s">
        <v>179</v>
      </c>
      <c r="U11" s="60" t="s">
        <v>179</v>
      </c>
      <c r="V11" s="59" t="s">
        <v>179</v>
      </c>
      <c r="W11" s="60" t="s">
        <v>179</v>
      </c>
      <c r="X11" s="59" t="s">
        <v>179</v>
      </c>
      <c r="Y11" s="60" t="s">
        <v>179</v>
      </c>
      <c r="Z11" s="59" t="s">
        <v>179</v>
      </c>
      <c r="AA11" s="60" t="s">
        <v>179</v>
      </c>
      <c r="AB11" s="59" t="s">
        <v>179</v>
      </c>
      <c r="AC11" s="60" t="s">
        <v>179</v>
      </c>
      <c r="AD11" s="59" t="s">
        <v>179</v>
      </c>
      <c r="AE11" s="60" t="s">
        <v>179</v>
      </c>
      <c r="AF11" s="59" t="s">
        <v>179</v>
      </c>
      <c r="AG11" s="60" t="s">
        <v>179</v>
      </c>
      <c r="AH11" s="59" t="s">
        <v>179</v>
      </c>
      <c r="AI11" s="60" t="s">
        <v>179</v>
      </c>
      <c r="AJ11" s="59" t="s">
        <v>179</v>
      </c>
      <c r="AK11" s="60" t="s">
        <v>179</v>
      </c>
      <c r="AL11" s="59" t="s">
        <v>179</v>
      </c>
      <c r="AM11" s="60" t="s">
        <v>179</v>
      </c>
      <c r="AN11" s="59">
        <v>-0.34109699999999998</v>
      </c>
      <c r="AO11" s="60" t="s">
        <v>179</v>
      </c>
      <c r="AP11" s="59" t="s">
        <v>179</v>
      </c>
      <c r="AQ11" s="60" t="s">
        <v>179</v>
      </c>
      <c r="AR11" s="59" t="s">
        <v>179</v>
      </c>
      <c r="AS11" s="60" t="s">
        <v>179</v>
      </c>
      <c r="AT11" s="59" t="s">
        <v>179</v>
      </c>
      <c r="AU11" s="60" t="s">
        <v>179</v>
      </c>
      <c r="AV11" s="59" t="s">
        <v>179</v>
      </c>
      <c r="AW11" s="60" t="s">
        <v>179</v>
      </c>
      <c r="AX11" s="59" t="s">
        <v>179</v>
      </c>
      <c r="AY11" s="60" t="s">
        <v>179</v>
      </c>
      <c r="AZ11" s="59" t="s">
        <v>179</v>
      </c>
      <c r="BA11" s="60" t="s">
        <v>179</v>
      </c>
      <c r="BB11" s="59" t="s">
        <v>179</v>
      </c>
      <c r="BC11" s="60" t="s">
        <v>179</v>
      </c>
      <c r="BD11" s="59" t="s">
        <v>179</v>
      </c>
      <c r="BE11" s="60" t="s">
        <v>179</v>
      </c>
    </row>
    <row r="12" spans="1:57" x14ac:dyDescent="0.35">
      <c r="A12" s="240"/>
      <c r="B12" s="240"/>
      <c r="C12" s="58" t="s">
        <v>188</v>
      </c>
      <c r="D12" s="59" t="s">
        <v>179</v>
      </c>
      <c r="E12" s="60" t="s">
        <v>179</v>
      </c>
      <c r="F12" s="59" t="s">
        <v>179</v>
      </c>
      <c r="G12" s="60" t="s">
        <v>179</v>
      </c>
      <c r="H12" s="59" t="s">
        <v>179</v>
      </c>
      <c r="I12" s="60" t="s">
        <v>179</v>
      </c>
      <c r="J12" s="59" t="s">
        <v>179</v>
      </c>
      <c r="K12" s="60" t="s">
        <v>179</v>
      </c>
      <c r="L12" s="59" t="s">
        <v>179</v>
      </c>
      <c r="M12" s="60" t="s">
        <v>179</v>
      </c>
      <c r="N12" s="59" t="s">
        <v>179</v>
      </c>
      <c r="O12" s="60" t="s">
        <v>179</v>
      </c>
      <c r="P12" s="59" t="s">
        <v>179</v>
      </c>
      <c r="Q12" s="60" t="s">
        <v>179</v>
      </c>
      <c r="R12" s="59" t="s">
        <v>179</v>
      </c>
      <c r="S12" s="60" t="s">
        <v>179</v>
      </c>
      <c r="T12" s="59" t="s">
        <v>179</v>
      </c>
      <c r="U12" s="60" t="s">
        <v>179</v>
      </c>
      <c r="V12" s="59" t="s">
        <v>179</v>
      </c>
      <c r="W12" s="60" t="s">
        <v>179</v>
      </c>
      <c r="X12" s="59" t="s">
        <v>179</v>
      </c>
      <c r="Y12" s="60" t="s">
        <v>179</v>
      </c>
      <c r="Z12" s="59" t="s">
        <v>179</v>
      </c>
      <c r="AA12" s="60" t="s">
        <v>179</v>
      </c>
      <c r="AB12" s="59" t="s">
        <v>179</v>
      </c>
      <c r="AC12" s="60" t="s">
        <v>179</v>
      </c>
      <c r="AD12" s="59" t="s">
        <v>179</v>
      </c>
      <c r="AE12" s="60" t="s">
        <v>179</v>
      </c>
      <c r="AF12" s="59" t="s">
        <v>179</v>
      </c>
      <c r="AG12" s="60" t="s">
        <v>179</v>
      </c>
      <c r="AH12" s="59" t="s">
        <v>179</v>
      </c>
      <c r="AI12" s="60" t="s">
        <v>179</v>
      </c>
      <c r="AJ12" s="59" t="s">
        <v>179</v>
      </c>
      <c r="AK12" s="60" t="s">
        <v>179</v>
      </c>
      <c r="AL12" s="59" t="s">
        <v>179</v>
      </c>
      <c r="AM12" s="60" t="s">
        <v>179</v>
      </c>
      <c r="AN12" s="59">
        <v>1.0324150000000001</v>
      </c>
      <c r="AO12" s="60" t="s">
        <v>179</v>
      </c>
      <c r="AP12" s="59" t="s">
        <v>179</v>
      </c>
      <c r="AQ12" s="60" t="s">
        <v>179</v>
      </c>
      <c r="AR12" s="59" t="s">
        <v>179</v>
      </c>
      <c r="AS12" s="60" t="s">
        <v>179</v>
      </c>
      <c r="AT12" s="59" t="s">
        <v>179</v>
      </c>
      <c r="AU12" s="60" t="s">
        <v>179</v>
      </c>
      <c r="AV12" s="59" t="s">
        <v>179</v>
      </c>
      <c r="AW12" s="60" t="s">
        <v>179</v>
      </c>
      <c r="AX12" s="59" t="s">
        <v>179</v>
      </c>
      <c r="AY12" s="60" t="s">
        <v>179</v>
      </c>
      <c r="AZ12" s="59" t="s">
        <v>179</v>
      </c>
      <c r="BA12" s="60" t="s">
        <v>179</v>
      </c>
      <c r="BB12" s="59" t="s">
        <v>179</v>
      </c>
      <c r="BC12" s="60" t="s">
        <v>179</v>
      </c>
      <c r="BD12" s="59" t="s">
        <v>179</v>
      </c>
      <c r="BE12" s="60" t="s">
        <v>179</v>
      </c>
    </row>
    <row r="13" spans="1:57" x14ac:dyDescent="0.35">
      <c r="A13" s="240"/>
      <c r="B13" s="240"/>
      <c r="C13" s="58" t="s">
        <v>189</v>
      </c>
      <c r="D13" s="59" t="s">
        <v>179</v>
      </c>
      <c r="E13" s="60" t="s">
        <v>179</v>
      </c>
      <c r="F13" s="59" t="s">
        <v>179</v>
      </c>
      <c r="G13" s="60" t="s">
        <v>179</v>
      </c>
      <c r="H13" s="59" t="s">
        <v>179</v>
      </c>
      <c r="I13" s="60" t="s">
        <v>179</v>
      </c>
      <c r="J13" s="59" t="s">
        <v>179</v>
      </c>
      <c r="K13" s="60" t="s">
        <v>179</v>
      </c>
      <c r="L13" s="59" t="s">
        <v>179</v>
      </c>
      <c r="M13" s="60" t="s">
        <v>179</v>
      </c>
      <c r="N13" s="59" t="s">
        <v>179</v>
      </c>
      <c r="O13" s="60" t="s">
        <v>179</v>
      </c>
      <c r="P13" s="59" t="s">
        <v>179</v>
      </c>
      <c r="Q13" s="60" t="s">
        <v>179</v>
      </c>
      <c r="R13" s="59" t="s">
        <v>179</v>
      </c>
      <c r="S13" s="60" t="s">
        <v>179</v>
      </c>
      <c r="T13" s="59" t="s">
        <v>179</v>
      </c>
      <c r="U13" s="60" t="s">
        <v>179</v>
      </c>
      <c r="V13" s="59" t="s">
        <v>179</v>
      </c>
      <c r="W13" s="60" t="s">
        <v>179</v>
      </c>
      <c r="X13" s="59" t="s">
        <v>179</v>
      </c>
      <c r="Y13" s="60" t="s">
        <v>179</v>
      </c>
      <c r="Z13" s="59" t="s">
        <v>179</v>
      </c>
      <c r="AA13" s="60" t="s">
        <v>179</v>
      </c>
      <c r="AB13" s="59" t="s">
        <v>179</v>
      </c>
      <c r="AC13" s="60" t="s">
        <v>179</v>
      </c>
      <c r="AD13" s="59" t="s">
        <v>179</v>
      </c>
      <c r="AE13" s="60" t="s">
        <v>179</v>
      </c>
      <c r="AF13" s="59" t="s">
        <v>179</v>
      </c>
      <c r="AG13" s="60" t="s">
        <v>179</v>
      </c>
      <c r="AH13" s="59" t="s">
        <v>179</v>
      </c>
      <c r="AI13" s="60" t="s">
        <v>179</v>
      </c>
      <c r="AJ13" s="59" t="s">
        <v>179</v>
      </c>
      <c r="AK13" s="60" t="s">
        <v>179</v>
      </c>
      <c r="AL13" s="59" t="s">
        <v>179</v>
      </c>
      <c r="AM13" s="60" t="s">
        <v>179</v>
      </c>
      <c r="AN13" s="59">
        <v>-0.83927499999999999</v>
      </c>
      <c r="AO13" s="60" t="s">
        <v>179</v>
      </c>
      <c r="AP13" s="59" t="s">
        <v>179</v>
      </c>
      <c r="AQ13" s="60" t="s">
        <v>179</v>
      </c>
      <c r="AR13" s="59" t="s">
        <v>179</v>
      </c>
      <c r="AS13" s="60" t="s">
        <v>179</v>
      </c>
      <c r="AT13" s="59" t="s">
        <v>179</v>
      </c>
      <c r="AU13" s="60" t="s">
        <v>179</v>
      </c>
      <c r="AV13" s="59" t="s">
        <v>179</v>
      </c>
      <c r="AW13" s="60" t="s">
        <v>179</v>
      </c>
      <c r="AX13" s="59" t="s">
        <v>179</v>
      </c>
      <c r="AY13" s="60" t="s">
        <v>179</v>
      </c>
      <c r="AZ13" s="59" t="s">
        <v>179</v>
      </c>
      <c r="BA13" s="60" t="s">
        <v>179</v>
      </c>
      <c r="BB13" s="59" t="s">
        <v>179</v>
      </c>
      <c r="BC13" s="60" t="s">
        <v>179</v>
      </c>
      <c r="BD13" s="59" t="s">
        <v>179</v>
      </c>
      <c r="BE13" s="60" t="s">
        <v>179</v>
      </c>
    </row>
    <row r="14" spans="1:57" x14ac:dyDescent="0.35">
      <c r="A14" s="240"/>
      <c r="B14" s="240"/>
      <c r="C14" s="58" t="s">
        <v>190</v>
      </c>
      <c r="D14" s="59" t="s">
        <v>179</v>
      </c>
      <c r="E14" s="60" t="s">
        <v>179</v>
      </c>
      <c r="F14" s="59" t="s">
        <v>179</v>
      </c>
      <c r="G14" s="60" t="s">
        <v>179</v>
      </c>
      <c r="H14" s="59" t="s">
        <v>179</v>
      </c>
      <c r="I14" s="60" t="s">
        <v>179</v>
      </c>
      <c r="J14" s="59" t="s">
        <v>179</v>
      </c>
      <c r="K14" s="60" t="s">
        <v>179</v>
      </c>
      <c r="L14" s="59" t="s">
        <v>179</v>
      </c>
      <c r="M14" s="60" t="s">
        <v>179</v>
      </c>
      <c r="N14" s="59" t="s">
        <v>179</v>
      </c>
      <c r="O14" s="60" t="s">
        <v>179</v>
      </c>
      <c r="P14" s="59" t="s">
        <v>179</v>
      </c>
      <c r="Q14" s="60" t="s">
        <v>179</v>
      </c>
      <c r="R14" s="59" t="s">
        <v>179</v>
      </c>
      <c r="S14" s="60" t="s">
        <v>179</v>
      </c>
      <c r="T14" s="59" t="s">
        <v>179</v>
      </c>
      <c r="U14" s="60" t="s">
        <v>179</v>
      </c>
      <c r="V14" s="59" t="s">
        <v>179</v>
      </c>
      <c r="W14" s="60" t="s">
        <v>179</v>
      </c>
      <c r="X14" s="59" t="s">
        <v>179</v>
      </c>
      <c r="Y14" s="60" t="s">
        <v>179</v>
      </c>
      <c r="Z14" s="59" t="s">
        <v>179</v>
      </c>
      <c r="AA14" s="60" t="s">
        <v>179</v>
      </c>
      <c r="AB14" s="59" t="s">
        <v>179</v>
      </c>
      <c r="AC14" s="60" t="s">
        <v>179</v>
      </c>
      <c r="AD14" s="59" t="s">
        <v>179</v>
      </c>
      <c r="AE14" s="60" t="s">
        <v>179</v>
      </c>
      <c r="AF14" s="59" t="s">
        <v>179</v>
      </c>
      <c r="AG14" s="60" t="s">
        <v>179</v>
      </c>
      <c r="AH14" s="59" t="s">
        <v>179</v>
      </c>
      <c r="AI14" s="60" t="s">
        <v>179</v>
      </c>
      <c r="AJ14" s="59" t="s">
        <v>179</v>
      </c>
      <c r="AK14" s="60" t="s">
        <v>179</v>
      </c>
      <c r="AL14" s="59" t="s">
        <v>179</v>
      </c>
      <c r="AM14" s="60" t="s">
        <v>179</v>
      </c>
      <c r="AN14" s="59">
        <v>3.9301210000000002</v>
      </c>
      <c r="AO14" s="60" t="s">
        <v>179</v>
      </c>
      <c r="AP14" s="59" t="s">
        <v>179</v>
      </c>
      <c r="AQ14" s="60" t="s">
        <v>179</v>
      </c>
      <c r="AR14" s="59" t="s">
        <v>179</v>
      </c>
      <c r="AS14" s="60" t="s">
        <v>179</v>
      </c>
      <c r="AT14" s="59" t="s">
        <v>179</v>
      </c>
      <c r="AU14" s="60" t="s">
        <v>179</v>
      </c>
      <c r="AV14" s="59" t="s">
        <v>179</v>
      </c>
      <c r="AW14" s="60" t="s">
        <v>179</v>
      </c>
      <c r="AX14" s="59" t="s">
        <v>179</v>
      </c>
      <c r="AY14" s="60" t="s">
        <v>179</v>
      </c>
      <c r="AZ14" s="59" t="s">
        <v>179</v>
      </c>
      <c r="BA14" s="60" t="s">
        <v>179</v>
      </c>
      <c r="BB14" s="59" t="s">
        <v>179</v>
      </c>
      <c r="BC14" s="60" t="s">
        <v>179</v>
      </c>
      <c r="BD14" s="59" t="s">
        <v>179</v>
      </c>
      <c r="BE14" s="60" t="s">
        <v>179</v>
      </c>
    </row>
    <row r="15" spans="1:57" x14ac:dyDescent="0.35">
      <c r="A15" s="240"/>
      <c r="B15" s="240"/>
      <c r="C15" s="58" t="s">
        <v>191</v>
      </c>
      <c r="D15" s="59" t="s">
        <v>179</v>
      </c>
      <c r="E15" s="60" t="s">
        <v>179</v>
      </c>
      <c r="F15" s="59" t="s">
        <v>179</v>
      </c>
      <c r="G15" s="60" t="s">
        <v>179</v>
      </c>
      <c r="H15" s="59" t="s">
        <v>179</v>
      </c>
      <c r="I15" s="60" t="s">
        <v>179</v>
      </c>
      <c r="J15" s="59" t="s">
        <v>179</v>
      </c>
      <c r="K15" s="60" t="s">
        <v>179</v>
      </c>
      <c r="L15" s="59" t="s">
        <v>179</v>
      </c>
      <c r="M15" s="60" t="s">
        <v>179</v>
      </c>
      <c r="N15" s="59" t="s">
        <v>179</v>
      </c>
      <c r="O15" s="60" t="s">
        <v>179</v>
      </c>
      <c r="P15" s="59" t="s">
        <v>179</v>
      </c>
      <c r="Q15" s="60" t="s">
        <v>179</v>
      </c>
      <c r="R15" s="59" t="s">
        <v>179</v>
      </c>
      <c r="S15" s="60" t="s">
        <v>179</v>
      </c>
      <c r="T15" s="59" t="s">
        <v>179</v>
      </c>
      <c r="U15" s="60" t="s">
        <v>179</v>
      </c>
      <c r="V15" s="59" t="s">
        <v>179</v>
      </c>
      <c r="W15" s="60" t="s">
        <v>179</v>
      </c>
      <c r="X15" s="59" t="s">
        <v>179</v>
      </c>
      <c r="Y15" s="60" t="s">
        <v>179</v>
      </c>
      <c r="Z15" s="59" t="s">
        <v>179</v>
      </c>
      <c r="AA15" s="60" t="s">
        <v>179</v>
      </c>
      <c r="AB15" s="59" t="s">
        <v>179</v>
      </c>
      <c r="AC15" s="60" t="s">
        <v>179</v>
      </c>
      <c r="AD15" s="59" t="s">
        <v>179</v>
      </c>
      <c r="AE15" s="60" t="s">
        <v>179</v>
      </c>
      <c r="AF15" s="59" t="s">
        <v>179</v>
      </c>
      <c r="AG15" s="60" t="s">
        <v>179</v>
      </c>
      <c r="AH15" s="59" t="s">
        <v>179</v>
      </c>
      <c r="AI15" s="60" t="s">
        <v>179</v>
      </c>
      <c r="AJ15" s="59" t="s">
        <v>179</v>
      </c>
      <c r="AK15" s="60" t="s">
        <v>179</v>
      </c>
      <c r="AL15" s="59" t="s">
        <v>179</v>
      </c>
      <c r="AM15" s="60" t="s">
        <v>179</v>
      </c>
      <c r="AN15" s="59">
        <v>3.0498349999999999</v>
      </c>
      <c r="AO15" s="60" t="s">
        <v>179</v>
      </c>
      <c r="AP15" s="59" t="s">
        <v>179</v>
      </c>
      <c r="AQ15" s="60" t="s">
        <v>179</v>
      </c>
      <c r="AR15" s="59" t="s">
        <v>179</v>
      </c>
      <c r="AS15" s="60" t="s">
        <v>179</v>
      </c>
      <c r="AT15" s="59" t="s">
        <v>179</v>
      </c>
      <c r="AU15" s="60" t="s">
        <v>179</v>
      </c>
      <c r="AV15" s="59" t="s">
        <v>179</v>
      </c>
      <c r="AW15" s="60" t="s">
        <v>179</v>
      </c>
      <c r="AX15" s="59" t="s">
        <v>179</v>
      </c>
      <c r="AY15" s="60" t="s">
        <v>179</v>
      </c>
      <c r="AZ15" s="59" t="s">
        <v>179</v>
      </c>
      <c r="BA15" s="60" t="s">
        <v>179</v>
      </c>
      <c r="BB15" s="59" t="s">
        <v>179</v>
      </c>
      <c r="BC15" s="60" t="s">
        <v>179</v>
      </c>
      <c r="BD15" s="59" t="s">
        <v>179</v>
      </c>
      <c r="BE15" s="60" t="s">
        <v>179</v>
      </c>
    </row>
    <row r="16" spans="1:57" x14ac:dyDescent="0.35">
      <c r="A16" s="240"/>
      <c r="B16" s="240"/>
      <c r="C16" s="58" t="s">
        <v>192</v>
      </c>
      <c r="D16" s="59" t="s">
        <v>179</v>
      </c>
      <c r="E16" s="60" t="s">
        <v>179</v>
      </c>
      <c r="F16" s="59" t="s">
        <v>179</v>
      </c>
      <c r="G16" s="60" t="s">
        <v>179</v>
      </c>
      <c r="H16" s="59" t="s">
        <v>179</v>
      </c>
      <c r="I16" s="60" t="s">
        <v>179</v>
      </c>
      <c r="J16" s="59" t="s">
        <v>179</v>
      </c>
      <c r="K16" s="60" t="s">
        <v>179</v>
      </c>
      <c r="L16" s="59" t="s">
        <v>179</v>
      </c>
      <c r="M16" s="60" t="s">
        <v>179</v>
      </c>
      <c r="N16" s="59" t="s">
        <v>179</v>
      </c>
      <c r="O16" s="60" t="s">
        <v>179</v>
      </c>
      <c r="P16" s="59" t="s">
        <v>179</v>
      </c>
      <c r="Q16" s="60" t="s">
        <v>179</v>
      </c>
      <c r="R16" s="59" t="s">
        <v>179</v>
      </c>
      <c r="S16" s="60" t="s">
        <v>179</v>
      </c>
      <c r="T16" s="59" t="s">
        <v>179</v>
      </c>
      <c r="U16" s="60" t="s">
        <v>179</v>
      </c>
      <c r="V16" s="59" t="s">
        <v>179</v>
      </c>
      <c r="W16" s="60" t="s">
        <v>179</v>
      </c>
      <c r="X16" s="59" t="s">
        <v>179</v>
      </c>
      <c r="Y16" s="60" t="s">
        <v>179</v>
      </c>
      <c r="Z16" s="59" t="s">
        <v>179</v>
      </c>
      <c r="AA16" s="60" t="s">
        <v>179</v>
      </c>
      <c r="AB16" s="59" t="s">
        <v>179</v>
      </c>
      <c r="AC16" s="60" t="s">
        <v>179</v>
      </c>
      <c r="AD16" s="59" t="s">
        <v>179</v>
      </c>
      <c r="AE16" s="60" t="s">
        <v>179</v>
      </c>
      <c r="AF16" s="59" t="s">
        <v>179</v>
      </c>
      <c r="AG16" s="60" t="s">
        <v>179</v>
      </c>
      <c r="AH16" s="59" t="s">
        <v>179</v>
      </c>
      <c r="AI16" s="60" t="s">
        <v>179</v>
      </c>
      <c r="AJ16" s="59" t="s">
        <v>179</v>
      </c>
      <c r="AK16" s="60" t="s">
        <v>179</v>
      </c>
      <c r="AL16" s="59" t="s">
        <v>179</v>
      </c>
      <c r="AM16" s="60" t="s">
        <v>179</v>
      </c>
      <c r="AN16" s="59">
        <v>3.8643890000000001</v>
      </c>
      <c r="AO16" s="60" t="s">
        <v>179</v>
      </c>
      <c r="AP16" s="59" t="s">
        <v>179</v>
      </c>
      <c r="AQ16" s="60" t="s">
        <v>179</v>
      </c>
      <c r="AR16" s="59" t="s">
        <v>179</v>
      </c>
      <c r="AS16" s="60" t="s">
        <v>179</v>
      </c>
      <c r="AT16" s="59" t="s">
        <v>179</v>
      </c>
      <c r="AU16" s="60" t="s">
        <v>179</v>
      </c>
      <c r="AV16" s="59" t="s">
        <v>179</v>
      </c>
      <c r="AW16" s="60" t="s">
        <v>179</v>
      </c>
      <c r="AX16" s="59" t="s">
        <v>179</v>
      </c>
      <c r="AY16" s="60" t="s">
        <v>179</v>
      </c>
      <c r="AZ16" s="59" t="s">
        <v>179</v>
      </c>
      <c r="BA16" s="60" t="s">
        <v>179</v>
      </c>
      <c r="BB16" s="59" t="s">
        <v>179</v>
      </c>
      <c r="BC16" s="60" t="s">
        <v>179</v>
      </c>
      <c r="BD16" s="59" t="s">
        <v>179</v>
      </c>
      <c r="BE16" s="60" t="s">
        <v>179</v>
      </c>
    </row>
    <row r="17" spans="1:57" x14ac:dyDescent="0.35">
      <c r="A17" s="240"/>
      <c r="B17" s="240"/>
      <c r="C17" s="58" t="s">
        <v>193</v>
      </c>
      <c r="D17" s="59" t="s">
        <v>179</v>
      </c>
      <c r="E17" s="60" t="s">
        <v>179</v>
      </c>
      <c r="F17" s="59" t="s">
        <v>179</v>
      </c>
      <c r="G17" s="60" t="s">
        <v>179</v>
      </c>
      <c r="H17" s="59" t="s">
        <v>179</v>
      </c>
      <c r="I17" s="60" t="s">
        <v>179</v>
      </c>
      <c r="J17" s="59" t="s">
        <v>179</v>
      </c>
      <c r="K17" s="60" t="s">
        <v>179</v>
      </c>
      <c r="L17" s="59" t="s">
        <v>179</v>
      </c>
      <c r="M17" s="60" t="s">
        <v>179</v>
      </c>
      <c r="N17" s="59" t="s">
        <v>179</v>
      </c>
      <c r="O17" s="60" t="s">
        <v>179</v>
      </c>
      <c r="P17" s="59" t="s">
        <v>179</v>
      </c>
      <c r="Q17" s="60" t="s">
        <v>179</v>
      </c>
      <c r="R17" s="59" t="s">
        <v>179</v>
      </c>
      <c r="S17" s="60" t="s">
        <v>179</v>
      </c>
      <c r="T17" s="59" t="s">
        <v>179</v>
      </c>
      <c r="U17" s="60" t="s">
        <v>179</v>
      </c>
      <c r="V17" s="59" t="s">
        <v>179</v>
      </c>
      <c r="W17" s="60" t="s">
        <v>179</v>
      </c>
      <c r="X17" s="59" t="s">
        <v>179</v>
      </c>
      <c r="Y17" s="60" t="s">
        <v>179</v>
      </c>
      <c r="Z17" s="59" t="s">
        <v>179</v>
      </c>
      <c r="AA17" s="60" t="s">
        <v>179</v>
      </c>
      <c r="AB17" s="59" t="s">
        <v>179</v>
      </c>
      <c r="AC17" s="60" t="s">
        <v>179</v>
      </c>
      <c r="AD17" s="59" t="s">
        <v>179</v>
      </c>
      <c r="AE17" s="60" t="s">
        <v>179</v>
      </c>
      <c r="AF17" s="59" t="s">
        <v>179</v>
      </c>
      <c r="AG17" s="60" t="s">
        <v>179</v>
      </c>
      <c r="AH17" s="59" t="s">
        <v>179</v>
      </c>
      <c r="AI17" s="60" t="s">
        <v>179</v>
      </c>
      <c r="AJ17" s="59" t="s">
        <v>179</v>
      </c>
      <c r="AK17" s="60" t="s">
        <v>179</v>
      </c>
      <c r="AL17" s="59" t="s">
        <v>179</v>
      </c>
      <c r="AM17" s="60" t="s">
        <v>179</v>
      </c>
      <c r="AN17" s="59">
        <v>1.914763</v>
      </c>
      <c r="AO17" s="60" t="s">
        <v>179</v>
      </c>
      <c r="AP17" s="59" t="s">
        <v>179</v>
      </c>
      <c r="AQ17" s="60" t="s">
        <v>179</v>
      </c>
      <c r="AR17" s="59" t="s">
        <v>179</v>
      </c>
      <c r="AS17" s="60" t="s">
        <v>179</v>
      </c>
      <c r="AT17" s="59" t="s">
        <v>179</v>
      </c>
      <c r="AU17" s="60" t="s">
        <v>179</v>
      </c>
      <c r="AV17" s="59" t="s">
        <v>179</v>
      </c>
      <c r="AW17" s="60" t="s">
        <v>179</v>
      </c>
      <c r="AX17" s="59" t="s">
        <v>179</v>
      </c>
      <c r="AY17" s="60" t="s">
        <v>179</v>
      </c>
      <c r="AZ17" s="59" t="s">
        <v>179</v>
      </c>
      <c r="BA17" s="60" t="s">
        <v>179</v>
      </c>
      <c r="BB17" s="59" t="s">
        <v>179</v>
      </c>
      <c r="BC17" s="60" t="s">
        <v>179</v>
      </c>
      <c r="BD17" s="59" t="s">
        <v>179</v>
      </c>
      <c r="BE17" s="60" t="s">
        <v>179</v>
      </c>
    </row>
    <row r="18" spans="1:57" x14ac:dyDescent="0.35">
      <c r="A18" s="240"/>
      <c r="B18" s="240"/>
      <c r="C18" s="58" t="s">
        <v>194</v>
      </c>
      <c r="D18" s="59" t="s">
        <v>179</v>
      </c>
      <c r="E18" s="60" t="s">
        <v>179</v>
      </c>
      <c r="F18" s="59" t="s">
        <v>179</v>
      </c>
      <c r="G18" s="60" t="s">
        <v>179</v>
      </c>
      <c r="H18" s="59" t="s">
        <v>179</v>
      </c>
      <c r="I18" s="60" t="s">
        <v>179</v>
      </c>
      <c r="J18" s="59" t="s">
        <v>179</v>
      </c>
      <c r="K18" s="60" t="s">
        <v>179</v>
      </c>
      <c r="L18" s="59" t="s">
        <v>179</v>
      </c>
      <c r="M18" s="60" t="s">
        <v>179</v>
      </c>
      <c r="N18" s="59" t="s">
        <v>179</v>
      </c>
      <c r="O18" s="60" t="s">
        <v>179</v>
      </c>
      <c r="P18" s="59" t="s">
        <v>179</v>
      </c>
      <c r="Q18" s="60" t="s">
        <v>179</v>
      </c>
      <c r="R18" s="59" t="s">
        <v>179</v>
      </c>
      <c r="S18" s="60" t="s">
        <v>179</v>
      </c>
      <c r="T18" s="59" t="s">
        <v>179</v>
      </c>
      <c r="U18" s="60" t="s">
        <v>179</v>
      </c>
      <c r="V18" s="59" t="s">
        <v>179</v>
      </c>
      <c r="W18" s="60" t="s">
        <v>179</v>
      </c>
      <c r="X18" s="59" t="s">
        <v>179</v>
      </c>
      <c r="Y18" s="60" t="s">
        <v>179</v>
      </c>
      <c r="Z18" s="59" t="s">
        <v>179</v>
      </c>
      <c r="AA18" s="60" t="s">
        <v>179</v>
      </c>
      <c r="AB18" s="59" t="s">
        <v>179</v>
      </c>
      <c r="AC18" s="60" t="s">
        <v>179</v>
      </c>
      <c r="AD18" s="59" t="s">
        <v>179</v>
      </c>
      <c r="AE18" s="60" t="s">
        <v>179</v>
      </c>
      <c r="AF18" s="59" t="s">
        <v>179</v>
      </c>
      <c r="AG18" s="60" t="s">
        <v>179</v>
      </c>
      <c r="AH18" s="59" t="s">
        <v>179</v>
      </c>
      <c r="AI18" s="60" t="s">
        <v>179</v>
      </c>
      <c r="AJ18" s="59" t="s">
        <v>179</v>
      </c>
      <c r="AK18" s="60" t="s">
        <v>179</v>
      </c>
      <c r="AL18" s="59" t="s">
        <v>179</v>
      </c>
      <c r="AM18" s="60" t="s">
        <v>179</v>
      </c>
      <c r="AN18" s="59">
        <v>1.3581639999999999</v>
      </c>
      <c r="AO18" s="60" t="s">
        <v>179</v>
      </c>
      <c r="AP18" s="59" t="s">
        <v>179</v>
      </c>
      <c r="AQ18" s="60" t="s">
        <v>179</v>
      </c>
      <c r="AR18" s="59" t="s">
        <v>179</v>
      </c>
      <c r="AS18" s="60" t="s">
        <v>179</v>
      </c>
      <c r="AT18" s="59" t="s">
        <v>179</v>
      </c>
      <c r="AU18" s="60" t="s">
        <v>179</v>
      </c>
      <c r="AV18" s="59" t="s">
        <v>179</v>
      </c>
      <c r="AW18" s="60" t="s">
        <v>179</v>
      </c>
      <c r="AX18" s="59" t="s">
        <v>179</v>
      </c>
      <c r="AY18" s="60" t="s">
        <v>179</v>
      </c>
      <c r="AZ18" s="59" t="s">
        <v>179</v>
      </c>
      <c r="BA18" s="60" t="s">
        <v>179</v>
      </c>
      <c r="BB18" s="59" t="s">
        <v>179</v>
      </c>
      <c r="BC18" s="60" t="s">
        <v>179</v>
      </c>
      <c r="BD18" s="59" t="s">
        <v>179</v>
      </c>
      <c r="BE18" s="60" t="s">
        <v>179</v>
      </c>
    </row>
    <row r="19" spans="1:57" x14ac:dyDescent="0.35">
      <c r="A19" s="240"/>
      <c r="B19" s="240"/>
      <c r="C19" s="58" t="s">
        <v>195</v>
      </c>
      <c r="D19" s="59" t="s">
        <v>179</v>
      </c>
      <c r="E19" s="60" t="s">
        <v>179</v>
      </c>
      <c r="F19" s="59" t="s">
        <v>179</v>
      </c>
      <c r="G19" s="60" t="s">
        <v>179</v>
      </c>
      <c r="H19" s="59" t="s">
        <v>179</v>
      </c>
      <c r="I19" s="60" t="s">
        <v>179</v>
      </c>
      <c r="J19" s="59" t="s">
        <v>179</v>
      </c>
      <c r="K19" s="60" t="s">
        <v>179</v>
      </c>
      <c r="L19" s="59" t="s">
        <v>179</v>
      </c>
      <c r="M19" s="60" t="s">
        <v>179</v>
      </c>
      <c r="N19" s="59" t="s">
        <v>179</v>
      </c>
      <c r="O19" s="60" t="s">
        <v>179</v>
      </c>
      <c r="P19" s="59" t="s">
        <v>179</v>
      </c>
      <c r="Q19" s="60" t="s">
        <v>179</v>
      </c>
      <c r="R19" s="59" t="s">
        <v>179</v>
      </c>
      <c r="S19" s="60" t="s">
        <v>179</v>
      </c>
      <c r="T19" s="59" t="s">
        <v>179</v>
      </c>
      <c r="U19" s="60" t="s">
        <v>179</v>
      </c>
      <c r="V19" s="59" t="s">
        <v>179</v>
      </c>
      <c r="W19" s="60" t="s">
        <v>179</v>
      </c>
      <c r="X19" s="59" t="s">
        <v>179</v>
      </c>
      <c r="Y19" s="60" t="s">
        <v>179</v>
      </c>
      <c r="Z19" s="59" t="s">
        <v>179</v>
      </c>
      <c r="AA19" s="60" t="s">
        <v>179</v>
      </c>
      <c r="AB19" s="59" t="s">
        <v>179</v>
      </c>
      <c r="AC19" s="60" t="s">
        <v>179</v>
      </c>
      <c r="AD19" s="59" t="s">
        <v>179</v>
      </c>
      <c r="AE19" s="60" t="s">
        <v>179</v>
      </c>
      <c r="AF19" s="59" t="s">
        <v>179</v>
      </c>
      <c r="AG19" s="60" t="s">
        <v>179</v>
      </c>
      <c r="AH19" s="59" t="s">
        <v>179</v>
      </c>
      <c r="AI19" s="60" t="s">
        <v>179</v>
      </c>
      <c r="AJ19" s="59" t="s">
        <v>179</v>
      </c>
      <c r="AK19" s="60" t="s">
        <v>179</v>
      </c>
      <c r="AL19" s="59" t="s">
        <v>179</v>
      </c>
      <c r="AM19" s="60" t="s">
        <v>179</v>
      </c>
      <c r="AN19" s="59">
        <v>1.7327360000000001</v>
      </c>
      <c r="AO19" s="60" t="s">
        <v>179</v>
      </c>
      <c r="AP19" s="59" t="s">
        <v>179</v>
      </c>
      <c r="AQ19" s="60" t="s">
        <v>179</v>
      </c>
      <c r="AR19" s="59" t="s">
        <v>179</v>
      </c>
      <c r="AS19" s="60" t="s">
        <v>179</v>
      </c>
      <c r="AT19" s="59" t="s">
        <v>179</v>
      </c>
      <c r="AU19" s="60" t="s">
        <v>179</v>
      </c>
      <c r="AV19" s="59" t="s">
        <v>179</v>
      </c>
      <c r="AW19" s="60" t="s">
        <v>179</v>
      </c>
      <c r="AX19" s="59" t="s">
        <v>179</v>
      </c>
      <c r="AY19" s="60" t="s">
        <v>179</v>
      </c>
      <c r="AZ19" s="59" t="s">
        <v>179</v>
      </c>
      <c r="BA19" s="60" t="s">
        <v>179</v>
      </c>
      <c r="BB19" s="59" t="s">
        <v>179</v>
      </c>
      <c r="BC19" s="60" t="s">
        <v>179</v>
      </c>
      <c r="BD19" s="59" t="s">
        <v>179</v>
      </c>
      <c r="BE19" s="60" t="s">
        <v>179</v>
      </c>
    </row>
    <row r="20" spans="1:57" x14ac:dyDescent="0.35">
      <c r="A20" s="240"/>
      <c r="B20" s="240"/>
      <c r="C20" s="58" t="s">
        <v>196</v>
      </c>
      <c r="D20" s="59" t="s">
        <v>179</v>
      </c>
      <c r="E20" s="60" t="s">
        <v>179</v>
      </c>
      <c r="F20" s="59" t="s">
        <v>179</v>
      </c>
      <c r="G20" s="60" t="s">
        <v>179</v>
      </c>
      <c r="H20" s="59" t="s">
        <v>179</v>
      </c>
      <c r="I20" s="60" t="s">
        <v>179</v>
      </c>
      <c r="J20" s="59" t="s">
        <v>179</v>
      </c>
      <c r="K20" s="60" t="s">
        <v>179</v>
      </c>
      <c r="L20" s="59" t="s">
        <v>179</v>
      </c>
      <c r="M20" s="60" t="s">
        <v>179</v>
      </c>
      <c r="N20" s="59" t="s">
        <v>179</v>
      </c>
      <c r="O20" s="60" t="s">
        <v>179</v>
      </c>
      <c r="P20" s="59" t="s">
        <v>179</v>
      </c>
      <c r="Q20" s="60" t="s">
        <v>179</v>
      </c>
      <c r="R20" s="59" t="s">
        <v>179</v>
      </c>
      <c r="S20" s="60" t="s">
        <v>179</v>
      </c>
      <c r="T20" s="59" t="s">
        <v>179</v>
      </c>
      <c r="U20" s="60" t="s">
        <v>179</v>
      </c>
      <c r="V20" s="59" t="s">
        <v>179</v>
      </c>
      <c r="W20" s="60" t="s">
        <v>179</v>
      </c>
      <c r="X20" s="59" t="s">
        <v>179</v>
      </c>
      <c r="Y20" s="60" t="s">
        <v>179</v>
      </c>
      <c r="Z20" s="59" t="s">
        <v>179</v>
      </c>
      <c r="AA20" s="60" t="s">
        <v>179</v>
      </c>
      <c r="AB20" s="59" t="s">
        <v>179</v>
      </c>
      <c r="AC20" s="60" t="s">
        <v>179</v>
      </c>
      <c r="AD20" s="59" t="s">
        <v>179</v>
      </c>
      <c r="AE20" s="60" t="s">
        <v>179</v>
      </c>
      <c r="AF20" s="59" t="s">
        <v>179</v>
      </c>
      <c r="AG20" s="60" t="s">
        <v>179</v>
      </c>
      <c r="AH20" s="59" t="s">
        <v>179</v>
      </c>
      <c r="AI20" s="60" t="s">
        <v>179</v>
      </c>
      <c r="AJ20" s="59" t="s">
        <v>179</v>
      </c>
      <c r="AK20" s="60" t="s">
        <v>179</v>
      </c>
      <c r="AL20" s="59" t="s">
        <v>179</v>
      </c>
      <c r="AM20" s="60" t="s">
        <v>179</v>
      </c>
      <c r="AN20" s="59">
        <v>2.0609829999999998</v>
      </c>
      <c r="AO20" s="60" t="s">
        <v>179</v>
      </c>
      <c r="AP20" s="59" t="s">
        <v>179</v>
      </c>
      <c r="AQ20" s="60" t="s">
        <v>179</v>
      </c>
      <c r="AR20" s="59" t="s">
        <v>179</v>
      </c>
      <c r="AS20" s="60" t="s">
        <v>179</v>
      </c>
      <c r="AT20" s="59" t="s">
        <v>179</v>
      </c>
      <c r="AU20" s="60" t="s">
        <v>179</v>
      </c>
      <c r="AV20" s="59" t="s">
        <v>179</v>
      </c>
      <c r="AW20" s="60" t="s">
        <v>179</v>
      </c>
      <c r="AX20" s="59" t="s">
        <v>179</v>
      </c>
      <c r="AY20" s="60" t="s">
        <v>179</v>
      </c>
      <c r="AZ20" s="59" t="s">
        <v>179</v>
      </c>
      <c r="BA20" s="60" t="s">
        <v>179</v>
      </c>
      <c r="BB20" s="59" t="s">
        <v>179</v>
      </c>
      <c r="BC20" s="60" t="s">
        <v>179</v>
      </c>
      <c r="BD20" s="59" t="s">
        <v>179</v>
      </c>
      <c r="BE20" s="60" t="s">
        <v>179</v>
      </c>
    </row>
    <row r="21" spans="1:57" x14ac:dyDescent="0.35">
      <c r="A21" s="240"/>
      <c r="B21" s="240"/>
      <c r="C21" s="58" t="s">
        <v>197</v>
      </c>
      <c r="D21" s="59" t="s">
        <v>179</v>
      </c>
      <c r="E21" s="60" t="s">
        <v>179</v>
      </c>
      <c r="F21" s="59" t="s">
        <v>179</v>
      </c>
      <c r="G21" s="60" t="s">
        <v>179</v>
      </c>
      <c r="H21" s="59" t="s">
        <v>179</v>
      </c>
      <c r="I21" s="60" t="s">
        <v>179</v>
      </c>
      <c r="J21" s="59" t="s">
        <v>179</v>
      </c>
      <c r="K21" s="60" t="s">
        <v>179</v>
      </c>
      <c r="L21" s="59" t="s">
        <v>179</v>
      </c>
      <c r="M21" s="60" t="s">
        <v>179</v>
      </c>
      <c r="N21" s="59" t="s">
        <v>179</v>
      </c>
      <c r="O21" s="60" t="s">
        <v>179</v>
      </c>
      <c r="P21" s="59" t="s">
        <v>179</v>
      </c>
      <c r="Q21" s="60" t="s">
        <v>179</v>
      </c>
      <c r="R21" s="59" t="s">
        <v>179</v>
      </c>
      <c r="S21" s="60" t="s">
        <v>179</v>
      </c>
      <c r="T21" s="59" t="s">
        <v>179</v>
      </c>
      <c r="U21" s="60" t="s">
        <v>179</v>
      </c>
      <c r="V21" s="59" t="s">
        <v>179</v>
      </c>
      <c r="W21" s="60" t="s">
        <v>179</v>
      </c>
      <c r="X21" s="59" t="s">
        <v>179</v>
      </c>
      <c r="Y21" s="60" t="s">
        <v>179</v>
      </c>
      <c r="Z21" s="59" t="s">
        <v>179</v>
      </c>
      <c r="AA21" s="60" t="s">
        <v>179</v>
      </c>
      <c r="AB21" s="59" t="s">
        <v>179</v>
      </c>
      <c r="AC21" s="60" t="s">
        <v>179</v>
      </c>
      <c r="AD21" s="59" t="s">
        <v>179</v>
      </c>
      <c r="AE21" s="60" t="s">
        <v>179</v>
      </c>
      <c r="AF21" s="59" t="s">
        <v>179</v>
      </c>
      <c r="AG21" s="60" t="s">
        <v>179</v>
      </c>
      <c r="AH21" s="59" t="s">
        <v>179</v>
      </c>
      <c r="AI21" s="60" t="s">
        <v>179</v>
      </c>
      <c r="AJ21" s="59" t="s">
        <v>179</v>
      </c>
      <c r="AK21" s="60" t="s">
        <v>179</v>
      </c>
      <c r="AL21" s="59" t="s">
        <v>179</v>
      </c>
      <c r="AM21" s="60" t="s">
        <v>179</v>
      </c>
      <c r="AN21" s="59">
        <v>0.22024099999999999</v>
      </c>
      <c r="AO21" s="60" t="s">
        <v>179</v>
      </c>
      <c r="AP21" s="59" t="s">
        <v>179</v>
      </c>
      <c r="AQ21" s="60" t="s">
        <v>179</v>
      </c>
      <c r="AR21" s="59" t="s">
        <v>179</v>
      </c>
      <c r="AS21" s="60" t="s">
        <v>179</v>
      </c>
      <c r="AT21" s="59" t="s">
        <v>179</v>
      </c>
      <c r="AU21" s="60" t="s">
        <v>179</v>
      </c>
      <c r="AV21" s="59" t="s">
        <v>179</v>
      </c>
      <c r="AW21" s="60" t="s">
        <v>179</v>
      </c>
      <c r="AX21" s="59" t="s">
        <v>179</v>
      </c>
      <c r="AY21" s="60" t="s">
        <v>179</v>
      </c>
      <c r="AZ21" s="59" t="s">
        <v>179</v>
      </c>
      <c r="BA21" s="60" t="s">
        <v>179</v>
      </c>
      <c r="BB21" s="59" t="s">
        <v>179</v>
      </c>
      <c r="BC21" s="60" t="s">
        <v>179</v>
      </c>
      <c r="BD21" s="59" t="s">
        <v>179</v>
      </c>
      <c r="BE21" s="60" t="s">
        <v>179</v>
      </c>
    </row>
    <row r="22" spans="1:57" x14ac:dyDescent="0.35">
      <c r="A22" s="240"/>
      <c r="B22" s="240"/>
      <c r="C22" s="58" t="s">
        <v>198</v>
      </c>
      <c r="D22" s="59" t="s">
        <v>179</v>
      </c>
      <c r="E22" s="60" t="s">
        <v>179</v>
      </c>
      <c r="F22" s="59" t="s">
        <v>179</v>
      </c>
      <c r="G22" s="60" t="s">
        <v>179</v>
      </c>
      <c r="H22" s="59" t="s">
        <v>179</v>
      </c>
      <c r="I22" s="60" t="s">
        <v>179</v>
      </c>
      <c r="J22" s="59" t="s">
        <v>179</v>
      </c>
      <c r="K22" s="60" t="s">
        <v>179</v>
      </c>
      <c r="L22" s="59" t="s">
        <v>179</v>
      </c>
      <c r="M22" s="60" t="s">
        <v>179</v>
      </c>
      <c r="N22" s="59" t="s">
        <v>179</v>
      </c>
      <c r="O22" s="60" t="s">
        <v>179</v>
      </c>
      <c r="P22" s="59" t="s">
        <v>179</v>
      </c>
      <c r="Q22" s="60" t="s">
        <v>179</v>
      </c>
      <c r="R22" s="59" t="s">
        <v>179</v>
      </c>
      <c r="S22" s="60" t="s">
        <v>179</v>
      </c>
      <c r="T22" s="59" t="s">
        <v>179</v>
      </c>
      <c r="U22" s="60" t="s">
        <v>179</v>
      </c>
      <c r="V22" s="59" t="s">
        <v>179</v>
      </c>
      <c r="W22" s="60" t="s">
        <v>179</v>
      </c>
      <c r="X22" s="59" t="s">
        <v>179</v>
      </c>
      <c r="Y22" s="60" t="s">
        <v>179</v>
      </c>
      <c r="Z22" s="59" t="s">
        <v>179</v>
      </c>
      <c r="AA22" s="60" t="s">
        <v>179</v>
      </c>
      <c r="AB22" s="59" t="s">
        <v>179</v>
      </c>
      <c r="AC22" s="60" t="s">
        <v>179</v>
      </c>
      <c r="AD22" s="59" t="s">
        <v>179</v>
      </c>
      <c r="AE22" s="60" t="s">
        <v>179</v>
      </c>
      <c r="AF22" s="59" t="s">
        <v>179</v>
      </c>
      <c r="AG22" s="60" t="s">
        <v>179</v>
      </c>
      <c r="AH22" s="59" t="s">
        <v>179</v>
      </c>
      <c r="AI22" s="60" t="s">
        <v>179</v>
      </c>
      <c r="AJ22" s="59" t="s">
        <v>179</v>
      </c>
      <c r="AK22" s="60" t="s">
        <v>179</v>
      </c>
      <c r="AL22" s="59" t="s">
        <v>179</v>
      </c>
      <c r="AM22" s="60" t="s">
        <v>179</v>
      </c>
      <c r="AN22" s="59">
        <v>1.068549</v>
      </c>
      <c r="AO22" s="60" t="s">
        <v>179</v>
      </c>
      <c r="AP22" s="59" t="s">
        <v>179</v>
      </c>
      <c r="AQ22" s="60" t="s">
        <v>179</v>
      </c>
      <c r="AR22" s="59" t="s">
        <v>179</v>
      </c>
      <c r="AS22" s="60" t="s">
        <v>179</v>
      </c>
      <c r="AT22" s="59" t="s">
        <v>179</v>
      </c>
      <c r="AU22" s="60" t="s">
        <v>179</v>
      </c>
      <c r="AV22" s="59" t="s">
        <v>179</v>
      </c>
      <c r="AW22" s="60" t="s">
        <v>179</v>
      </c>
      <c r="AX22" s="59" t="s">
        <v>179</v>
      </c>
      <c r="AY22" s="60" t="s">
        <v>179</v>
      </c>
      <c r="AZ22" s="59" t="s">
        <v>179</v>
      </c>
      <c r="BA22" s="60" t="s">
        <v>179</v>
      </c>
      <c r="BB22" s="59" t="s">
        <v>179</v>
      </c>
      <c r="BC22" s="60" t="s">
        <v>179</v>
      </c>
      <c r="BD22" s="59" t="s">
        <v>179</v>
      </c>
      <c r="BE22" s="60" t="s">
        <v>179</v>
      </c>
    </row>
    <row r="23" spans="1:57" x14ac:dyDescent="0.35">
      <c r="A23" s="240"/>
      <c r="B23" s="240"/>
      <c r="C23" s="58" t="s">
        <v>199</v>
      </c>
      <c r="D23" s="59" t="s">
        <v>179</v>
      </c>
      <c r="E23" s="60" t="s">
        <v>179</v>
      </c>
      <c r="F23" s="59" t="s">
        <v>179</v>
      </c>
      <c r="G23" s="60" t="s">
        <v>179</v>
      </c>
      <c r="H23" s="59" t="s">
        <v>179</v>
      </c>
      <c r="I23" s="60" t="s">
        <v>179</v>
      </c>
      <c r="J23" s="59" t="s">
        <v>179</v>
      </c>
      <c r="K23" s="60" t="s">
        <v>179</v>
      </c>
      <c r="L23" s="59" t="s">
        <v>179</v>
      </c>
      <c r="M23" s="60" t="s">
        <v>179</v>
      </c>
      <c r="N23" s="59" t="s">
        <v>179</v>
      </c>
      <c r="O23" s="60" t="s">
        <v>179</v>
      </c>
      <c r="P23" s="59" t="s">
        <v>179</v>
      </c>
      <c r="Q23" s="60" t="s">
        <v>179</v>
      </c>
      <c r="R23" s="59" t="s">
        <v>179</v>
      </c>
      <c r="S23" s="60" t="s">
        <v>179</v>
      </c>
      <c r="T23" s="59" t="s">
        <v>179</v>
      </c>
      <c r="U23" s="60" t="s">
        <v>179</v>
      </c>
      <c r="V23" s="59" t="s">
        <v>179</v>
      </c>
      <c r="W23" s="60" t="s">
        <v>179</v>
      </c>
      <c r="X23" s="59" t="s">
        <v>179</v>
      </c>
      <c r="Y23" s="60" t="s">
        <v>179</v>
      </c>
      <c r="Z23" s="59" t="s">
        <v>179</v>
      </c>
      <c r="AA23" s="60" t="s">
        <v>179</v>
      </c>
      <c r="AB23" s="59" t="s">
        <v>179</v>
      </c>
      <c r="AC23" s="60" t="s">
        <v>179</v>
      </c>
      <c r="AD23" s="59" t="s">
        <v>179</v>
      </c>
      <c r="AE23" s="60" t="s">
        <v>179</v>
      </c>
      <c r="AF23" s="59" t="s">
        <v>179</v>
      </c>
      <c r="AG23" s="60" t="s">
        <v>179</v>
      </c>
      <c r="AH23" s="59" t="s">
        <v>179</v>
      </c>
      <c r="AI23" s="60" t="s">
        <v>179</v>
      </c>
      <c r="AJ23" s="59" t="s">
        <v>179</v>
      </c>
      <c r="AK23" s="60" t="s">
        <v>179</v>
      </c>
      <c r="AL23" s="59" t="s">
        <v>179</v>
      </c>
      <c r="AM23" s="60" t="s">
        <v>179</v>
      </c>
      <c r="AN23" s="59">
        <v>0.21538599999999999</v>
      </c>
      <c r="AO23" s="60" t="s">
        <v>179</v>
      </c>
      <c r="AP23" s="59" t="s">
        <v>179</v>
      </c>
      <c r="AQ23" s="60" t="s">
        <v>179</v>
      </c>
      <c r="AR23" s="59" t="s">
        <v>179</v>
      </c>
      <c r="AS23" s="60" t="s">
        <v>179</v>
      </c>
      <c r="AT23" s="59" t="s">
        <v>179</v>
      </c>
      <c r="AU23" s="60" t="s">
        <v>179</v>
      </c>
      <c r="AV23" s="59" t="s">
        <v>179</v>
      </c>
      <c r="AW23" s="60" t="s">
        <v>179</v>
      </c>
      <c r="AX23" s="59" t="s">
        <v>179</v>
      </c>
      <c r="AY23" s="60" t="s">
        <v>179</v>
      </c>
      <c r="AZ23" s="59" t="s">
        <v>179</v>
      </c>
      <c r="BA23" s="60" t="s">
        <v>179</v>
      </c>
      <c r="BB23" s="59" t="s">
        <v>179</v>
      </c>
      <c r="BC23" s="60" t="s">
        <v>179</v>
      </c>
      <c r="BD23" s="59" t="s">
        <v>179</v>
      </c>
      <c r="BE23" s="60" t="s">
        <v>179</v>
      </c>
    </row>
    <row r="24" spans="1:57" x14ac:dyDescent="0.35">
      <c r="A24" s="240"/>
      <c r="B24" s="240"/>
      <c r="C24" s="58" t="s">
        <v>200</v>
      </c>
      <c r="D24" s="59" t="s">
        <v>179</v>
      </c>
      <c r="E24" s="60" t="s">
        <v>179</v>
      </c>
      <c r="F24" s="59" t="s">
        <v>179</v>
      </c>
      <c r="G24" s="60" t="s">
        <v>179</v>
      </c>
      <c r="H24" s="59" t="s">
        <v>179</v>
      </c>
      <c r="I24" s="60" t="s">
        <v>179</v>
      </c>
      <c r="J24" s="59" t="s">
        <v>179</v>
      </c>
      <c r="K24" s="60" t="s">
        <v>179</v>
      </c>
      <c r="L24" s="59" t="s">
        <v>179</v>
      </c>
      <c r="M24" s="60" t="s">
        <v>179</v>
      </c>
      <c r="N24" s="59" t="s">
        <v>179</v>
      </c>
      <c r="O24" s="60" t="s">
        <v>179</v>
      </c>
      <c r="P24" s="59" t="s">
        <v>179</v>
      </c>
      <c r="Q24" s="60" t="s">
        <v>179</v>
      </c>
      <c r="R24" s="59" t="s">
        <v>179</v>
      </c>
      <c r="S24" s="60" t="s">
        <v>179</v>
      </c>
      <c r="T24" s="59" t="s">
        <v>179</v>
      </c>
      <c r="U24" s="60" t="s">
        <v>179</v>
      </c>
      <c r="V24" s="59" t="s">
        <v>179</v>
      </c>
      <c r="W24" s="60" t="s">
        <v>179</v>
      </c>
      <c r="X24" s="59" t="s">
        <v>179</v>
      </c>
      <c r="Y24" s="60" t="s">
        <v>179</v>
      </c>
      <c r="Z24" s="59" t="s">
        <v>179</v>
      </c>
      <c r="AA24" s="60" t="s">
        <v>179</v>
      </c>
      <c r="AB24" s="59" t="s">
        <v>179</v>
      </c>
      <c r="AC24" s="60" t="s">
        <v>179</v>
      </c>
      <c r="AD24" s="59" t="s">
        <v>179</v>
      </c>
      <c r="AE24" s="60" t="s">
        <v>179</v>
      </c>
      <c r="AF24" s="59" t="s">
        <v>179</v>
      </c>
      <c r="AG24" s="60" t="s">
        <v>179</v>
      </c>
      <c r="AH24" s="59" t="s">
        <v>179</v>
      </c>
      <c r="AI24" s="60" t="s">
        <v>179</v>
      </c>
      <c r="AJ24" s="59" t="s">
        <v>179</v>
      </c>
      <c r="AK24" s="60" t="s">
        <v>179</v>
      </c>
      <c r="AL24" s="59" t="s">
        <v>179</v>
      </c>
      <c r="AM24" s="60" t="s">
        <v>179</v>
      </c>
      <c r="AN24" s="59">
        <v>0.72187100000000004</v>
      </c>
      <c r="AO24" s="60" t="s">
        <v>179</v>
      </c>
      <c r="AP24" s="59" t="s">
        <v>179</v>
      </c>
      <c r="AQ24" s="60" t="s">
        <v>179</v>
      </c>
      <c r="AR24" s="59" t="s">
        <v>179</v>
      </c>
      <c r="AS24" s="60" t="s">
        <v>179</v>
      </c>
      <c r="AT24" s="59" t="s">
        <v>179</v>
      </c>
      <c r="AU24" s="60" t="s">
        <v>179</v>
      </c>
      <c r="AV24" s="59" t="s">
        <v>179</v>
      </c>
      <c r="AW24" s="60" t="s">
        <v>179</v>
      </c>
      <c r="AX24" s="59" t="s">
        <v>179</v>
      </c>
      <c r="AY24" s="60" t="s">
        <v>179</v>
      </c>
      <c r="AZ24" s="59" t="s">
        <v>179</v>
      </c>
      <c r="BA24" s="60" t="s">
        <v>179</v>
      </c>
      <c r="BB24" s="59" t="s">
        <v>179</v>
      </c>
      <c r="BC24" s="60" t="s">
        <v>179</v>
      </c>
      <c r="BD24" s="59" t="s">
        <v>179</v>
      </c>
      <c r="BE24" s="60" t="s">
        <v>179</v>
      </c>
    </row>
    <row r="25" spans="1:57" x14ac:dyDescent="0.35">
      <c r="A25" s="240"/>
      <c r="B25" s="240"/>
      <c r="C25" s="58" t="s">
        <v>201</v>
      </c>
      <c r="D25" s="59" t="s">
        <v>179</v>
      </c>
      <c r="E25" s="60" t="s">
        <v>179</v>
      </c>
      <c r="F25" s="59" t="s">
        <v>179</v>
      </c>
      <c r="G25" s="60" t="s">
        <v>179</v>
      </c>
      <c r="H25" s="59" t="s">
        <v>179</v>
      </c>
      <c r="I25" s="60" t="s">
        <v>179</v>
      </c>
      <c r="J25" s="59" t="s">
        <v>179</v>
      </c>
      <c r="K25" s="60" t="s">
        <v>179</v>
      </c>
      <c r="L25" s="59" t="s">
        <v>179</v>
      </c>
      <c r="M25" s="60" t="s">
        <v>179</v>
      </c>
      <c r="N25" s="59" t="s">
        <v>179</v>
      </c>
      <c r="O25" s="60" t="s">
        <v>179</v>
      </c>
      <c r="P25" s="59" t="s">
        <v>179</v>
      </c>
      <c r="Q25" s="60" t="s">
        <v>179</v>
      </c>
      <c r="R25" s="59" t="s">
        <v>179</v>
      </c>
      <c r="S25" s="60" t="s">
        <v>179</v>
      </c>
      <c r="T25" s="59" t="s">
        <v>179</v>
      </c>
      <c r="U25" s="60" t="s">
        <v>179</v>
      </c>
      <c r="V25" s="59" t="s">
        <v>179</v>
      </c>
      <c r="W25" s="60" t="s">
        <v>179</v>
      </c>
      <c r="X25" s="59" t="s">
        <v>179</v>
      </c>
      <c r="Y25" s="60" t="s">
        <v>179</v>
      </c>
      <c r="Z25" s="59" t="s">
        <v>179</v>
      </c>
      <c r="AA25" s="60" t="s">
        <v>179</v>
      </c>
      <c r="AB25" s="59" t="s">
        <v>179</v>
      </c>
      <c r="AC25" s="60" t="s">
        <v>179</v>
      </c>
      <c r="AD25" s="59" t="s">
        <v>179</v>
      </c>
      <c r="AE25" s="60" t="s">
        <v>179</v>
      </c>
      <c r="AF25" s="59" t="s">
        <v>179</v>
      </c>
      <c r="AG25" s="60" t="s">
        <v>179</v>
      </c>
      <c r="AH25" s="59" t="s">
        <v>179</v>
      </c>
      <c r="AI25" s="60" t="s">
        <v>179</v>
      </c>
      <c r="AJ25" s="59" t="s">
        <v>179</v>
      </c>
      <c r="AK25" s="60" t="s">
        <v>179</v>
      </c>
      <c r="AL25" s="59" t="s">
        <v>179</v>
      </c>
      <c r="AM25" s="60" t="s">
        <v>179</v>
      </c>
      <c r="AN25" s="59">
        <v>3.284198</v>
      </c>
      <c r="AO25" s="60" t="s">
        <v>179</v>
      </c>
      <c r="AP25" s="59" t="s">
        <v>179</v>
      </c>
      <c r="AQ25" s="60" t="s">
        <v>179</v>
      </c>
      <c r="AR25" s="59" t="s">
        <v>179</v>
      </c>
      <c r="AS25" s="60" t="s">
        <v>179</v>
      </c>
      <c r="AT25" s="59" t="s">
        <v>179</v>
      </c>
      <c r="AU25" s="60" t="s">
        <v>179</v>
      </c>
      <c r="AV25" s="59" t="s">
        <v>179</v>
      </c>
      <c r="AW25" s="60" t="s">
        <v>179</v>
      </c>
      <c r="AX25" s="59" t="s">
        <v>179</v>
      </c>
      <c r="AY25" s="60" t="s">
        <v>179</v>
      </c>
      <c r="AZ25" s="59" t="s">
        <v>179</v>
      </c>
      <c r="BA25" s="60" t="s">
        <v>179</v>
      </c>
      <c r="BB25" s="59" t="s">
        <v>179</v>
      </c>
      <c r="BC25" s="60" t="s">
        <v>179</v>
      </c>
      <c r="BD25" s="59" t="s">
        <v>179</v>
      </c>
      <c r="BE25" s="60" t="s">
        <v>179</v>
      </c>
    </row>
    <row r="26" spans="1:57" x14ac:dyDescent="0.35">
      <c r="A26" s="240"/>
      <c r="B26" s="240"/>
      <c r="C26" s="58" t="s">
        <v>202</v>
      </c>
      <c r="D26" s="59" t="s">
        <v>179</v>
      </c>
      <c r="E26" s="60" t="s">
        <v>179</v>
      </c>
      <c r="F26" s="59" t="s">
        <v>179</v>
      </c>
      <c r="G26" s="60" t="s">
        <v>179</v>
      </c>
      <c r="H26" s="59" t="s">
        <v>179</v>
      </c>
      <c r="I26" s="60" t="s">
        <v>179</v>
      </c>
      <c r="J26" s="59" t="s">
        <v>179</v>
      </c>
      <c r="K26" s="60" t="s">
        <v>179</v>
      </c>
      <c r="L26" s="59" t="s">
        <v>179</v>
      </c>
      <c r="M26" s="60" t="s">
        <v>179</v>
      </c>
      <c r="N26" s="59" t="s">
        <v>179</v>
      </c>
      <c r="O26" s="60" t="s">
        <v>179</v>
      </c>
      <c r="P26" s="59" t="s">
        <v>179</v>
      </c>
      <c r="Q26" s="60" t="s">
        <v>179</v>
      </c>
      <c r="R26" s="59" t="s">
        <v>179</v>
      </c>
      <c r="S26" s="60" t="s">
        <v>179</v>
      </c>
      <c r="T26" s="59" t="s">
        <v>179</v>
      </c>
      <c r="U26" s="60" t="s">
        <v>179</v>
      </c>
      <c r="V26" s="59" t="s">
        <v>179</v>
      </c>
      <c r="W26" s="60" t="s">
        <v>179</v>
      </c>
      <c r="X26" s="59" t="s">
        <v>179</v>
      </c>
      <c r="Y26" s="60" t="s">
        <v>179</v>
      </c>
      <c r="Z26" s="59" t="s">
        <v>179</v>
      </c>
      <c r="AA26" s="60" t="s">
        <v>179</v>
      </c>
      <c r="AB26" s="59" t="s">
        <v>179</v>
      </c>
      <c r="AC26" s="60" t="s">
        <v>179</v>
      </c>
      <c r="AD26" s="59" t="s">
        <v>179</v>
      </c>
      <c r="AE26" s="60" t="s">
        <v>179</v>
      </c>
      <c r="AF26" s="59" t="s">
        <v>179</v>
      </c>
      <c r="AG26" s="60" t="s">
        <v>179</v>
      </c>
      <c r="AH26" s="59" t="s">
        <v>179</v>
      </c>
      <c r="AI26" s="60" t="s">
        <v>179</v>
      </c>
      <c r="AJ26" s="59" t="s">
        <v>179</v>
      </c>
      <c r="AK26" s="60" t="s">
        <v>179</v>
      </c>
      <c r="AL26" s="59" t="s">
        <v>179</v>
      </c>
      <c r="AM26" s="60" t="s">
        <v>179</v>
      </c>
      <c r="AN26" s="59">
        <v>1.858854</v>
      </c>
      <c r="AO26" s="60" t="s">
        <v>179</v>
      </c>
      <c r="AP26" s="59" t="s">
        <v>179</v>
      </c>
      <c r="AQ26" s="60" t="s">
        <v>179</v>
      </c>
      <c r="AR26" s="59" t="s">
        <v>179</v>
      </c>
      <c r="AS26" s="60" t="s">
        <v>179</v>
      </c>
      <c r="AT26" s="59" t="s">
        <v>179</v>
      </c>
      <c r="AU26" s="60" t="s">
        <v>179</v>
      </c>
      <c r="AV26" s="59" t="s">
        <v>179</v>
      </c>
      <c r="AW26" s="60" t="s">
        <v>179</v>
      </c>
      <c r="AX26" s="59" t="s">
        <v>179</v>
      </c>
      <c r="AY26" s="60" t="s">
        <v>179</v>
      </c>
      <c r="AZ26" s="59" t="s">
        <v>179</v>
      </c>
      <c r="BA26" s="60" t="s">
        <v>179</v>
      </c>
      <c r="BB26" s="59" t="s">
        <v>179</v>
      </c>
      <c r="BC26" s="60" t="s">
        <v>179</v>
      </c>
      <c r="BD26" s="59" t="s">
        <v>179</v>
      </c>
      <c r="BE26" s="60" t="s">
        <v>179</v>
      </c>
    </row>
    <row r="27" spans="1:57" x14ac:dyDescent="0.35">
      <c r="A27" s="240"/>
      <c r="B27" s="240"/>
      <c r="C27" s="58" t="s">
        <v>203</v>
      </c>
      <c r="D27" s="59" t="s">
        <v>179</v>
      </c>
      <c r="E27" s="60" t="s">
        <v>179</v>
      </c>
      <c r="F27" s="59" t="s">
        <v>179</v>
      </c>
      <c r="G27" s="60" t="s">
        <v>179</v>
      </c>
      <c r="H27" s="59" t="s">
        <v>179</v>
      </c>
      <c r="I27" s="60" t="s">
        <v>179</v>
      </c>
      <c r="J27" s="59" t="s">
        <v>179</v>
      </c>
      <c r="K27" s="60" t="s">
        <v>179</v>
      </c>
      <c r="L27" s="59" t="s">
        <v>179</v>
      </c>
      <c r="M27" s="60" t="s">
        <v>179</v>
      </c>
      <c r="N27" s="59" t="s">
        <v>179</v>
      </c>
      <c r="O27" s="60" t="s">
        <v>179</v>
      </c>
      <c r="P27" s="59" t="s">
        <v>179</v>
      </c>
      <c r="Q27" s="60" t="s">
        <v>179</v>
      </c>
      <c r="R27" s="59" t="s">
        <v>179</v>
      </c>
      <c r="S27" s="60" t="s">
        <v>179</v>
      </c>
      <c r="T27" s="59" t="s">
        <v>179</v>
      </c>
      <c r="U27" s="60" t="s">
        <v>179</v>
      </c>
      <c r="V27" s="59" t="s">
        <v>179</v>
      </c>
      <c r="W27" s="60" t="s">
        <v>179</v>
      </c>
      <c r="X27" s="59" t="s">
        <v>179</v>
      </c>
      <c r="Y27" s="60" t="s">
        <v>179</v>
      </c>
      <c r="Z27" s="59" t="s">
        <v>179</v>
      </c>
      <c r="AA27" s="60" t="s">
        <v>179</v>
      </c>
      <c r="AB27" s="59" t="s">
        <v>179</v>
      </c>
      <c r="AC27" s="60" t="s">
        <v>179</v>
      </c>
      <c r="AD27" s="59" t="s">
        <v>179</v>
      </c>
      <c r="AE27" s="60" t="s">
        <v>179</v>
      </c>
      <c r="AF27" s="59" t="s">
        <v>179</v>
      </c>
      <c r="AG27" s="60" t="s">
        <v>179</v>
      </c>
      <c r="AH27" s="59" t="s">
        <v>179</v>
      </c>
      <c r="AI27" s="60" t="s">
        <v>179</v>
      </c>
      <c r="AJ27" s="59" t="s">
        <v>179</v>
      </c>
      <c r="AK27" s="60" t="s">
        <v>179</v>
      </c>
      <c r="AL27" s="59" t="s">
        <v>179</v>
      </c>
      <c r="AM27" s="60" t="s">
        <v>179</v>
      </c>
      <c r="AN27" s="59">
        <v>0.772984</v>
      </c>
      <c r="AO27" s="60" t="s">
        <v>179</v>
      </c>
      <c r="AP27" s="59" t="s">
        <v>179</v>
      </c>
      <c r="AQ27" s="60" t="s">
        <v>179</v>
      </c>
      <c r="AR27" s="59" t="s">
        <v>179</v>
      </c>
      <c r="AS27" s="60" t="s">
        <v>179</v>
      </c>
      <c r="AT27" s="59" t="s">
        <v>179</v>
      </c>
      <c r="AU27" s="60" t="s">
        <v>179</v>
      </c>
      <c r="AV27" s="59" t="s">
        <v>179</v>
      </c>
      <c r="AW27" s="60" t="s">
        <v>179</v>
      </c>
      <c r="AX27" s="59" t="s">
        <v>179</v>
      </c>
      <c r="AY27" s="60" t="s">
        <v>179</v>
      </c>
      <c r="AZ27" s="59" t="s">
        <v>179</v>
      </c>
      <c r="BA27" s="60" t="s">
        <v>179</v>
      </c>
      <c r="BB27" s="59" t="s">
        <v>179</v>
      </c>
      <c r="BC27" s="60" t="s">
        <v>179</v>
      </c>
      <c r="BD27" s="59" t="s">
        <v>179</v>
      </c>
      <c r="BE27" s="60" t="s">
        <v>179</v>
      </c>
    </row>
    <row r="28" spans="1:57" x14ac:dyDescent="0.35">
      <c r="A28" s="240"/>
      <c r="B28" s="240"/>
      <c r="C28" s="58" t="s">
        <v>204</v>
      </c>
      <c r="D28" s="59" t="s">
        <v>179</v>
      </c>
      <c r="E28" s="60" t="s">
        <v>179</v>
      </c>
      <c r="F28" s="59" t="s">
        <v>179</v>
      </c>
      <c r="G28" s="60" t="s">
        <v>179</v>
      </c>
      <c r="H28" s="59" t="s">
        <v>179</v>
      </c>
      <c r="I28" s="60" t="s">
        <v>179</v>
      </c>
      <c r="J28" s="59" t="s">
        <v>179</v>
      </c>
      <c r="K28" s="60" t="s">
        <v>179</v>
      </c>
      <c r="L28" s="59" t="s">
        <v>179</v>
      </c>
      <c r="M28" s="60" t="s">
        <v>179</v>
      </c>
      <c r="N28" s="59" t="s">
        <v>179</v>
      </c>
      <c r="O28" s="60" t="s">
        <v>179</v>
      </c>
      <c r="P28" s="59" t="s">
        <v>179</v>
      </c>
      <c r="Q28" s="60" t="s">
        <v>179</v>
      </c>
      <c r="R28" s="59" t="s">
        <v>179</v>
      </c>
      <c r="S28" s="60" t="s">
        <v>179</v>
      </c>
      <c r="T28" s="59" t="s">
        <v>179</v>
      </c>
      <c r="U28" s="60" t="s">
        <v>179</v>
      </c>
      <c r="V28" s="59" t="s">
        <v>179</v>
      </c>
      <c r="W28" s="60" t="s">
        <v>179</v>
      </c>
      <c r="X28" s="59" t="s">
        <v>179</v>
      </c>
      <c r="Y28" s="60" t="s">
        <v>179</v>
      </c>
      <c r="Z28" s="59" t="s">
        <v>179</v>
      </c>
      <c r="AA28" s="60" t="s">
        <v>179</v>
      </c>
      <c r="AB28" s="59" t="s">
        <v>179</v>
      </c>
      <c r="AC28" s="60" t="s">
        <v>179</v>
      </c>
      <c r="AD28" s="59" t="s">
        <v>179</v>
      </c>
      <c r="AE28" s="60" t="s">
        <v>179</v>
      </c>
      <c r="AF28" s="59" t="s">
        <v>179</v>
      </c>
      <c r="AG28" s="60" t="s">
        <v>179</v>
      </c>
      <c r="AH28" s="59" t="s">
        <v>179</v>
      </c>
      <c r="AI28" s="60" t="s">
        <v>179</v>
      </c>
      <c r="AJ28" s="59" t="s">
        <v>179</v>
      </c>
      <c r="AK28" s="60" t="s">
        <v>179</v>
      </c>
      <c r="AL28" s="59" t="s">
        <v>179</v>
      </c>
      <c r="AM28" s="60" t="s">
        <v>179</v>
      </c>
      <c r="AN28" s="59">
        <v>-0.56269400000000003</v>
      </c>
      <c r="AO28" s="60" t="s">
        <v>179</v>
      </c>
      <c r="AP28" s="59" t="s">
        <v>179</v>
      </c>
      <c r="AQ28" s="60" t="s">
        <v>179</v>
      </c>
      <c r="AR28" s="59" t="s">
        <v>179</v>
      </c>
      <c r="AS28" s="60" t="s">
        <v>179</v>
      </c>
      <c r="AT28" s="59" t="s">
        <v>179</v>
      </c>
      <c r="AU28" s="60" t="s">
        <v>179</v>
      </c>
      <c r="AV28" s="59" t="s">
        <v>179</v>
      </c>
      <c r="AW28" s="60" t="s">
        <v>179</v>
      </c>
      <c r="AX28" s="59" t="s">
        <v>179</v>
      </c>
      <c r="AY28" s="60" t="s">
        <v>179</v>
      </c>
      <c r="AZ28" s="59" t="s">
        <v>179</v>
      </c>
      <c r="BA28" s="60" t="s">
        <v>179</v>
      </c>
      <c r="BB28" s="59" t="s">
        <v>179</v>
      </c>
      <c r="BC28" s="60" t="s">
        <v>179</v>
      </c>
      <c r="BD28" s="59" t="s">
        <v>179</v>
      </c>
      <c r="BE28" s="60" t="s">
        <v>179</v>
      </c>
    </row>
    <row r="29" spans="1:57" x14ac:dyDescent="0.35">
      <c r="A29" s="240"/>
      <c r="B29" s="240"/>
      <c r="C29" s="58" t="s">
        <v>205</v>
      </c>
      <c r="D29" s="59" t="s">
        <v>179</v>
      </c>
      <c r="E29" s="60" t="s">
        <v>179</v>
      </c>
      <c r="F29" s="59" t="s">
        <v>179</v>
      </c>
      <c r="G29" s="60" t="s">
        <v>179</v>
      </c>
      <c r="H29" s="59" t="s">
        <v>179</v>
      </c>
      <c r="I29" s="60" t="s">
        <v>179</v>
      </c>
      <c r="J29" s="59" t="s">
        <v>179</v>
      </c>
      <c r="K29" s="60" t="s">
        <v>179</v>
      </c>
      <c r="L29" s="59" t="s">
        <v>179</v>
      </c>
      <c r="M29" s="60" t="s">
        <v>179</v>
      </c>
      <c r="N29" s="59" t="s">
        <v>179</v>
      </c>
      <c r="O29" s="60" t="s">
        <v>179</v>
      </c>
      <c r="P29" s="59" t="s">
        <v>179</v>
      </c>
      <c r="Q29" s="60" t="s">
        <v>179</v>
      </c>
      <c r="R29" s="59" t="s">
        <v>179</v>
      </c>
      <c r="S29" s="60" t="s">
        <v>179</v>
      </c>
      <c r="T29" s="59" t="s">
        <v>179</v>
      </c>
      <c r="U29" s="60" t="s">
        <v>179</v>
      </c>
      <c r="V29" s="59" t="s">
        <v>179</v>
      </c>
      <c r="W29" s="60" t="s">
        <v>179</v>
      </c>
      <c r="X29" s="59" t="s">
        <v>179</v>
      </c>
      <c r="Y29" s="60" t="s">
        <v>179</v>
      </c>
      <c r="Z29" s="59" t="s">
        <v>179</v>
      </c>
      <c r="AA29" s="60" t="s">
        <v>179</v>
      </c>
      <c r="AB29" s="59" t="s">
        <v>179</v>
      </c>
      <c r="AC29" s="60" t="s">
        <v>179</v>
      </c>
      <c r="AD29" s="59" t="s">
        <v>179</v>
      </c>
      <c r="AE29" s="60" t="s">
        <v>179</v>
      </c>
      <c r="AF29" s="59" t="s">
        <v>179</v>
      </c>
      <c r="AG29" s="60" t="s">
        <v>179</v>
      </c>
      <c r="AH29" s="59" t="s">
        <v>179</v>
      </c>
      <c r="AI29" s="60" t="s">
        <v>179</v>
      </c>
      <c r="AJ29" s="59" t="s">
        <v>179</v>
      </c>
      <c r="AK29" s="60" t="s">
        <v>179</v>
      </c>
      <c r="AL29" s="59" t="s">
        <v>179</v>
      </c>
      <c r="AM29" s="60" t="s">
        <v>179</v>
      </c>
      <c r="AN29" s="59">
        <v>-1.513976</v>
      </c>
      <c r="AO29" s="60" t="s">
        <v>179</v>
      </c>
      <c r="AP29" s="59" t="s">
        <v>179</v>
      </c>
      <c r="AQ29" s="60" t="s">
        <v>179</v>
      </c>
      <c r="AR29" s="59" t="s">
        <v>179</v>
      </c>
      <c r="AS29" s="60" t="s">
        <v>179</v>
      </c>
      <c r="AT29" s="59" t="s">
        <v>179</v>
      </c>
      <c r="AU29" s="60" t="s">
        <v>179</v>
      </c>
      <c r="AV29" s="59" t="s">
        <v>179</v>
      </c>
      <c r="AW29" s="60" t="s">
        <v>179</v>
      </c>
      <c r="AX29" s="59" t="s">
        <v>179</v>
      </c>
      <c r="AY29" s="60" t="s">
        <v>179</v>
      </c>
      <c r="AZ29" s="59" t="s">
        <v>179</v>
      </c>
      <c r="BA29" s="60" t="s">
        <v>179</v>
      </c>
      <c r="BB29" s="59" t="s">
        <v>179</v>
      </c>
      <c r="BC29" s="60" t="s">
        <v>179</v>
      </c>
      <c r="BD29" s="59" t="s">
        <v>179</v>
      </c>
      <c r="BE29" s="60" t="s">
        <v>179</v>
      </c>
    </row>
    <row r="30" spans="1:57" x14ac:dyDescent="0.35">
      <c r="A30" s="240"/>
      <c r="B30" s="240"/>
      <c r="C30" s="58" t="s">
        <v>206</v>
      </c>
      <c r="D30" s="59" t="s">
        <v>179</v>
      </c>
      <c r="E30" s="60" t="s">
        <v>179</v>
      </c>
      <c r="F30" s="59" t="s">
        <v>179</v>
      </c>
      <c r="G30" s="60" t="s">
        <v>179</v>
      </c>
      <c r="H30" s="59" t="s">
        <v>179</v>
      </c>
      <c r="I30" s="60" t="s">
        <v>179</v>
      </c>
      <c r="J30" s="59" t="s">
        <v>179</v>
      </c>
      <c r="K30" s="60" t="s">
        <v>179</v>
      </c>
      <c r="L30" s="59" t="s">
        <v>179</v>
      </c>
      <c r="M30" s="60" t="s">
        <v>179</v>
      </c>
      <c r="N30" s="59" t="s">
        <v>179</v>
      </c>
      <c r="O30" s="60" t="s">
        <v>179</v>
      </c>
      <c r="P30" s="59" t="s">
        <v>179</v>
      </c>
      <c r="Q30" s="60" t="s">
        <v>179</v>
      </c>
      <c r="R30" s="59" t="s">
        <v>179</v>
      </c>
      <c r="S30" s="60" t="s">
        <v>179</v>
      </c>
      <c r="T30" s="59" t="s">
        <v>179</v>
      </c>
      <c r="U30" s="60" t="s">
        <v>179</v>
      </c>
      <c r="V30" s="59" t="s">
        <v>179</v>
      </c>
      <c r="W30" s="60" t="s">
        <v>179</v>
      </c>
      <c r="X30" s="59" t="s">
        <v>179</v>
      </c>
      <c r="Y30" s="60" t="s">
        <v>179</v>
      </c>
      <c r="Z30" s="59" t="s">
        <v>179</v>
      </c>
      <c r="AA30" s="60" t="s">
        <v>179</v>
      </c>
      <c r="AB30" s="59" t="s">
        <v>179</v>
      </c>
      <c r="AC30" s="60" t="s">
        <v>179</v>
      </c>
      <c r="AD30" s="59" t="s">
        <v>179</v>
      </c>
      <c r="AE30" s="60" t="s">
        <v>179</v>
      </c>
      <c r="AF30" s="59" t="s">
        <v>179</v>
      </c>
      <c r="AG30" s="60" t="s">
        <v>179</v>
      </c>
      <c r="AH30" s="59" t="s">
        <v>179</v>
      </c>
      <c r="AI30" s="60" t="s">
        <v>179</v>
      </c>
      <c r="AJ30" s="59" t="s">
        <v>179</v>
      </c>
      <c r="AK30" s="60" t="s">
        <v>179</v>
      </c>
      <c r="AL30" s="59" t="s">
        <v>179</v>
      </c>
      <c r="AM30" s="60" t="s">
        <v>179</v>
      </c>
      <c r="AN30" s="59">
        <v>-0.47801300000000002</v>
      </c>
      <c r="AO30" s="60" t="s">
        <v>179</v>
      </c>
      <c r="AP30" s="59" t="s">
        <v>179</v>
      </c>
      <c r="AQ30" s="60" t="s">
        <v>179</v>
      </c>
      <c r="AR30" s="59" t="s">
        <v>179</v>
      </c>
      <c r="AS30" s="60" t="s">
        <v>179</v>
      </c>
      <c r="AT30" s="59" t="s">
        <v>179</v>
      </c>
      <c r="AU30" s="60" t="s">
        <v>179</v>
      </c>
      <c r="AV30" s="59" t="s">
        <v>179</v>
      </c>
      <c r="AW30" s="60" t="s">
        <v>179</v>
      </c>
      <c r="AX30" s="59" t="s">
        <v>179</v>
      </c>
      <c r="AY30" s="60" t="s">
        <v>179</v>
      </c>
      <c r="AZ30" s="59" t="s">
        <v>179</v>
      </c>
      <c r="BA30" s="60" t="s">
        <v>179</v>
      </c>
      <c r="BB30" s="59" t="s">
        <v>179</v>
      </c>
      <c r="BC30" s="60" t="s">
        <v>179</v>
      </c>
      <c r="BD30" s="59" t="s">
        <v>179</v>
      </c>
      <c r="BE30" s="60" t="s">
        <v>179</v>
      </c>
    </row>
    <row r="31" spans="1:57" x14ac:dyDescent="0.35">
      <c r="A31" s="240"/>
      <c r="B31" s="240"/>
      <c r="C31" s="58" t="s">
        <v>207</v>
      </c>
      <c r="D31" s="59" t="s">
        <v>179</v>
      </c>
      <c r="E31" s="60" t="s">
        <v>179</v>
      </c>
      <c r="F31" s="59" t="s">
        <v>179</v>
      </c>
      <c r="G31" s="60" t="s">
        <v>179</v>
      </c>
      <c r="H31" s="59" t="s">
        <v>179</v>
      </c>
      <c r="I31" s="60" t="s">
        <v>179</v>
      </c>
      <c r="J31" s="59" t="s">
        <v>179</v>
      </c>
      <c r="K31" s="60" t="s">
        <v>179</v>
      </c>
      <c r="L31" s="59" t="s">
        <v>179</v>
      </c>
      <c r="M31" s="60" t="s">
        <v>179</v>
      </c>
      <c r="N31" s="59" t="s">
        <v>179</v>
      </c>
      <c r="O31" s="60" t="s">
        <v>179</v>
      </c>
      <c r="P31" s="59" t="s">
        <v>179</v>
      </c>
      <c r="Q31" s="60" t="s">
        <v>179</v>
      </c>
      <c r="R31" s="59" t="s">
        <v>179</v>
      </c>
      <c r="S31" s="60" t="s">
        <v>179</v>
      </c>
      <c r="T31" s="59" t="s">
        <v>179</v>
      </c>
      <c r="U31" s="60" t="s">
        <v>179</v>
      </c>
      <c r="V31" s="59" t="s">
        <v>179</v>
      </c>
      <c r="W31" s="60" t="s">
        <v>179</v>
      </c>
      <c r="X31" s="59" t="s">
        <v>179</v>
      </c>
      <c r="Y31" s="60" t="s">
        <v>179</v>
      </c>
      <c r="Z31" s="59" t="s">
        <v>179</v>
      </c>
      <c r="AA31" s="60" t="s">
        <v>179</v>
      </c>
      <c r="AB31" s="59" t="s">
        <v>179</v>
      </c>
      <c r="AC31" s="60" t="s">
        <v>179</v>
      </c>
      <c r="AD31" s="59" t="s">
        <v>179</v>
      </c>
      <c r="AE31" s="60" t="s">
        <v>179</v>
      </c>
      <c r="AF31" s="59" t="s">
        <v>179</v>
      </c>
      <c r="AG31" s="60" t="s">
        <v>179</v>
      </c>
      <c r="AH31" s="59" t="s">
        <v>179</v>
      </c>
      <c r="AI31" s="60" t="s">
        <v>179</v>
      </c>
      <c r="AJ31" s="59" t="s">
        <v>179</v>
      </c>
      <c r="AK31" s="60" t="s">
        <v>179</v>
      </c>
      <c r="AL31" s="59" t="s">
        <v>179</v>
      </c>
      <c r="AM31" s="60" t="s">
        <v>179</v>
      </c>
      <c r="AN31" s="59">
        <v>0.108991</v>
      </c>
      <c r="AO31" s="60" t="s">
        <v>179</v>
      </c>
      <c r="AP31" s="59" t="s">
        <v>179</v>
      </c>
      <c r="AQ31" s="60" t="s">
        <v>179</v>
      </c>
      <c r="AR31" s="59" t="s">
        <v>179</v>
      </c>
      <c r="AS31" s="60" t="s">
        <v>179</v>
      </c>
      <c r="AT31" s="59" t="s">
        <v>179</v>
      </c>
      <c r="AU31" s="60" t="s">
        <v>179</v>
      </c>
      <c r="AV31" s="59" t="s">
        <v>179</v>
      </c>
      <c r="AW31" s="60" t="s">
        <v>179</v>
      </c>
      <c r="AX31" s="59" t="s">
        <v>179</v>
      </c>
      <c r="AY31" s="60" t="s">
        <v>179</v>
      </c>
      <c r="AZ31" s="59" t="s">
        <v>179</v>
      </c>
      <c r="BA31" s="60" t="s">
        <v>179</v>
      </c>
      <c r="BB31" s="59" t="s">
        <v>179</v>
      </c>
      <c r="BC31" s="60" t="s">
        <v>179</v>
      </c>
      <c r="BD31" s="59" t="s">
        <v>179</v>
      </c>
      <c r="BE31" s="60" t="s">
        <v>179</v>
      </c>
    </row>
    <row r="32" spans="1:57" x14ac:dyDescent="0.35">
      <c r="A32" s="240"/>
      <c r="B32" s="240"/>
      <c r="C32" s="58" t="s">
        <v>208</v>
      </c>
      <c r="D32" s="59" t="s">
        <v>179</v>
      </c>
      <c r="E32" s="60" t="s">
        <v>179</v>
      </c>
      <c r="F32" s="59" t="s">
        <v>179</v>
      </c>
      <c r="G32" s="60" t="s">
        <v>179</v>
      </c>
      <c r="H32" s="59" t="s">
        <v>179</v>
      </c>
      <c r="I32" s="60" t="s">
        <v>179</v>
      </c>
      <c r="J32" s="59" t="s">
        <v>179</v>
      </c>
      <c r="K32" s="60" t="s">
        <v>179</v>
      </c>
      <c r="L32" s="59" t="s">
        <v>179</v>
      </c>
      <c r="M32" s="60" t="s">
        <v>179</v>
      </c>
      <c r="N32" s="59" t="s">
        <v>179</v>
      </c>
      <c r="O32" s="60" t="s">
        <v>179</v>
      </c>
      <c r="P32" s="59" t="s">
        <v>179</v>
      </c>
      <c r="Q32" s="60" t="s">
        <v>179</v>
      </c>
      <c r="R32" s="59" t="s">
        <v>179</v>
      </c>
      <c r="S32" s="60" t="s">
        <v>179</v>
      </c>
      <c r="T32" s="59" t="s">
        <v>179</v>
      </c>
      <c r="U32" s="60" t="s">
        <v>179</v>
      </c>
      <c r="V32" s="59" t="s">
        <v>179</v>
      </c>
      <c r="W32" s="60" t="s">
        <v>179</v>
      </c>
      <c r="X32" s="59" t="s">
        <v>179</v>
      </c>
      <c r="Y32" s="60" t="s">
        <v>179</v>
      </c>
      <c r="Z32" s="59" t="s">
        <v>179</v>
      </c>
      <c r="AA32" s="60" t="s">
        <v>179</v>
      </c>
      <c r="AB32" s="59" t="s">
        <v>179</v>
      </c>
      <c r="AC32" s="60" t="s">
        <v>179</v>
      </c>
      <c r="AD32" s="59" t="s">
        <v>179</v>
      </c>
      <c r="AE32" s="60" t="s">
        <v>179</v>
      </c>
      <c r="AF32" s="59" t="s">
        <v>179</v>
      </c>
      <c r="AG32" s="60" t="s">
        <v>179</v>
      </c>
      <c r="AH32" s="59" t="s">
        <v>179</v>
      </c>
      <c r="AI32" s="60" t="s">
        <v>179</v>
      </c>
      <c r="AJ32" s="59" t="s">
        <v>179</v>
      </c>
      <c r="AK32" s="60" t="s">
        <v>179</v>
      </c>
      <c r="AL32" s="59" t="s">
        <v>179</v>
      </c>
      <c r="AM32" s="60" t="s">
        <v>179</v>
      </c>
      <c r="AN32" s="59">
        <v>1.129364</v>
      </c>
      <c r="AO32" s="60" t="s">
        <v>179</v>
      </c>
      <c r="AP32" s="59" t="s">
        <v>179</v>
      </c>
      <c r="AQ32" s="60" t="s">
        <v>179</v>
      </c>
      <c r="AR32" s="59" t="s">
        <v>179</v>
      </c>
      <c r="AS32" s="60" t="s">
        <v>179</v>
      </c>
      <c r="AT32" s="59" t="s">
        <v>179</v>
      </c>
      <c r="AU32" s="60" t="s">
        <v>179</v>
      </c>
      <c r="AV32" s="59" t="s">
        <v>179</v>
      </c>
      <c r="AW32" s="60" t="s">
        <v>179</v>
      </c>
      <c r="AX32" s="59" t="s">
        <v>179</v>
      </c>
      <c r="AY32" s="60" t="s">
        <v>179</v>
      </c>
      <c r="AZ32" s="59" t="s">
        <v>179</v>
      </c>
      <c r="BA32" s="60" t="s">
        <v>179</v>
      </c>
      <c r="BB32" s="59" t="s">
        <v>179</v>
      </c>
      <c r="BC32" s="60" t="s">
        <v>179</v>
      </c>
      <c r="BD32" s="59" t="s">
        <v>179</v>
      </c>
      <c r="BE32" s="60" t="s">
        <v>179</v>
      </c>
    </row>
    <row r="33" spans="1:57" x14ac:dyDescent="0.35">
      <c r="A33" s="240"/>
      <c r="B33" s="240"/>
      <c r="C33" s="58" t="s">
        <v>209</v>
      </c>
      <c r="D33" s="59" t="s">
        <v>179</v>
      </c>
      <c r="E33" s="60" t="s">
        <v>179</v>
      </c>
      <c r="F33" s="59" t="s">
        <v>179</v>
      </c>
      <c r="G33" s="60" t="s">
        <v>179</v>
      </c>
      <c r="H33" s="59" t="s">
        <v>179</v>
      </c>
      <c r="I33" s="60" t="s">
        <v>179</v>
      </c>
      <c r="J33" s="59" t="s">
        <v>179</v>
      </c>
      <c r="K33" s="60" t="s">
        <v>179</v>
      </c>
      <c r="L33" s="59" t="s">
        <v>179</v>
      </c>
      <c r="M33" s="60" t="s">
        <v>179</v>
      </c>
      <c r="N33" s="59" t="s">
        <v>179</v>
      </c>
      <c r="O33" s="60" t="s">
        <v>179</v>
      </c>
      <c r="P33" s="59" t="s">
        <v>179</v>
      </c>
      <c r="Q33" s="60" t="s">
        <v>179</v>
      </c>
      <c r="R33" s="59" t="s">
        <v>179</v>
      </c>
      <c r="S33" s="60" t="s">
        <v>179</v>
      </c>
      <c r="T33" s="59" t="s">
        <v>179</v>
      </c>
      <c r="U33" s="60" t="s">
        <v>179</v>
      </c>
      <c r="V33" s="59" t="s">
        <v>179</v>
      </c>
      <c r="W33" s="60" t="s">
        <v>179</v>
      </c>
      <c r="X33" s="59" t="s">
        <v>179</v>
      </c>
      <c r="Y33" s="60" t="s">
        <v>179</v>
      </c>
      <c r="Z33" s="59" t="s">
        <v>179</v>
      </c>
      <c r="AA33" s="60" t="s">
        <v>179</v>
      </c>
      <c r="AB33" s="59" t="s">
        <v>179</v>
      </c>
      <c r="AC33" s="60" t="s">
        <v>179</v>
      </c>
      <c r="AD33" s="59" t="s">
        <v>179</v>
      </c>
      <c r="AE33" s="60" t="s">
        <v>179</v>
      </c>
      <c r="AF33" s="59" t="s">
        <v>179</v>
      </c>
      <c r="AG33" s="60" t="s">
        <v>179</v>
      </c>
      <c r="AH33" s="59" t="s">
        <v>179</v>
      </c>
      <c r="AI33" s="60" t="s">
        <v>179</v>
      </c>
      <c r="AJ33" s="59" t="s">
        <v>179</v>
      </c>
      <c r="AK33" s="60" t="s">
        <v>179</v>
      </c>
      <c r="AL33" s="59" t="s">
        <v>179</v>
      </c>
      <c r="AM33" s="60" t="s">
        <v>179</v>
      </c>
      <c r="AN33" s="59">
        <v>1.956683</v>
      </c>
      <c r="AO33" s="60" t="s">
        <v>179</v>
      </c>
      <c r="AP33" s="59" t="s">
        <v>179</v>
      </c>
      <c r="AQ33" s="60" t="s">
        <v>179</v>
      </c>
      <c r="AR33" s="59" t="s">
        <v>179</v>
      </c>
      <c r="AS33" s="60" t="s">
        <v>179</v>
      </c>
      <c r="AT33" s="59" t="s">
        <v>179</v>
      </c>
      <c r="AU33" s="60" t="s">
        <v>179</v>
      </c>
      <c r="AV33" s="59" t="s">
        <v>179</v>
      </c>
      <c r="AW33" s="60" t="s">
        <v>179</v>
      </c>
      <c r="AX33" s="59" t="s">
        <v>179</v>
      </c>
      <c r="AY33" s="60" t="s">
        <v>179</v>
      </c>
      <c r="AZ33" s="59" t="s">
        <v>179</v>
      </c>
      <c r="BA33" s="60" t="s">
        <v>179</v>
      </c>
      <c r="BB33" s="59" t="s">
        <v>179</v>
      </c>
      <c r="BC33" s="60" t="s">
        <v>179</v>
      </c>
      <c r="BD33" s="59" t="s">
        <v>179</v>
      </c>
      <c r="BE33" s="60" t="s">
        <v>179</v>
      </c>
    </row>
    <row r="34" spans="1:57" x14ac:dyDescent="0.35">
      <c r="A34" s="240"/>
      <c r="B34" s="240"/>
      <c r="C34" s="58" t="s">
        <v>210</v>
      </c>
      <c r="D34" s="59" t="s">
        <v>179</v>
      </c>
      <c r="E34" s="60" t="s">
        <v>179</v>
      </c>
      <c r="F34" s="59" t="s">
        <v>179</v>
      </c>
      <c r="G34" s="60" t="s">
        <v>179</v>
      </c>
      <c r="H34" s="59" t="s">
        <v>179</v>
      </c>
      <c r="I34" s="60" t="s">
        <v>179</v>
      </c>
      <c r="J34" s="59" t="s">
        <v>179</v>
      </c>
      <c r="K34" s="60" t="s">
        <v>179</v>
      </c>
      <c r="L34" s="59" t="s">
        <v>179</v>
      </c>
      <c r="M34" s="60" t="s">
        <v>179</v>
      </c>
      <c r="N34" s="59" t="s">
        <v>179</v>
      </c>
      <c r="O34" s="60" t="s">
        <v>179</v>
      </c>
      <c r="P34" s="59" t="s">
        <v>179</v>
      </c>
      <c r="Q34" s="60" t="s">
        <v>179</v>
      </c>
      <c r="R34" s="59" t="s">
        <v>179</v>
      </c>
      <c r="S34" s="60" t="s">
        <v>179</v>
      </c>
      <c r="T34" s="59" t="s">
        <v>179</v>
      </c>
      <c r="U34" s="60" t="s">
        <v>179</v>
      </c>
      <c r="V34" s="59" t="s">
        <v>179</v>
      </c>
      <c r="W34" s="60" t="s">
        <v>179</v>
      </c>
      <c r="X34" s="59" t="s">
        <v>179</v>
      </c>
      <c r="Y34" s="60" t="s">
        <v>179</v>
      </c>
      <c r="Z34" s="59" t="s">
        <v>179</v>
      </c>
      <c r="AA34" s="60" t="s">
        <v>179</v>
      </c>
      <c r="AB34" s="59" t="s">
        <v>179</v>
      </c>
      <c r="AC34" s="60" t="s">
        <v>179</v>
      </c>
      <c r="AD34" s="59" t="s">
        <v>179</v>
      </c>
      <c r="AE34" s="60" t="s">
        <v>179</v>
      </c>
      <c r="AF34" s="59" t="s">
        <v>179</v>
      </c>
      <c r="AG34" s="60" t="s">
        <v>179</v>
      </c>
      <c r="AH34" s="59" t="s">
        <v>179</v>
      </c>
      <c r="AI34" s="60" t="s">
        <v>179</v>
      </c>
      <c r="AJ34" s="59" t="s">
        <v>179</v>
      </c>
      <c r="AK34" s="60" t="s">
        <v>179</v>
      </c>
      <c r="AL34" s="59" t="s">
        <v>179</v>
      </c>
      <c r="AM34" s="60" t="s">
        <v>179</v>
      </c>
      <c r="AN34" s="59">
        <v>2.856249</v>
      </c>
      <c r="AO34" s="60" t="s">
        <v>179</v>
      </c>
      <c r="AP34" s="59" t="s">
        <v>179</v>
      </c>
      <c r="AQ34" s="60" t="s">
        <v>179</v>
      </c>
      <c r="AR34" s="59" t="s">
        <v>179</v>
      </c>
      <c r="AS34" s="60" t="s">
        <v>179</v>
      </c>
      <c r="AT34" s="59" t="s">
        <v>179</v>
      </c>
      <c r="AU34" s="60" t="s">
        <v>179</v>
      </c>
      <c r="AV34" s="59" t="s">
        <v>179</v>
      </c>
      <c r="AW34" s="60" t="s">
        <v>179</v>
      </c>
      <c r="AX34" s="59" t="s">
        <v>179</v>
      </c>
      <c r="AY34" s="60" t="s">
        <v>179</v>
      </c>
      <c r="AZ34" s="59" t="s">
        <v>179</v>
      </c>
      <c r="BA34" s="60" t="s">
        <v>179</v>
      </c>
      <c r="BB34" s="59" t="s">
        <v>179</v>
      </c>
      <c r="BC34" s="60" t="s">
        <v>179</v>
      </c>
      <c r="BD34" s="59" t="s">
        <v>179</v>
      </c>
      <c r="BE34" s="60" t="s">
        <v>179</v>
      </c>
    </row>
    <row r="35" spans="1:57" x14ac:dyDescent="0.35">
      <c r="A35" s="240"/>
      <c r="B35" s="240"/>
      <c r="C35" s="58" t="s">
        <v>211</v>
      </c>
      <c r="D35" s="59" t="s">
        <v>179</v>
      </c>
      <c r="E35" s="60" t="s">
        <v>179</v>
      </c>
      <c r="F35" s="59" t="s">
        <v>179</v>
      </c>
      <c r="G35" s="60" t="s">
        <v>179</v>
      </c>
      <c r="H35" s="59" t="s">
        <v>179</v>
      </c>
      <c r="I35" s="60" t="s">
        <v>179</v>
      </c>
      <c r="J35" s="59" t="s">
        <v>179</v>
      </c>
      <c r="K35" s="60" t="s">
        <v>179</v>
      </c>
      <c r="L35" s="59" t="s">
        <v>179</v>
      </c>
      <c r="M35" s="60" t="s">
        <v>179</v>
      </c>
      <c r="N35" s="59" t="s">
        <v>179</v>
      </c>
      <c r="O35" s="60" t="s">
        <v>179</v>
      </c>
      <c r="P35" s="59" t="s">
        <v>179</v>
      </c>
      <c r="Q35" s="60" t="s">
        <v>179</v>
      </c>
      <c r="R35" s="59" t="s">
        <v>179</v>
      </c>
      <c r="S35" s="60" t="s">
        <v>179</v>
      </c>
      <c r="T35" s="59" t="s">
        <v>179</v>
      </c>
      <c r="U35" s="60" t="s">
        <v>179</v>
      </c>
      <c r="V35" s="59" t="s">
        <v>179</v>
      </c>
      <c r="W35" s="60" t="s">
        <v>179</v>
      </c>
      <c r="X35" s="59" t="s">
        <v>179</v>
      </c>
      <c r="Y35" s="60" t="s">
        <v>179</v>
      </c>
      <c r="Z35" s="59" t="s">
        <v>179</v>
      </c>
      <c r="AA35" s="60" t="s">
        <v>179</v>
      </c>
      <c r="AB35" s="59" t="s">
        <v>179</v>
      </c>
      <c r="AC35" s="60" t="s">
        <v>179</v>
      </c>
      <c r="AD35" s="59" t="s">
        <v>179</v>
      </c>
      <c r="AE35" s="60" t="s">
        <v>179</v>
      </c>
      <c r="AF35" s="59" t="s">
        <v>179</v>
      </c>
      <c r="AG35" s="60" t="s">
        <v>179</v>
      </c>
      <c r="AH35" s="59" t="s">
        <v>179</v>
      </c>
      <c r="AI35" s="60" t="s">
        <v>179</v>
      </c>
      <c r="AJ35" s="59" t="s">
        <v>179</v>
      </c>
      <c r="AK35" s="60" t="s">
        <v>179</v>
      </c>
      <c r="AL35" s="59" t="s">
        <v>179</v>
      </c>
      <c r="AM35" s="60">
        <v>6.5065999999999999E-2</v>
      </c>
      <c r="AN35" s="59">
        <v>1.6271789999999999</v>
      </c>
      <c r="AO35" s="60" t="s">
        <v>179</v>
      </c>
      <c r="AP35" s="59" t="s">
        <v>179</v>
      </c>
      <c r="AQ35" s="60" t="s">
        <v>179</v>
      </c>
      <c r="AR35" s="59" t="s">
        <v>179</v>
      </c>
      <c r="AS35" s="60" t="s">
        <v>179</v>
      </c>
      <c r="AT35" s="59" t="s">
        <v>179</v>
      </c>
      <c r="AU35" s="60" t="s">
        <v>179</v>
      </c>
      <c r="AV35" s="59" t="s">
        <v>179</v>
      </c>
      <c r="AW35" s="60" t="s">
        <v>179</v>
      </c>
      <c r="AX35" s="59" t="s">
        <v>179</v>
      </c>
      <c r="AY35" s="60" t="s">
        <v>179</v>
      </c>
      <c r="AZ35" s="59" t="s">
        <v>179</v>
      </c>
      <c r="BA35" s="60" t="s">
        <v>179</v>
      </c>
      <c r="BB35" s="59" t="s">
        <v>179</v>
      </c>
      <c r="BC35" s="60" t="s">
        <v>179</v>
      </c>
      <c r="BD35" s="59" t="s">
        <v>179</v>
      </c>
      <c r="BE35" s="60" t="s">
        <v>179</v>
      </c>
    </row>
    <row r="36" spans="1:57" x14ac:dyDescent="0.35">
      <c r="A36" s="240"/>
      <c r="B36" s="240"/>
      <c r="C36" s="58" t="s">
        <v>212</v>
      </c>
      <c r="D36" s="59" t="s">
        <v>179</v>
      </c>
      <c r="E36" s="60" t="s">
        <v>179</v>
      </c>
      <c r="F36" s="59" t="s">
        <v>179</v>
      </c>
      <c r="G36" s="60" t="s">
        <v>179</v>
      </c>
      <c r="H36" s="59" t="s">
        <v>179</v>
      </c>
      <c r="I36" s="60" t="s">
        <v>179</v>
      </c>
      <c r="J36" s="59" t="s">
        <v>179</v>
      </c>
      <c r="K36" s="60" t="s">
        <v>179</v>
      </c>
      <c r="L36" s="59" t="s">
        <v>179</v>
      </c>
      <c r="M36" s="60" t="s">
        <v>179</v>
      </c>
      <c r="N36" s="59" t="s">
        <v>179</v>
      </c>
      <c r="O36" s="60" t="s">
        <v>179</v>
      </c>
      <c r="P36" s="59" t="s">
        <v>179</v>
      </c>
      <c r="Q36" s="60" t="s">
        <v>179</v>
      </c>
      <c r="R36" s="59" t="s">
        <v>179</v>
      </c>
      <c r="S36" s="60" t="s">
        <v>179</v>
      </c>
      <c r="T36" s="59" t="s">
        <v>179</v>
      </c>
      <c r="U36" s="60" t="s">
        <v>179</v>
      </c>
      <c r="V36" s="59" t="s">
        <v>179</v>
      </c>
      <c r="W36" s="60" t="s">
        <v>179</v>
      </c>
      <c r="X36" s="59" t="s">
        <v>179</v>
      </c>
      <c r="Y36" s="60" t="s">
        <v>179</v>
      </c>
      <c r="Z36" s="59" t="s">
        <v>179</v>
      </c>
      <c r="AA36" s="60" t="s">
        <v>179</v>
      </c>
      <c r="AB36" s="59" t="s">
        <v>179</v>
      </c>
      <c r="AC36" s="60" t="s">
        <v>179</v>
      </c>
      <c r="AD36" s="59" t="s">
        <v>179</v>
      </c>
      <c r="AE36" s="60" t="s">
        <v>179</v>
      </c>
      <c r="AF36" s="59" t="s">
        <v>179</v>
      </c>
      <c r="AG36" s="60" t="s">
        <v>179</v>
      </c>
      <c r="AH36" s="59" t="s">
        <v>179</v>
      </c>
      <c r="AI36" s="60" t="s">
        <v>179</v>
      </c>
      <c r="AJ36" s="59" t="s">
        <v>179</v>
      </c>
      <c r="AK36" s="60" t="s">
        <v>179</v>
      </c>
      <c r="AL36" s="59" t="s">
        <v>179</v>
      </c>
      <c r="AM36" s="60">
        <v>2.022856</v>
      </c>
      <c r="AN36" s="59">
        <v>1.3504780000000001</v>
      </c>
      <c r="AO36" s="60" t="s">
        <v>179</v>
      </c>
      <c r="AP36" s="59" t="s">
        <v>179</v>
      </c>
      <c r="AQ36" s="60" t="s">
        <v>179</v>
      </c>
      <c r="AR36" s="59" t="s">
        <v>179</v>
      </c>
      <c r="AS36" s="60" t="s">
        <v>179</v>
      </c>
      <c r="AT36" s="59" t="s">
        <v>179</v>
      </c>
      <c r="AU36" s="60" t="s">
        <v>179</v>
      </c>
      <c r="AV36" s="59" t="s">
        <v>179</v>
      </c>
      <c r="AW36" s="60" t="s">
        <v>179</v>
      </c>
      <c r="AX36" s="59" t="s">
        <v>179</v>
      </c>
      <c r="AY36" s="60" t="s">
        <v>179</v>
      </c>
      <c r="AZ36" s="59" t="s">
        <v>179</v>
      </c>
      <c r="BA36" s="60" t="s">
        <v>179</v>
      </c>
      <c r="BB36" s="59" t="s">
        <v>179</v>
      </c>
      <c r="BC36" s="60" t="s">
        <v>179</v>
      </c>
      <c r="BD36" s="59" t="s">
        <v>179</v>
      </c>
      <c r="BE36" s="60" t="s">
        <v>179</v>
      </c>
    </row>
    <row r="37" spans="1:57" x14ac:dyDescent="0.35">
      <c r="A37" s="240"/>
      <c r="B37" s="240"/>
      <c r="C37" s="58" t="s">
        <v>213</v>
      </c>
      <c r="D37" s="59" t="s">
        <v>179</v>
      </c>
      <c r="E37" s="60" t="s">
        <v>179</v>
      </c>
      <c r="F37" s="59" t="s">
        <v>179</v>
      </c>
      <c r="G37" s="60" t="s">
        <v>179</v>
      </c>
      <c r="H37" s="59" t="s">
        <v>179</v>
      </c>
      <c r="I37" s="60" t="s">
        <v>179</v>
      </c>
      <c r="J37" s="59" t="s">
        <v>179</v>
      </c>
      <c r="K37" s="60" t="s">
        <v>179</v>
      </c>
      <c r="L37" s="59" t="s">
        <v>179</v>
      </c>
      <c r="M37" s="60" t="s">
        <v>179</v>
      </c>
      <c r="N37" s="59" t="s">
        <v>179</v>
      </c>
      <c r="O37" s="60" t="s">
        <v>179</v>
      </c>
      <c r="P37" s="59" t="s">
        <v>179</v>
      </c>
      <c r="Q37" s="60" t="s">
        <v>179</v>
      </c>
      <c r="R37" s="59" t="s">
        <v>179</v>
      </c>
      <c r="S37" s="60" t="s">
        <v>179</v>
      </c>
      <c r="T37" s="59" t="s">
        <v>179</v>
      </c>
      <c r="U37" s="60" t="s">
        <v>179</v>
      </c>
      <c r="V37" s="59" t="s">
        <v>179</v>
      </c>
      <c r="W37" s="60" t="s">
        <v>179</v>
      </c>
      <c r="X37" s="59" t="s">
        <v>179</v>
      </c>
      <c r="Y37" s="60" t="s">
        <v>179</v>
      </c>
      <c r="Z37" s="59" t="s">
        <v>179</v>
      </c>
      <c r="AA37" s="60" t="s">
        <v>179</v>
      </c>
      <c r="AB37" s="59" t="s">
        <v>179</v>
      </c>
      <c r="AC37" s="60" t="s">
        <v>179</v>
      </c>
      <c r="AD37" s="59" t="s">
        <v>179</v>
      </c>
      <c r="AE37" s="60" t="s">
        <v>179</v>
      </c>
      <c r="AF37" s="59" t="s">
        <v>179</v>
      </c>
      <c r="AG37" s="60" t="s">
        <v>179</v>
      </c>
      <c r="AH37" s="59" t="s">
        <v>179</v>
      </c>
      <c r="AI37" s="60" t="s">
        <v>179</v>
      </c>
      <c r="AJ37" s="59" t="s">
        <v>179</v>
      </c>
      <c r="AK37" s="60" t="s">
        <v>179</v>
      </c>
      <c r="AL37" s="59" t="s">
        <v>179</v>
      </c>
      <c r="AM37" s="60">
        <v>-0.52384399999999998</v>
      </c>
      <c r="AN37" s="59">
        <v>0.600325</v>
      </c>
      <c r="AO37" s="60" t="s">
        <v>179</v>
      </c>
      <c r="AP37" s="59" t="s">
        <v>179</v>
      </c>
      <c r="AQ37" s="60" t="s">
        <v>179</v>
      </c>
      <c r="AR37" s="59" t="s">
        <v>179</v>
      </c>
      <c r="AS37" s="60" t="s">
        <v>179</v>
      </c>
      <c r="AT37" s="59" t="s">
        <v>179</v>
      </c>
      <c r="AU37" s="60" t="s">
        <v>179</v>
      </c>
      <c r="AV37" s="59" t="s">
        <v>179</v>
      </c>
      <c r="AW37" s="60" t="s">
        <v>179</v>
      </c>
      <c r="AX37" s="59" t="s">
        <v>179</v>
      </c>
      <c r="AY37" s="60" t="s">
        <v>179</v>
      </c>
      <c r="AZ37" s="59" t="s">
        <v>179</v>
      </c>
      <c r="BA37" s="60" t="s">
        <v>179</v>
      </c>
      <c r="BB37" s="59" t="s">
        <v>179</v>
      </c>
      <c r="BC37" s="60" t="s">
        <v>179</v>
      </c>
      <c r="BD37" s="59" t="s">
        <v>179</v>
      </c>
      <c r="BE37" s="60" t="s">
        <v>179</v>
      </c>
    </row>
    <row r="38" spans="1:57" x14ac:dyDescent="0.35">
      <c r="A38" s="240"/>
      <c r="B38" s="240"/>
      <c r="C38" s="58" t="s">
        <v>214</v>
      </c>
      <c r="D38" s="59" t="s">
        <v>179</v>
      </c>
      <c r="E38" s="60" t="s">
        <v>179</v>
      </c>
      <c r="F38" s="59" t="s">
        <v>179</v>
      </c>
      <c r="G38" s="60" t="s">
        <v>179</v>
      </c>
      <c r="H38" s="59" t="s">
        <v>179</v>
      </c>
      <c r="I38" s="60" t="s">
        <v>179</v>
      </c>
      <c r="J38" s="59" t="s">
        <v>179</v>
      </c>
      <c r="K38" s="60" t="s">
        <v>179</v>
      </c>
      <c r="L38" s="59" t="s">
        <v>179</v>
      </c>
      <c r="M38" s="60" t="s">
        <v>179</v>
      </c>
      <c r="N38" s="59" t="s">
        <v>179</v>
      </c>
      <c r="O38" s="60" t="s">
        <v>179</v>
      </c>
      <c r="P38" s="59" t="s">
        <v>179</v>
      </c>
      <c r="Q38" s="60" t="s">
        <v>179</v>
      </c>
      <c r="R38" s="59" t="s">
        <v>179</v>
      </c>
      <c r="S38" s="60" t="s">
        <v>179</v>
      </c>
      <c r="T38" s="59" t="s">
        <v>179</v>
      </c>
      <c r="U38" s="60" t="s">
        <v>179</v>
      </c>
      <c r="V38" s="59" t="s">
        <v>179</v>
      </c>
      <c r="W38" s="60" t="s">
        <v>179</v>
      </c>
      <c r="X38" s="59" t="s">
        <v>179</v>
      </c>
      <c r="Y38" s="60" t="s">
        <v>179</v>
      </c>
      <c r="Z38" s="59" t="s">
        <v>179</v>
      </c>
      <c r="AA38" s="60" t="s">
        <v>179</v>
      </c>
      <c r="AB38" s="59" t="s">
        <v>179</v>
      </c>
      <c r="AC38" s="60" t="s">
        <v>179</v>
      </c>
      <c r="AD38" s="59" t="s">
        <v>179</v>
      </c>
      <c r="AE38" s="60" t="s">
        <v>179</v>
      </c>
      <c r="AF38" s="59" t="s">
        <v>179</v>
      </c>
      <c r="AG38" s="60" t="s">
        <v>179</v>
      </c>
      <c r="AH38" s="59" t="s">
        <v>179</v>
      </c>
      <c r="AI38" s="60" t="s">
        <v>179</v>
      </c>
      <c r="AJ38" s="59" t="s">
        <v>179</v>
      </c>
      <c r="AK38" s="60" t="s">
        <v>179</v>
      </c>
      <c r="AL38" s="59" t="s">
        <v>179</v>
      </c>
      <c r="AM38" s="60">
        <v>1.1725680000000001</v>
      </c>
      <c r="AN38" s="59">
        <v>-0.38840599999999997</v>
      </c>
      <c r="AO38" s="60" t="s">
        <v>179</v>
      </c>
      <c r="AP38" s="59" t="s">
        <v>179</v>
      </c>
      <c r="AQ38" s="60" t="s">
        <v>179</v>
      </c>
      <c r="AR38" s="59" t="s">
        <v>179</v>
      </c>
      <c r="AS38" s="60" t="s">
        <v>179</v>
      </c>
      <c r="AT38" s="59" t="s">
        <v>179</v>
      </c>
      <c r="AU38" s="60" t="s">
        <v>179</v>
      </c>
      <c r="AV38" s="59" t="s">
        <v>179</v>
      </c>
      <c r="AW38" s="60" t="s">
        <v>179</v>
      </c>
      <c r="AX38" s="59" t="s">
        <v>179</v>
      </c>
      <c r="AY38" s="60" t="s">
        <v>179</v>
      </c>
      <c r="AZ38" s="59" t="s">
        <v>179</v>
      </c>
      <c r="BA38" s="60" t="s">
        <v>179</v>
      </c>
      <c r="BB38" s="59" t="s">
        <v>179</v>
      </c>
      <c r="BC38" s="60" t="s">
        <v>179</v>
      </c>
      <c r="BD38" s="59" t="s">
        <v>179</v>
      </c>
      <c r="BE38" s="60" t="s">
        <v>179</v>
      </c>
    </row>
    <row r="39" spans="1:57" x14ac:dyDescent="0.35">
      <c r="A39" s="240"/>
      <c r="B39" s="240"/>
      <c r="C39" s="58" t="s">
        <v>215</v>
      </c>
      <c r="D39" s="59" t="s">
        <v>179</v>
      </c>
      <c r="E39" s="60" t="s">
        <v>179</v>
      </c>
      <c r="F39" s="59" t="s">
        <v>179</v>
      </c>
      <c r="G39" s="60" t="s">
        <v>179</v>
      </c>
      <c r="H39" s="59" t="s">
        <v>179</v>
      </c>
      <c r="I39" s="60" t="s">
        <v>179</v>
      </c>
      <c r="J39" s="59" t="s">
        <v>179</v>
      </c>
      <c r="K39" s="60" t="s">
        <v>179</v>
      </c>
      <c r="L39" s="59" t="s">
        <v>179</v>
      </c>
      <c r="M39" s="60" t="s">
        <v>179</v>
      </c>
      <c r="N39" s="59" t="s">
        <v>179</v>
      </c>
      <c r="O39" s="60" t="s">
        <v>179</v>
      </c>
      <c r="P39" s="59" t="s">
        <v>179</v>
      </c>
      <c r="Q39" s="60" t="s">
        <v>179</v>
      </c>
      <c r="R39" s="59" t="s">
        <v>179</v>
      </c>
      <c r="S39" s="60" t="s">
        <v>179</v>
      </c>
      <c r="T39" s="59" t="s">
        <v>179</v>
      </c>
      <c r="U39" s="60" t="s">
        <v>179</v>
      </c>
      <c r="V39" s="59" t="s">
        <v>179</v>
      </c>
      <c r="W39" s="60" t="s">
        <v>179</v>
      </c>
      <c r="X39" s="59" t="s">
        <v>179</v>
      </c>
      <c r="Y39" s="60" t="s">
        <v>179</v>
      </c>
      <c r="Z39" s="59" t="s">
        <v>179</v>
      </c>
      <c r="AA39" s="60" t="s">
        <v>179</v>
      </c>
      <c r="AB39" s="59" t="s">
        <v>179</v>
      </c>
      <c r="AC39" s="60" t="s">
        <v>179</v>
      </c>
      <c r="AD39" s="59" t="s">
        <v>179</v>
      </c>
      <c r="AE39" s="60" t="s">
        <v>179</v>
      </c>
      <c r="AF39" s="59" t="s">
        <v>179</v>
      </c>
      <c r="AG39" s="60" t="s">
        <v>179</v>
      </c>
      <c r="AH39" s="59" t="s">
        <v>179</v>
      </c>
      <c r="AI39" s="60" t="s">
        <v>179</v>
      </c>
      <c r="AJ39" s="59" t="s">
        <v>179</v>
      </c>
      <c r="AK39" s="60" t="s">
        <v>179</v>
      </c>
      <c r="AL39" s="59" t="s">
        <v>179</v>
      </c>
      <c r="AM39" s="60">
        <v>-0.21687500000000001</v>
      </c>
      <c r="AN39" s="59">
        <v>0.82633299999999998</v>
      </c>
      <c r="AO39" s="60" t="s">
        <v>179</v>
      </c>
      <c r="AP39" s="59" t="s">
        <v>179</v>
      </c>
      <c r="AQ39" s="60" t="s">
        <v>179</v>
      </c>
      <c r="AR39" s="59" t="s">
        <v>179</v>
      </c>
      <c r="AS39" s="60" t="s">
        <v>179</v>
      </c>
      <c r="AT39" s="59" t="s">
        <v>179</v>
      </c>
      <c r="AU39" s="60" t="s">
        <v>179</v>
      </c>
      <c r="AV39" s="59" t="s">
        <v>179</v>
      </c>
      <c r="AW39" s="60" t="s">
        <v>179</v>
      </c>
      <c r="AX39" s="59" t="s">
        <v>179</v>
      </c>
      <c r="AY39" s="60" t="s">
        <v>179</v>
      </c>
      <c r="AZ39" s="59" t="s">
        <v>179</v>
      </c>
      <c r="BA39" s="60" t="s">
        <v>179</v>
      </c>
      <c r="BB39" s="59" t="s">
        <v>179</v>
      </c>
      <c r="BC39" s="60" t="s">
        <v>179</v>
      </c>
      <c r="BD39" s="59" t="s">
        <v>179</v>
      </c>
      <c r="BE39" s="60" t="s">
        <v>179</v>
      </c>
    </row>
    <row r="40" spans="1:57" x14ac:dyDescent="0.35">
      <c r="A40" s="240"/>
      <c r="B40" s="240"/>
      <c r="C40" s="58" t="s">
        <v>216</v>
      </c>
      <c r="D40" s="59" t="s">
        <v>179</v>
      </c>
      <c r="E40" s="60" t="s">
        <v>179</v>
      </c>
      <c r="F40" s="59" t="s">
        <v>179</v>
      </c>
      <c r="G40" s="60" t="s">
        <v>179</v>
      </c>
      <c r="H40" s="59" t="s">
        <v>179</v>
      </c>
      <c r="I40" s="60" t="s">
        <v>179</v>
      </c>
      <c r="J40" s="59" t="s">
        <v>179</v>
      </c>
      <c r="K40" s="60" t="s">
        <v>179</v>
      </c>
      <c r="L40" s="59" t="s">
        <v>179</v>
      </c>
      <c r="M40" s="60" t="s">
        <v>179</v>
      </c>
      <c r="N40" s="59" t="s">
        <v>179</v>
      </c>
      <c r="O40" s="60" t="s">
        <v>179</v>
      </c>
      <c r="P40" s="59" t="s">
        <v>179</v>
      </c>
      <c r="Q40" s="60" t="s">
        <v>179</v>
      </c>
      <c r="R40" s="59" t="s">
        <v>179</v>
      </c>
      <c r="S40" s="60" t="s">
        <v>179</v>
      </c>
      <c r="T40" s="59" t="s">
        <v>179</v>
      </c>
      <c r="U40" s="60" t="s">
        <v>179</v>
      </c>
      <c r="V40" s="59" t="s">
        <v>179</v>
      </c>
      <c r="W40" s="60" t="s">
        <v>179</v>
      </c>
      <c r="X40" s="59" t="s">
        <v>179</v>
      </c>
      <c r="Y40" s="60" t="s">
        <v>179</v>
      </c>
      <c r="Z40" s="59" t="s">
        <v>179</v>
      </c>
      <c r="AA40" s="60" t="s">
        <v>179</v>
      </c>
      <c r="AB40" s="59" t="s">
        <v>179</v>
      </c>
      <c r="AC40" s="60" t="s">
        <v>179</v>
      </c>
      <c r="AD40" s="59" t="s">
        <v>179</v>
      </c>
      <c r="AE40" s="60" t="s">
        <v>179</v>
      </c>
      <c r="AF40" s="59" t="s">
        <v>179</v>
      </c>
      <c r="AG40" s="60" t="s">
        <v>179</v>
      </c>
      <c r="AH40" s="59" t="s">
        <v>179</v>
      </c>
      <c r="AI40" s="60" t="s">
        <v>179</v>
      </c>
      <c r="AJ40" s="59" t="s">
        <v>179</v>
      </c>
      <c r="AK40" s="60" t="s">
        <v>179</v>
      </c>
      <c r="AL40" s="59" t="s">
        <v>179</v>
      </c>
      <c r="AM40" s="60">
        <v>-0.116497</v>
      </c>
      <c r="AN40" s="59">
        <v>-8.9832999999999996E-2</v>
      </c>
      <c r="AO40" s="60" t="s">
        <v>179</v>
      </c>
      <c r="AP40" s="59" t="s">
        <v>179</v>
      </c>
      <c r="AQ40" s="60" t="s">
        <v>179</v>
      </c>
      <c r="AR40" s="59" t="s">
        <v>179</v>
      </c>
      <c r="AS40" s="60" t="s">
        <v>179</v>
      </c>
      <c r="AT40" s="59" t="s">
        <v>179</v>
      </c>
      <c r="AU40" s="60" t="s">
        <v>179</v>
      </c>
      <c r="AV40" s="59" t="s">
        <v>179</v>
      </c>
      <c r="AW40" s="60" t="s">
        <v>179</v>
      </c>
      <c r="AX40" s="59" t="s">
        <v>179</v>
      </c>
      <c r="AY40" s="60" t="s">
        <v>179</v>
      </c>
      <c r="AZ40" s="59" t="s">
        <v>179</v>
      </c>
      <c r="BA40" s="60" t="s">
        <v>179</v>
      </c>
      <c r="BB40" s="59" t="s">
        <v>179</v>
      </c>
      <c r="BC40" s="60" t="s">
        <v>179</v>
      </c>
      <c r="BD40" s="59" t="s">
        <v>179</v>
      </c>
      <c r="BE40" s="60" t="s">
        <v>179</v>
      </c>
    </row>
    <row r="41" spans="1:57" x14ac:dyDescent="0.35">
      <c r="A41" s="240"/>
      <c r="B41" s="240"/>
      <c r="C41" s="58" t="s">
        <v>217</v>
      </c>
      <c r="D41" s="59" t="s">
        <v>179</v>
      </c>
      <c r="E41" s="60" t="s">
        <v>179</v>
      </c>
      <c r="F41" s="59" t="s">
        <v>179</v>
      </c>
      <c r="G41" s="60" t="s">
        <v>179</v>
      </c>
      <c r="H41" s="59" t="s">
        <v>179</v>
      </c>
      <c r="I41" s="60" t="s">
        <v>179</v>
      </c>
      <c r="J41" s="59" t="s">
        <v>179</v>
      </c>
      <c r="K41" s="60" t="s">
        <v>179</v>
      </c>
      <c r="L41" s="59" t="s">
        <v>179</v>
      </c>
      <c r="M41" s="60" t="s">
        <v>179</v>
      </c>
      <c r="N41" s="59" t="s">
        <v>179</v>
      </c>
      <c r="O41" s="60" t="s">
        <v>179</v>
      </c>
      <c r="P41" s="59" t="s">
        <v>179</v>
      </c>
      <c r="Q41" s="60" t="s">
        <v>179</v>
      </c>
      <c r="R41" s="59" t="s">
        <v>179</v>
      </c>
      <c r="S41" s="60" t="s">
        <v>179</v>
      </c>
      <c r="T41" s="59" t="s">
        <v>179</v>
      </c>
      <c r="U41" s="60" t="s">
        <v>179</v>
      </c>
      <c r="V41" s="59" t="s">
        <v>179</v>
      </c>
      <c r="W41" s="60" t="s">
        <v>179</v>
      </c>
      <c r="X41" s="59" t="s">
        <v>179</v>
      </c>
      <c r="Y41" s="60" t="s">
        <v>179</v>
      </c>
      <c r="Z41" s="59" t="s">
        <v>179</v>
      </c>
      <c r="AA41" s="60" t="s">
        <v>179</v>
      </c>
      <c r="AB41" s="59" t="s">
        <v>179</v>
      </c>
      <c r="AC41" s="60" t="s">
        <v>179</v>
      </c>
      <c r="AD41" s="59" t="s">
        <v>179</v>
      </c>
      <c r="AE41" s="60" t="s">
        <v>179</v>
      </c>
      <c r="AF41" s="59" t="s">
        <v>179</v>
      </c>
      <c r="AG41" s="60" t="s">
        <v>179</v>
      </c>
      <c r="AH41" s="59" t="s">
        <v>179</v>
      </c>
      <c r="AI41" s="60" t="s">
        <v>179</v>
      </c>
      <c r="AJ41" s="59" t="s">
        <v>179</v>
      </c>
      <c r="AK41" s="60" t="s">
        <v>179</v>
      </c>
      <c r="AL41" s="59" t="s">
        <v>179</v>
      </c>
      <c r="AM41" s="60">
        <v>0.46914400000000001</v>
      </c>
      <c r="AN41" s="59">
        <v>1.645929</v>
      </c>
      <c r="AO41" s="60" t="s">
        <v>179</v>
      </c>
      <c r="AP41" s="59" t="s">
        <v>179</v>
      </c>
      <c r="AQ41" s="60" t="s">
        <v>179</v>
      </c>
      <c r="AR41" s="59" t="s">
        <v>179</v>
      </c>
      <c r="AS41" s="60" t="s">
        <v>179</v>
      </c>
      <c r="AT41" s="59" t="s">
        <v>179</v>
      </c>
      <c r="AU41" s="60" t="s">
        <v>179</v>
      </c>
      <c r="AV41" s="59" t="s">
        <v>179</v>
      </c>
      <c r="AW41" s="60" t="s">
        <v>179</v>
      </c>
      <c r="AX41" s="59" t="s">
        <v>179</v>
      </c>
      <c r="AY41" s="60" t="s">
        <v>179</v>
      </c>
      <c r="AZ41" s="59" t="s">
        <v>179</v>
      </c>
      <c r="BA41" s="60" t="s">
        <v>179</v>
      </c>
      <c r="BB41" s="59" t="s">
        <v>179</v>
      </c>
      <c r="BC41" s="60" t="s">
        <v>179</v>
      </c>
      <c r="BD41" s="59" t="s">
        <v>179</v>
      </c>
      <c r="BE41" s="60" t="s">
        <v>179</v>
      </c>
    </row>
    <row r="42" spans="1:57" x14ac:dyDescent="0.35">
      <c r="A42" s="240"/>
      <c r="B42" s="240"/>
      <c r="C42" s="58" t="s">
        <v>218</v>
      </c>
      <c r="D42" s="59" t="s">
        <v>179</v>
      </c>
      <c r="E42" s="60" t="s">
        <v>179</v>
      </c>
      <c r="F42" s="59" t="s">
        <v>179</v>
      </c>
      <c r="G42" s="60" t="s">
        <v>179</v>
      </c>
      <c r="H42" s="59" t="s">
        <v>179</v>
      </c>
      <c r="I42" s="60" t="s">
        <v>179</v>
      </c>
      <c r="J42" s="59" t="s">
        <v>179</v>
      </c>
      <c r="K42" s="60" t="s">
        <v>179</v>
      </c>
      <c r="L42" s="59" t="s">
        <v>179</v>
      </c>
      <c r="M42" s="60" t="s">
        <v>179</v>
      </c>
      <c r="N42" s="59" t="s">
        <v>179</v>
      </c>
      <c r="O42" s="60" t="s">
        <v>179</v>
      </c>
      <c r="P42" s="59" t="s">
        <v>179</v>
      </c>
      <c r="Q42" s="60" t="s">
        <v>179</v>
      </c>
      <c r="R42" s="59" t="s">
        <v>179</v>
      </c>
      <c r="S42" s="60" t="s">
        <v>179</v>
      </c>
      <c r="T42" s="59" t="s">
        <v>179</v>
      </c>
      <c r="U42" s="60" t="s">
        <v>179</v>
      </c>
      <c r="V42" s="59" t="s">
        <v>179</v>
      </c>
      <c r="W42" s="60" t="s">
        <v>179</v>
      </c>
      <c r="X42" s="59" t="s">
        <v>179</v>
      </c>
      <c r="Y42" s="60" t="s">
        <v>179</v>
      </c>
      <c r="Z42" s="59" t="s">
        <v>179</v>
      </c>
      <c r="AA42" s="60" t="s">
        <v>179</v>
      </c>
      <c r="AB42" s="59" t="s">
        <v>179</v>
      </c>
      <c r="AC42" s="60" t="s">
        <v>179</v>
      </c>
      <c r="AD42" s="59" t="s">
        <v>179</v>
      </c>
      <c r="AE42" s="60" t="s">
        <v>179</v>
      </c>
      <c r="AF42" s="59" t="s">
        <v>179</v>
      </c>
      <c r="AG42" s="60" t="s">
        <v>179</v>
      </c>
      <c r="AH42" s="59" t="s">
        <v>179</v>
      </c>
      <c r="AI42" s="60" t="s">
        <v>179</v>
      </c>
      <c r="AJ42" s="59" t="s">
        <v>179</v>
      </c>
      <c r="AK42" s="60" t="s">
        <v>179</v>
      </c>
      <c r="AL42" s="59" t="s">
        <v>179</v>
      </c>
      <c r="AM42" s="60">
        <v>2.0003639999999998</v>
      </c>
      <c r="AN42" s="59">
        <v>0.64039199999999996</v>
      </c>
      <c r="AO42" s="60" t="s">
        <v>179</v>
      </c>
      <c r="AP42" s="59" t="s">
        <v>179</v>
      </c>
      <c r="AQ42" s="60" t="s">
        <v>179</v>
      </c>
      <c r="AR42" s="59" t="s">
        <v>179</v>
      </c>
      <c r="AS42" s="60" t="s">
        <v>179</v>
      </c>
      <c r="AT42" s="59" t="s">
        <v>179</v>
      </c>
      <c r="AU42" s="60" t="s">
        <v>179</v>
      </c>
      <c r="AV42" s="59" t="s">
        <v>179</v>
      </c>
      <c r="AW42" s="60" t="s">
        <v>179</v>
      </c>
      <c r="AX42" s="59" t="s">
        <v>179</v>
      </c>
      <c r="AY42" s="60" t="s">
        <v>179</v>
      </c>
      <c r="AZ42" s="59" t="s">
        <v>179</v>
      </c>
      <c r="BA42" s="60" t="s">
        <v>179</v>
      </c>
      <c r="BB42" s="59" t="s">
        <v>179</v>
      </c>
      <c r="BC42" s="60" t="s">
        <v>179</v>
      </c>
      <c r="BD42" s="59" t="s">
        <v>179</v>
      </c>
      <c r="BE42" s="60" t="s">
        <v>179</v>
      </c>
    </row>
    <row r="43" spans="1:57" x14ac:dyDescent="0.35">
      <c r="A43" s="240"/>
      <c r="B43" s="240"/>
      <c r="C43" s="58" t="s">
        <v>219</v>
      </c>
      <c r="D43" s="59" t="s">
        <v>179</v>
      </c>
      <c r="E43" s="60" t="s">
        <v>179</v>
      </c>
      <c r="F43" s="59" t="s">
        <v>179</v>
      </c>
      <c r="G43" s="60" t="s">
        <v>179</v>
      </c>
      <c r="H43" s="59" t="s">
        <v>179</v>
      </c>
      <c r="I43" s="60" t="s">
        <v>179</v>
      </c>
      <c r="J43" s="59" t="s">
        <v>179</v>
      </c>
      <c r="K43" s="60" t="s">
        <v>179</v>
      </c>
      <c r="L43" s="59" t="s">
        <v>179</v>
      </c>
      <c r="M43" s="60" t="s">
        <v>179</v>
      </c>
      <c r="N43" s="59" t="s">
        <v>179</v>
      </c>
      <c r="O43" s="60" t="s">
        <v>179</v>
      </c>
      <c r="P43" s="59" t="s">
        <v>179</v>
      </c>
      <c r="Q43" s="60" t="s">
        <v>179</v>
      </c>
      <c r="R43" s="59" t="s">
        <v>179</v>
      </c>
      <c r="S43" s="60" t="s">
        <v>179</v>
      </c>
      <c r="T43" s="59" t="s">
        <v>179</v>
      </c>
      <c r="U43" s="60" t="s">
        <v>179</v>
      </c>
      <c r="V43" s="59" t="s">
        <v>179</v>
      </c>
      <c r="W43" s="60" t="s">
        <v>179</v>
      </c>
      <c r="X43" s="59" t="s">
        <v>179</v>
      </c>
      <c r="Y43" s="60" t="s">
        <v>179</v>
      </c>
      <c r="Z43" s="59" t="s">
        <v>179</v>
      </c>
      <c r="AA43" s="60" t="s">
        <v>179</v>
      </c>
      <c r="AB43" s="59" t="s">
        <v>179</v>
      </c>
      <c r="AC43" s="60" t="s">
        <v>179</v>
      </c>
      <c r="AD43" s="59" t="s">
        <v>179</v>
      </c>
      <c r="AE43" s="60" t="s">
        <v>179</v>
      </c>
      <c r="AF43" s="59" t="s">
        <v>179</v>
      </c>
      <c r="AG43" s="60" t="s">
        <v>179</v>
      </c>
      <c r="AH43" s="59" t="s">
        <v>179</v>
      </c>
      <c r="AI43" s="60" t="s">
        <v>179</v>
      </c>
      <c r="AJ43" s="59" t="s">
        <v>179</v>
      </c>
      <c r="AK43" s="60" t="s">
        <v>179</v>
      </c>
      <c r="AL43" s="59" t="s">
        <v>179</v>
      </c>
      <c r="AM43" s="60">
        <v>1.0192E-2</v>
      </c>
      <c r="AN43" s="59">
        <v>-0.21910199999999999</v>
      </c>
      <c r="AO43" s="60" t="s">
        <v>179</v>
      </c>
      <c r="AP43" s="59" t="s">
        <v>179</v>
      </c>
      <c r="AQ43" s="60" t="s">
        <v>179</v>
      </c>
      <c r="AR43" s="59" t="s">
        <v>179</v>
      </c>
      <c r="AS43" s="60" t="s">
        <v>179</v>
      </c>
      <c r="AT43" s="59" t="s">
        <v>179</v>
      </c>
      <c r="AU43" s="60" t="s">
        <v>179</v>
      </c>
      <c r="AV43" s="59" t="s">
        <v>179</v>
      </c>
      <c r="AW43" s="60" t="s">
        <v>179</v>
      </c>
      <c r="AX43" s="59" t="s">
        <v>179</v>
      </c>
      <c r="AY43" s="60" t="s">
        <v>179</v>
      </c>
      <c r="AZ43" s="59" t="s">
        <v>179</v>
      </c>
      <c r="BA43" s="60" t="s">
        <v>179</v>
      </c>
      <c r="BB43" s="59" t="s">
        <v>179</v>
      </c>
      <c r="BC43" s="60" t="s">
        <v>179</v>
      </c>
      <c r="BD43" s="59" t="s">
        <v>179</v>
      </c>
      <c r="BE43" s="60" t="s">
        <v>179</v>
      </c>
    </row>
    <row r="44" spans="1:57" x14ac:dyDescent="0.35">
      <c r="A44" s="240"/>
      <c r="B44" s="240"/>
      <c r="C44" s="58" t="s">
        <v>220</v>
      </c>
      <c r="D44" s="59" t="s">
        <v>179</v>
      </c>
      <c r="E44" s="60" t="s">
        <v>179</v>
      </c>
      <c r="F44" s="59" t="s">
        <v>179</v>
      </c>
      <c r="G44" s="60" t="s">
        <v>179</v>
      </c>
      <c r="H44" s="59" t="s">
        <v>179</v>
      </c>
      <c r="I44" s="60" t="s">
        <v>179</v>
      </c>
      <c r="J44" s="59" t="s">
        <v>179</v>
      </c>
      <c r="K44" s="60" t="s">
        <v>179</v>
      </c>
      <c r="L44" s="59" t="s">
        <v>179</v>
      </c>
      <c r="M44" s="60" t="s">
        <v>179</v>
      </c>
      <c r="N44" s="59" t="s">
        <v>179</v>
      </c>
      <c r="O44" s="60" t="s">
        <v>179</v>
      </c>
      <c r="P44" s="59" t="s">
        <v>179</v>
      </c>
      <c r="Q44" s="60" t="s">
        <v>179</v>
      </c>
      <c r="R44" s="59" t="s">
        <v>179</v>
      </c>
      <c r="S44" s="60" t="s">
        <v>179</v>
      </c>
      <c r="T44" s="59" t="s">
        <v>179</v>
      </c>
      <c r="U44" s="60" t="s">
        <v>179</v>
      </c>
      <c r="V44" s="59" t="s">
        <v>179</v>
      </c>
      <c r="W44" s="60" t="s">
        <v>179</v>
      </c>
      <c r="X44" s="59" t="s">
        <v>179</v>
      </c>
      <c r="Y44" s="60" t="s">
        <v>179</v>
      </c>
      <c r="Z44" s="59" t="s">
        <v>179</v>
      </c>
      <c r="AA44" s="60" t="s">
        <v>179</v>
      </c>
      <c r="AB44" s="59" t="s">
        <v>179</v>
      </c>
      <c r="AC44" s="60" t="s">
        <v>179</v>
      </c>
      <c r="AD44" s="59" t="s">
        <v>179</v>
      </c>
      <c r="AE44" s="60" t="s">
        <v>179</v>
      </c>
      <c r="AF44" s="59" t="s">
        <v>179</v>
      </c>
      <c r="AG44" s="60" t="s">
        <v>179</v>
      </c>
      <c r="AH44" s="59" t="s">
        <v>179</v>
      </c>
      <c r="AI44" s="60" t="s">
        <v>179</v>
      </c>
      <c r="AJ44" s="59" t="s">
        <v>179</v>
      </c>
      <c r="AK44" s="60" t="s">
        <v>179</v>
      </c>
      <c r="AL44" s="59" t="s">
        <v>179</v>
      </c>
      <c r="AM44" s="60">
        <v>-0.61401300000000003</v>
      </c>
      <c r="AN44" s="59">
        <v>0.97988299999999995</v>
      </c>
      <c r="AO44" s="60" t="s">
        <v>179</v>
      </c>
      <c r="AP44" s="59" t="s">
        <v>179</v>
      </c>
      <c r="AQ44" s="60" t="s">
        <v>179</v>
      </c>
      <c r="AR44" s="59" t="s">
        <v>179</v>
      </c>
      <c r="AS44" s="60" t="s">
        <v>179</v>
      </c>
      <c r="AT44" s="59" t="s">
        <v>179</v>
      </c>
      <c r="AU44" s="60" t="s">
        <v>179</v>
      </c>
      <c r="AV44" s="59" t="s">
        <v>179</v>
      </c>
      <c r="AW44" s="60" t="s">
        <v>179</v>
      </c>
      <c r="AX44" s="59" t="s">
        <v>179</v>
      </c>
      <c r="AY44" s="60" t="s">
        <v>179</v>
      </c>
      <c r="AZ44" s="59" t="s">
        <v>179</v>
      </c>
      <c r="BA44" s="60" t="s">
        <v>179</v>
      </c>
      <c r="BB44" s="59" t="s">
        <v>179</v>
      </c>
      <c r="BC44" s="60" t="s">
        <v>179</v>
      </c>
      <c r="BD44" s="59" t="s">
        <v>179</v>
      </c>
      <c r="BE44" s="60" t="s">
        <v>179</v>
      </c>
    </row>
    <row r="45" spans="1:57" x14ac:dyDescent="0.35">
      <c r="A45" s="240"/>
      <c r="B45" s="240"/>
      <c r="C45" s="58" t="s">
        <v>221</v>
      </c>
      <c r="D45" s="59" t="s">
        <v>179</v>
      </c>
      <c r="E45" s="60" t="s">
        <v>179</v>
      </c>
      <c r="F45" s="59" t="s">
        <v>179</v>
      </c>
      <c r="G45" s="60" t="s">
        <v>179</v>
      </c>
      <c r="H45" s="59" t="s">
        <v>179</v>
      </c>
      <c r="I45" s="60" t="s">
        <v>179</v>
      </c>
      <c r="J45" s="59" t="s">
        <v>179</v>
      </c>
      <c r="K45" s="60" t="s">
        <v>179</v>
      </c>
      <c r="L45" s="59" t="s">
        <v>179</v>
      </c>
      <c r="M45" s="60" t="s">
        <v>179</v>
      </c>
      <c r="N45" s="59" t="s">
        <v>179</v>
      </c>
      <c r="O45" s="60" t="s">
        <v>179</v>
      </c>
      <c r="P45" s="59" t="s">
        <v>179</v>
      </c>
      <c r="Q45" s="60" t="s">
        <v>179</v>
      </c>
      <c r="R45" s="59" t="s">
        <v>179</v>
      </c>
      <c r="S45" s="60" t="s">
        <v>179</v>
      </c>
      <c r="T45" s="59" t="s">
        <v>179</v>
      </c>
      <c r="U45" s="60" t="s">
        <v>179</v>
      </c>
      <c r="V45" s="59" t="s">
        <v>179</v>
      </c>
      <c r="W45" s="60" t="s">
        <v>179</v>
      </c>
      <c r="X45" s="59" t="s">
        <v>179</v>
      </c>
      <c r="Y45" s="60" t="s">
        <v>179</v>
      </c>
      <c r="Z45" s="59" t="s">
        <v>179</v>
      </c>
      <c r="AA45" s="60" t="s">
        <v>179</v>
      </c>
      <c r="AB45" s="59" t="s">
        <v>179</v>
      </c>
      <c r="AC45" s="60" t="s">
        <v>179</v>
      </c>
      <c r="AD45" s="59" t="s">
        <v>179</v>
      </c>
      <c r="AE45" s="60" t="s">
        <v>179</v>
      </c>
      <c r="AF45" s="59" t="s">
        <v>179</v>
      </c>
      <c r="AG45" s="60" t="s">
        <v>179</v>
      </c>
      <c r="AH45" s="59" t="s">
        <v>179</v>
      </c>
      <c r="AI45" s="60" t="s">
        <v>179</v>
      </c>
      <c r="AJ45" s="59" t="s">
        <v>179</v>
      </c>
      <c r="AK45" s="60" t="s">
        <v>179</v>
      </c>
      <c r="AL45" s="59" t="s">
        <v>179</v>
      </c>
      <c r="AM45" s="60">
        <v>0.198245</v>
      </c>
      <c r="AN45" s="59">
        <v>-1.0345880000000001</v>
      </c>
      <c r="AO45" s="60" t="s">
        <v>179</v>
      </c>
      <c r="AP45" s="59" t="s">
        <v>179</v>
      </c>
      <c r="AQ45" s="60" t="s">
        <v>179</v>
      </c>
      <c r="AR45" s="59" t="s">
        <v>179</v>
      </c>
      <c r="AS45" s="60" t="s">
        <v>179</v>
      </c>
      <c r="AT45" s="59" t="s">
        <v>179</v>
      </c>
      <c r="AU45" s="60" t="s">
        <v>179</v>
      </c>
      <c r="AV45" s="59" t="s">
        <v>179</v>
      </c>
      <c r="AW45" s="60" t="s">
        <v>179</v>
      </c>
      <c r="AX45" s="59" t="s">
        <v>179</v>
      </c>
      <c r="AY45" s="60" t="s">
        <v>179</v>
      </c>
      <c r="AZ45" s="59" t="s">
        <v>179</v>
      </c>
      <c r="BA45" s="60" t="s">
        <v>179</v>
      </c>
      <c r="BB45" s="59" t="s">
        <v>179</v>
      </c>
      <c r="BC45" s="60" t="s">
        <v>179</v>
      </c>
      <c r="BD45" s="59" t="s">
        <v>179</v>
      </c>
      <c r="BE45" s="60" t="s">
        <v>179</v>
      </c>
    </row>
    <row r="46" spans="1:57" x14ac:dyDescent="0.35">
      <c r="A46" s="240"/>
      <c r="B46" s="240"/>
      <c r="C46" s="58" t="s">
        <v>222</v>
      </c>
      <c r="D46" s="59" t="s">
        <v>179</v>
      </c>
      <c r="E46" s="60" t="s">
        <v>179</v>
      </c>
      <c r="F46" s="59" t="s">
        <v>179</v>
      </c>
      <c r="G46" s="60" t="s">
        <v>179</v>
      </c>
      <c r="H46" s="59" t="s">
        <v>179</v>
      </c>
      <c r="I46" s="60" t="s">
        <v>179</v>
      </c>
      <c r="J46" s="59" t="s">
        <v>179</v>
      </c>
      <c r="K46" s="60" t="s">
        <v>179</v>
      </c>
      <c r="L46" s="59" t="s">
        <v>179</v>
      </c>
      <c r="M46" s="60" t="s">
        <v>179</v>
      </c>
      <c r="N46" s="59" t="s">
        <v>179</v>
      </c>
      <c r="O46" s="60" t="s">
        <v>179</v>
      </c>
      <c r="P46" s="59" t="s">
        <v>179</v>
      </c>
      <c r="Q46" s="60" t="s">
        <v>179</v>
      </c>
      <c r="R46" s="59" t="s">
        <v>179</v>
      </c>
      <c r="S46" s="60" t="s">
        <v>179</v>
      </c>
      <c r="T46" s="59" t="s">
        <v>179</v>
      </c>
      <c r="U46" s="60" t="s">
        <v>179</v>
      </c>
      <c r="V46" s="59" t="s">
        <v>179</v>
      </c>
      <c r="W46" s="60" t="s">
        <v>179</v>
      </c>
      <c r="X46" s="59" t="s">
        <v>179</v>
      </c>
      <c r="Y46" s="60" t="s">
        <v>179</v>
      </c>
      <c r="Z46" s="59" t="s">
        <v>179</v>
      </c>
      <c r="AA46" s="60" t="s">
        <v>179</v>
      </c>
      <c r="AB46" s="59" t="s">
        <v>179</v>
      </c>
      <c r="AC46" s="60" t="s">
        <v>179</v>
      </c>
      <c r="AD46" s="59" t="s">
        <v>179</v>
      </c>
      <c r="AE46" s="60" t="s">
        <v>179</v>
      </c>
      <c r="AF46" s="59" t="s">
        <v>179</v>
      </c>
      <c r="AG46" s="60" t="s">
        <v>179</v>
      </c>
      <c r="AH46" s="59" t="s">
        <v>179</v>
      </c>
      <c r="AI46" s="60" t="s">
        <v>179</v>
      </c>
      <c r="AJ46" s="59" t="s">
        <v>179</v>
      </c>
      <c r="AK46" s="60" t="s">
        <v>179</v>
      </c>
      <c r="AL46" s="59" t="s">
        <v>179</v>
      </c>
      <c r="AM46" s="60">
        <v>2.2011099999999999</v>
      </c>
      <c r="AN46" s="59">
        <v>-2.595847</v>
      </c>
      <c r="AO46" s="60" t="s">
        <v>179</v>
      </c>
      <c r="AP46" s="59" t="s">
        <v>179</v>
      </c>
      <c r="AQ46" s="60" t="s">
        <v>179</v>
      </c>
      <c r="AR46" s="59" t="s">
        <v>179</v>
      </c>
      <c r="AS46" s="60" t="s">
        <v>179</v>
      </c>
      <c r="AT46" s="59" t="s">
        <v>179</v>
      </c>
      <c r="AU46" s="60" t="s">
        <v>179</v>
      </c>
      <c r="AV46" s="59" t="s">
        <v>179</v>
      </c>
      <c r="AW46" s="60" t="s">
        <v>179</v>
      </c>
      <c r="AX46" s="59" t="s">
        <v>179</v>
      </c>
      <c r="AY46" s="60" t="s">
        <v>179</v>
      </c>
      <c r="AZ46" s="59" t="s">
        <v>179</v>
      </c>
      <c r="BA46" s="60" t="s">
        <v>179</v>
      </c>
      <c r="BB46" s="59" t="s">
        <v>179</v>
      </c>
      <c r="BC46" s="60" t="s">
        <v>179</v>
      </c>
      <c r="BD46" s="59" t="s">
        <v>179</v>
      </c>
      <c r="BE46" s="60" t="s">
        <v>179</v>
      </c>
    </row>
    <row r="47" spans="1:57" x14ac:dyDescent="0.35">
      <c r="A47" s="240"/>
      <c r="B47" s="240"/>
      <c r="C47" s="58" t="s">
        <v>223</v>
      </c>
      <c r="D47" s="59" t="s">
        <v>179</v>
      </c>
      <c r="E47" s="60" t="s">
        <v>179</v>
      </c>
      <c r="F47" s="59" t="s">
        <v>179</v>
      </c>
      <c r="G47" s="60" t="s">
        <v>179</v>
      </c>
      <c r="H47" s="59" t="s">
        <v>179</v>
      </c>
      <c r="I47" s="60" t="s">
        <v>179</v>
      </c>
      <c r="J47" s="59" t="s">
        <v>179</v>
      </c>
      <c r="K47" s="60" t="s">
        <v>179</v>
      </c>
      <c r="L47" s="59" t="s">
        <v>179</v>
      </c>
      <c r="M47" s="60" t="s">
        <v>179</v>
      </c>
      <c r="N47" s="59" t="s">
        <v>179</v>
      </c>
      <c r="O47" s="60" t="s">
        <v>179</v>
      </c>
      <c r="P47" s="59" t="s">
        <v>179</v>
      </c>
      <c r="Q47" s="60" t="s">
        <v>179</v>
      </c>
      <c r="R47" s="59" t="s">
        <v>179</v>
      </c>
      <c r="S47" s="60" t="s">
        <v>179</v>
      </c>
      <c r="T47" s="59" t="s">
        <v>179</v>
      </c>
      <c r="U47" s="60" t="s">
        <v>179</v>
      </c>
      <c r="V47" s="59" t="s">
        <v>179</v>
      </c>
      <c r="W47" s="60" t="s">
        <v>179</v>
      </c>
      <c r="X47" s="59" t="s">
        <v>179</v>
      </c>
      <c r="Y47" s="60" t="s">
        <v>179</v>
      </c>
      <c r="Z47" s="59" t="s">
        <v>179</v>
      </c>
      <c r="AA47" s="60" t="s">
        <v>179</v>
      </c>
      <c r="AB47" s="59" t="s">
        <v>179</v>
      </c>
      <c r="AC47" s="60" t="s">
        <v>179</v>
      </c>
      <c r="AD47" s="59" t="s">
        <v>179</v>
      </c>
      <c r="AE47" s="60" t="s">
        <v>179</v>
      </c>
      <c r="AF47" s="59" t="s">
        <v>179</v>
      </c>
      <c r="AG47" s="60" t="s">
        <v>179</v>
      </c>
      <c r="AH47" s="59" t="s">
        <v>179</v>
      </c>
      <c r="AI47" s="60" t="s">
        <v>179</v>
      </c>
      <c r="AJ47" s="59" t="s">
        <v>179</v>
      </c>
      <c r="AK47" s="60" t="s">
        <v>179</v>
      </c>
      <c r="AL47" s="59" t="s">
        <v>179</v>
      </c>
      <c r="AM47" s="60">
        <v>-2.3765019999999999</v>
      </c>
      <c r="AN47" s="59">
        <v>0.65737100000000004</v>
      </c>
      <c r="AO47" s="60" t="s">
        <v>179</v>
      </c>
      <c r="AP47" s="59" t="s">
        <v>179</v>
      </c>
      <c r="AQ47" s="60" t="s">
        <v>179</v>
      </c>
      <c r="AR47" s="59" t="s">
        <v>179</v>
      </c>
      <c r="AS47" s="60" t="s">
        <v>179</v>
      </c>
      <c r="AT47" s="59" t="s">
        <v>179</v>
      </c>
      <c r="AU47" s="60" t="s">
        <v>179</v>
      </c>
      <c r="AV47" s="59" t="s">
        <v>179</v>
      </c>
      <c r="AW47" s="60" t="s">
        <v>179</v>
      </c>
      <c r="AX47" s="59" t="s">
        <v>179</v>
      </c>
      <c r="AY47" s="60" t="s">
        <v>179</v>
      </c>
      <c r="AZ47" s="59" t="s">
        <v>179</v>
      </c>
      <c r="BA47" s="60" t="s">
        <v>179</v>
      </c>
      <c r="BB47" s="59" t="s">
        <v>179</v>
      </c>
      <c r="BC47" s="60" t="s">
        <v>179</v>
      </c>
      <c r="BD47" s="59" t="s">
        <v>179</v>
      </c>
      <c r="BE47" s="60" t="s">
        <v>179</v>
      </c>
    </row>
    <row r="48" spans="1:57" x14ac:dyDescent="0.35">
      <c r="A48" s="240"/>
      <c r="B48" s="240"/>
      <c r="C48" s="58" t="s">
        <v>224</v>
      </c>
      <c r="D48" s="59" t="s">
        <v>179</v>
      </c>
      <c r="E48" s="60" t="s">
        <v>179</v>
      </c>
      <c r="F48" s="59" t="s">
        <v>179</v>
      </c>
      <c r="G48" s="60" t="s">
        <v>179</v>
      </c>
      <c r="H48" s="59" t="s">
        <v>179</v>
      </c>
      <c r="I48" s="60" t="s">
        <v>179</v>
      </c>
      <c r="J48" s="59" t="s">
        <v>179</v>
      </c>
      <c r="K48" s="60" t="s">
        <v>179</v>
      </c>
      <c r="L48" s="59" t="s">
        <v>179</v>
      </c>
      <c r="M48" s="60" t="s">
        <v>179</v>
      </c>
      <c r="N48" s="59" t="s">
        <v>179</v>
      </c>
      <c r="O48" s="60" t="s">
        <v>179</v>
      </c>
      <c r="P48" s="59" t="s">
        <v>179</v>
      </c>
      <c r="Q48" s="60" t="s">
        <v>179</v>
      </c>
      <c r="R48" s="59" t="s">
        <v>179</v>
      </c>
      <c r="S48" s="60" t="s">
        <v>179</v>
      </c>
      <c r="T48" s="59" t="s">
        <v>179</v>
      </c>
      <c r="U48" s="60" t="s">
        <v>179</v>
      </c>
      <c r="V48" s="59" t="s">
        <v>179</v>
      </c>
      <c r="W48" s="60" t="s">
        <v>179</v>
      </c>
      <c r="X48" s="59" t="s">
        <v>179</v>
      </c>
      <c r="Y48" s="60" t="s">
        <v>179</v>
      </c>
      <c r="Z48" s="59" t="s">
        <v>179</v>
      </c>
      <c r="AA48" s="60" t="s">
        <v>179</v>
      </c>
      <c r="AB48" s="59" t="s">
        <v>179</v>
      </c>
      <c r="AC48" s="60" t="s">
        <v>179</v>
      </c>
      <c r="AD48" s="59" t="s">
        <v>179</v>
      </c>
      <c r="AE48" s="60" t="s">
        <v>179</v>
      </c>
      <c r="AF48" s="59" t="s">
        <v>179</v>
      </c>
      <c r="AG48" s="60" t="s">
        <v>179</v>
      </c>
      <c r="AH48" s="59" t="s">
        <v>179</v>
      </c>
      <c r="AI48" s="60" t="s">
        <v>179</v>
      </c>
      <c r="AJ48" s="59" t="s">
        <v>179</v>
      </c>
      <c r="AK48" s="60" t="s">
        <v>179</v>
      </c>
      <c r="AL48" s="59" t="s">
        <v>179</v>
      </c>
      <c r="AM48" s="60">
        <v>2.2249379999999999</v>
      </c>
      <c r="AN48" s="59">
        <v>2.3138540000000001</v>
      </c>
      <c r="AO48" s="60" t="s">
        <v>179</v>
      </c>
      <c r="AP48" s="59" t="s">
        <v>179</v>
      </c>
      <c r="AQ48" s="60" t="s">
        <v>179</v>
      </c>
      <c r="AR48" s="59" t="s">
        <v>179</v>
      </c>
      <c r="AS48" s="60" t="s">
        <v>179</v>
      </c>
      <c r="AT48" s="59" t="s">
        <v>179</v>
      </c>
      <c r="AU48" s="60" t="s">
        <v>179</v>
      </c>
      <c r="AV48" s="59" t="s">
        <v>179</v>
      </c>
      <c r="AW48" s="60" t="s">
        <v>179</v>
      </c>
      <c r="AX48" s="59" t="s">
        <v>179</v>
      </c>
      <c r="AY48" s="60" t="s">
        <v>179</v>
      </c>
      <c r="AZ48" s="59" t="s">
        <v>179</v>
      </c>
      <c r="BA48" s="60" t="s">
        <v>179</v>
      </c>
      <c r="BB48" s="59" t="s">
        <v>179</v>
      </c>
      <c r="BC48" s="60" t="s">
        <v>179</v>
      </c>
      <c r="BD48" s="59" t="s">
        <v>179</v>
      </c>
      <c r="BE48" s="60" t="s">
        <v>179</v>
      </c>
    </row>
    <row r="49" spans="1:57" x14ac:dyDescent="0.35">
      <c r="A49" s="240"/>
      <c r="B49" s="240"/>
      <c r="C49" s="58" t="s">
        <v>225</v>
      </c>
      <c r="D49" s="59" t="s">
        <v>179</v>
      </c>
      <c r="E49" s="60" t="s">
        <v>179</v>
      </c>
      <c r="F49" s="59" t="s">
        <v>179</v>
      </c>
      <c r="G49" s="60" t="s">
        <v>179</v>
      </c>
      <c r="H49" s="59" t="s">
        <v>179</v>
      </c>
      <c r="I49" s="60" t="s">
        <v>179</v>
      </c>
      <c r="J49" s="59" t="s">
        <v>179</v>
      </c>
      <c r="K49" s="60" t="s">
        <v>179</v>
      </c>
      <c r="L49" s="59" t="s">
        <v>179</v>
      </c>
      <c r="M49" s="60" t="s">
        <v>179</v>
      </c>
      <c r="N49" s="59" t="s">
        <v>179</v>
      </c>
      <c r="O49" s="60" t="s">
        <v>179</v>
      </c>
      <c r="P49" s="59" t="s">
        <v>179</v>
      </c>
      <c r="Q49" s="60" t="s">
        <v>179</v>
      </c>
      <c r="R49" s="59" t="s">
        <v>179</v>
      </c>
      <c r="S49" s="60" t="s">
        <v>179</v>
      </c>
      <c r="T49" s="59" t="s">
        <v>179</v>
      </c>
      <c r="U49" s="60" t="s">
        <v>179</v>
      </c>
      <c r="V49" s="59" t="s">
        <v>179</v>
      </c>
      <c r="W49" s="60" t="s">
        <v>179</v>
      </c>
      <c r="X49" s="59" t="s">
        <v>179</v>
      </c>
      <c r="Y49" s="60" t="s">
        <v>179</v>
      </c>
      <c r="Z49" s="59" t="s">
        <v>179</v>
      </c>
      <c r="AA49" s="60" t="s">
        <v>179</v>
      </c>
      <c r="AB49" s="59" t="s">
        <v>179</v>
      </c>
      <c r="AC49" s="60" t="s">
        <v>179</v>
      </c>
      <c r="AD49" s="59" t="s">
        <v>179</v>
      </c>
      <c r="AE49" s="60" t="s">
        <v>179</v>
      </c>
      <c r="AF49" s="59" t="s">
        <v>179</v>
      </c>
      <c r="AG49" s="60" t="s">
        <v>179</v>
      </c>
      <c r="AH49" s="59" t="s">
        <v>179</v>
      </c>
      <c r="AI49" s="60" t="s">
        <v>179</v>
      </c>
      <c r="AJ49" s="59" t="s">
        <v>179</v>
      </c>
      <c r="AK49" s="60" t="s">
        <v>179</v>
      </c>
      <c r="AL49" s="59" t="s">
        <v>179</v>
      </c>
      <c r="AM49" s="60">
        <v>0.10284699999999999</v>
      </c>
      <c r="AN49" s="59">
        <v>2.339305</v>
      </c>
      <c r="AO49" s="60" t="s">
        <v>179</v>
      </c>
      <c r="AP49" s="59" t="s">
        <v>179</v>
      </c>
      <c r="AQ49" s="60" t="s">
        <v>179</v>
      </c>
      <c r="AR49" s="59" t="s">
        <v>179</v>
      </c>
      <c r="AS49" s="60" t="s">
        <v>179</v>
      </c>
      <c r="AT49" s="59" t="s">
        <v>179</v>
      </c>
      <c r="AU49" s="60" t="s">
        <v>179</v>
      </c>
      <c r="AV49" s="59" t="s">
        <v>179</v>
      </c>
      <c r="AW49" s="60" t="s">
        <v>179</v>
      </c>
      <c r="AX49" s="59" t="s">
        <v>179</v>
      </c>
      <c r="AY49" s="60" t="s">
        <v>179</v>
      </c>
      <c r="AZ49" s="59" t="s">
        <v>179</v>
      </c>
      <c r="BA49" s="60" t="s">
        <v>179</v>
      </c>
      <c r="BB49" s="59" t="s">
        <v>179</v>
      </c>
      <c r="BC49" s="60" t="s">
        <v>179</v>
      </c>
      <c r="BD49" s="59" t="s">
        <v>179</v>
      </c>
      <c r="BE49" s="60" t="s">
        <v>179</v>
      </c>
    </row>
    <row r="50" spans="1:57" x14ac:dyDescent="0.35">
      <c r="A50" s="240"/>
      <c r="B50" s="240"/>
      <c r="C50" s="58" t="s">
        <v>226</v>
      </c>
      <c r="D50" s="59" t="s">
        <v>179</v>
      </c>
      <c r="E50" s="60" t="s">
        <v>179</v>
      </c>
      <c r="F50" s="59" t="s">
        <v>179</v>
      </c>
      <c r="G50" s="60" t="s">
        <v>179</v>
      </c>
      <c r="H50" s="59" t="s">
        <v>179</v>
      </c>
      <c r="I50" s="60" t="s">
        <v>179</v>
      </c>
      <c r="J50" s="59" t="s">
        <v>179</v>
      </c>
      <c r="K50" s="60" t="s">
        <v>179</v>
      </c>
      <c r="L50" s="59" t="s">
        <v>179</v>
      </c>
      <c r="M50" s="60" t="s">
        <v>179</v>
      </c>
      <c r="N50" s="59" t="s">
        <v>179</v>
      </c>
      <c r="O50" s="60" t="s">
        <v>179</v>
      </c>
      <c r="P50" s="59" t="s">
        <v>179</v>
      </c>
      <c r="Q50" s="60" t="s">
        <v>179</v>
      </c>
      <c r="R50" s="59" t="s">
        <v>179</v>
      </c>
      <c r="S50" s="60" t="s">
        <v>179</v>
      </c>
      <c r="T50" s="59" t="s">
        <v>179</v>
      </c>
      <c r="U50" s="60" t="s">
        <v>179</v>
      </c>
      <c r="V50" s="59" t="s">
        <v>179</v>
      </c>
      <c r="W50" s="60" t="s">
        <v>179</v>
      </c>
      <c r="X50" s="59" t="s">
        <v>179</v>
      </c>
      <c r="Y50" s="60" t="s">
        <v>179</v>
      </c>
      <c r="Z50" s="59" t="s">
        <v>179</v>
      </c>
      <c r="AA50" s="60" t="s">
        <v>179</v>
      </c>
      <c r="AB50" s="59" t="s">
        <v>179</v>
      </c>
      <c r="AC50" s="60" t="s">
        <v>179</v>
      </c>
      <c r="AD50" s="59" t="s">
        <v>179</v>
      </c>
      <c r="AE50" s="60" t="s">
        <v>179</v>
      </c>
      <c r="AF50" s="59" t="s">
        <v>179</v>
      </c>
      <c r="AG50" s="60" t="s">
        <v>179</v>
      </c>
      <c r="AH50" s="59" t="s">
        <v>179</v>
      </c>
      <c r="AI50" s="60" t="s">
        <v>179</v>
      </c>
      <c r="AJ50" s="59" t="s">
        <v>179</v>
      </c>
      <c r="AK50" s="60" t="s">
        <v>179</v>
      </c>
      <c r="AL50" s="59" t="s">
        <v>179</v>
      </c>
      <c r="AM50" s="60">
        <v>0.58303700000000003</v>
      </c>
      <c r="AN50" s="59">
        <v>1.921298</v>
      </c>
      <c r="AO50" s="60" t="s">
        <v>179</v>
      </c>
      <c r="AP50" s="59" t="s">
        <v>179</v>
      </c>
      <c r="AQ50" s="60" t="s">
        <v>179</v>
      </c>
      <c r="AR50" s="59" t="s">
        <v>179</v>
      </c>
      <c r="AS50" s="60" t="s">
        <v>179</v>
      </c>
      <c r="AT50" s="59" t="s">
        <v>179</v>
      </c>
      <c r="AU50" s="60" t="s">
        <v>179</v>
      </c>
      <c r="AV50" s="59" t="s">
        <v>179</v>
      </c>
      <c r="AW50" s="60" t="s">
        <v>179</v>
      </c>
      <c r="AX50" s="59" t="s">
        <v>179</v>
      </c>
      <c r="AY50" s="60" t="s">
        <v>179</v>
      </c>
      <c r="AZ50" s="59" t="s">
        <v>179</v>
      </c>
      <c r="BA50" s="60" t="s">
        <v>179</v>
      </c>
      <c r="BB50" s="59" t="s">
        <v>179</v>
      </c>
      <c r="BC50" s="60" t="s">
        <v>179</v>
      </c>
      <c r="BD50" s="59" t="s">
        <v>179</v>
      </c>
      <c r="BE50" s="60" t="s">
        <v>179</v>
      </c>
    </row>
    <row r="51" spans="1:57" x14ac:dyDescent="0.35">
      <c r="A51" s="240"/>
      <c r="B51" s="240"/>
      <c r="C51" s="58" t="s">
        <v>227</v>
      </c>
      <c r="D51" s="59" t="s">
        <v>179</v>
      </c>
      <c r="E51" s="60" t="s">
        <v>179</v>
      </c>
      <c r="F51" s="59" t="s">
        <v>179</v>
      </c>
      <c r="G51" s="60" t="s">
        <v>179</v>
      </c>
      <c r="H51" s="59" t="s">
        <v>179</v>
      </c>
      <c r="I51" s="60" t="s">
        <v>179</v>
      </c>
      <c r="J51" s="59" t="s">
        <v>179</v>
      </c>
      <c r="K51" s="60" t="s">
        <v>179</v>
      </c>
      <c r="L51" s="59" t="s">
        <v>179</v>
      </c>
      <c r="M51" s="60" t="s">
        <v>179</v>
      </c>
      <c r="N51" s="59" t="s">
        <v>179</v>
      </c>
      <c r="O51" s="60" t="s">
        <v>179</v>
      </c>
      <c r="P51" s="59" t="s">
        <v>179</v>
      </c>
      <c r="Q51" s="60" t="s">
        <v>179</v>
      </c>
      <c r="R51" s="59" t="s">
        <v>179</v>
      </c>
      <c r="S51" s="60" t="s">
        <v>179</v>
      </c>
      <c r="T51" s="59" t="s">
        <v>179</v>
      </c>
      <c r="U51" s="60" t="s">
        <v>179</v>
      </c>
      <c r="V51" s="59" t="s">
        <v>179</v>
      </c>
      <c r="W51" s="60" t="s">
        <v>179</v>
      </c>
      <c r="X51" s="59" t="s">
        <v>179</v>
      </c>
      <c r="Y51" s="60" t="s">
        <v>179</v>
      </c>
      <c r="Z51" s="59" t="s">
        <v>179</v>
      </c>
      <c r="AA51" s="60" t="s">
        <v>179</v>
      </c>
      <c r="AB51" s="59" t="s">
        <v>179</v>
      </c>
      <c r="AC51" s="60" t="s">
        <v>179</v>
      </c>
      <c r="AD51" s="59" t="s">
        <v>179</v>
      </c>
      <c r="AE51" s="60" t="s">
        <v>179</v>
      </c>
      <c r="AF51" s="59" t="s">
        <v>179</v>
      </c>
      <c r="AG51" s="60" t="s">
        <v>179</v>
      </c>
      <c r="AH51" s="59" t="s">
        <v>179</v>
      </c>
      <c r="AI51" s="60" t="s">
        <v>179</v>
      </c>
      <c r="AJ51" s="59" t="s">
        <v>179</v>
      </c>
      <c r="AK51" s="60" t="s">
        <v>179</v>
      </c>
      <c r="AL51" s="59" t="s">
        <v>179</v>
      </c>
      <c r="AM51" s="60">
        <v>1.6318429999999999</v>
      </c>
      <c r="AN51" s="59">
        <v>2.2564199999999999</v>
      </c>
      <c r="AO51" s="60" t="s">
        <v>179</v>
      </c>
      <c r="AP51" s="59" t="s">
        <v>179</v>
      </c>
      <c r="AQ51" s="60" t="s">
        <v>179</v>
      </c>
      <c r="AR51" s="59" t="s">
        <v>179</v>
      </c>
      <c r="AS51" s="60" t="s">
        <v>179</v>
      </c>
      <c r="AT51" s="59" t="s">
        <v>179</v>
      </c>
      <c r="AU51" s="60" t="s">
        <v>179</v>
      </c>
      <c r="AV51" s="59" t="s">
        <v>179</v>
      </c>
      <c r="AW51" s="60" t="s">
        <v>179</v>
      </c>
      <c r="AX51" s="59" t="s">
        <v>179</v>
      </c>
      <c r="AY51" s="60" t="s">
        <v>179</v>
      </c>
      <c r="AZ51" s="59" t="s">
        <v>179</v>
      </c>
      <c r="BA51" s="60" t="s">
        <v>179</v>
      </c>
      <c r="BB51" s="59" t="s">
        <v>179</v>
      </c>
      <c r="BC51" s="60" t="s">
        <v>179</v>
      </c>
      <c r="BD51" s="59" t="s">
        <v>179</v>
      </c>
      <c r="BE51" s="60" t="s">
        <v>179</v>
      </c>
    </row>
    <row r="52" spans="1:57" x14ac:dyDescent="0.35">
      <c r="A52" s="240"/>
      <c r="B52" s="240"/>
      <c r="C52" s="58" t="s">
        <v>228</v>
      </c>
      <c r="D52" s="59" t="s">
        <v>179</v>
      </c>
      <c r="E52" s="60" t="s">
        <v>179</v>
      </c>
      <c r="F52" s="59" t="s">
        <v>179</v>
      </c>
      <c r="G52" s="60" t="s">
        <v>179</v>
      </c>
      <c r="H52" s="59" t="s">
        <v>179</v>
      </c>
      <c r="I52" s="60" t="s">
        <v>179</v>
      </c>
      <c r="J52" s="59" t="s">
        <v>179</v>
      </c>
      <c r="K52" s="60" t="s">
        <v>179</v>
      </c>
      <c r="L52" s="59" t="s">
        <v>179</v>
      </c>
      <c r="M52" s="60" t="s">
        <v>179</v>
      </c>
      <c r="N52" s="59" t="s">
        <v>179</v>
      </c>
      <c r="O52" s="60" t="s">
        <v>179</v>
      </c>
      <c r="P52" s="59" t="s">
        <v>179</v>
      </c>
      <c r="Q52" s="60" t="s">
        <v>179</v>
      </c>
      <c r="R52" s="59" t="s">
        <v>179</v>
      </c>
      <c r="S52" s="60" t="s">
        <v>179</v>
      </c>
      <c r="T52" s="59" t="s">
        <v>179</v>
      </c>
      <c r="U52" s="60" t="s">
        <v>179</v>
      </c>
      <c r="V52" s="59" t="s">
        <v>179</v>
      </c>
      <c r="W52" s="60" t="s">
        <v>179</v>
      </c>
      <c r="X52" s="59" t="s">
        <v>179</v>
      </c>
      <c r="Y52" s="60" t="s">
        <v>179</v>
      </c>
      <c r="Z52" s="59" t="s">
        <v>179</v>
      </c>
      <c r="AA52" s="60" t="s">
        <v>179</v>
      </c>
      <c r="AB52" s="59" t="s">
        <v>179</v>
      </c>
      <c r="AC52" s="60" t="s">
        <v>179</v>
      </c>
      <c r="AD52" s="59" t="s">
        <v>179</v>
      </c>
      <c r="AE52" s="60" t="s">
        <v>179</v>
      </c>
      <c r="AF52" s="59" t="s">
        <v>179</v>
      </c>
      <c r="AG52" s="60" t="s">
        <v>179</v>
      </c>
      <c r="AH52" s="59" t="s">
        <v>179</v>
      </c>
      <c r="AI52" s="60" t="s">
        <v>179</v>
      </c>
      <c r="AJ52" s="59" t="s">
        <v>179</v>
      </c>
      <c r="AK52" s="60" t="s">
        <v>179</v>
      </c>
      <c r="AL52" s="59" t="s">
        <v>179</v>
      </c>
      <c r="AM52" s="60">
        <v>2.1506609999999999</v>
      </c>
      <c r="AN52" s="59">
        <v>7.1201E-2</v>
      </c>
      <c r="AO52" s="60" t="s">
        <v>179</v>
      </c>
      <c r="AP52" s="59" t="s">
        <v>179</v>
      </c>
      <c r="AQ52" s="60" t="s">
        <v>179</v>
      </c>
      <c r="AR52" s="59" t="s">
        <v>179</v>
      </c>
      <c r="AS52" s="60" t="s">
        <v>179</v>
      </c>
      <c r="AT52" s="59" t="s">
        <v>179</v>
      </c>
      <c r="AU52" s="60" t="s">
        <v>179</v>
      </c>
      <c r="AV52" s="59" t="s">
        <v>179</v>
      </c>
      <c r="AW52" s="60" t="s">
        <v>179</v>
      </c>
      <c r="AX52" s="59" t="s">
        <v>179</v>
      </c>
      <c r="AY52" s="60" t="s">
        <v>179</v>
      </c>
      <c r="AZ52" s="59" t="s">
        <v>179</v>
      </c>
      <c r="BA52" s="60" t="s">
        <v>179</v>
      </c>
      <c r="BB52" s="59" t="s">
        <v>179</v>
      </c>
      <c r="BC52" s="60" t="s">
        <v>179</v>
      </c>
      <c r="BD52" s="59" t="s">
        <v>179</v>
      </c>
      <c r="BE52" s="60" t="s">
        <v>179</v>
      </c>
    </row>
    <row r="53" spans="1:57" x14ac:dyDescent="0.35">
      <c r="A53" s="240"/>
      <c r="B53" s="240"/>
      <c r="C53" s="58" t="s">
        <v>229</v>
      </c>
      <c r="D53" s="59" t="s">
        <v>179</v>
      </c>
      <c r="E53" s="60" t="s">
        <v>179</v>
      </c>
      <c r="F53" s="59" t="s">
        <v>179</v>
      </c>
      <c r="G53" s="60" t="s">
        <v>179</v>
      </c>
      <c r="H53" s="59" t="s">
        <v>179</v>
      </c>
      <c r="I53" s="60" t="s">
        <v>179</v>
      </c>
      <c r="J53" s="59" t="s">
        <v>179</v>
      </c>
      <c r="K53" s="60" t="s">
        <v>179</v>
      </c>
      <c r="L53" s="59" t="s">
        <v>179</v>
      </c>
      <c r="M53" s="60" t="s">
        <v>179</v>
      </c>
      <c r="N53" s="59" t="s">
        <v>179</v>
      </c>
      <c r="O53" s="60" t="s">
        <v>179</v>
      </c>
      <c r="P53" s="59" t="s">
        <v>179</v>
      </c>
      <c r="Q53" s="60" t="s">
        <v>179</v>
      </c>
      <c r="R53" s="59" t="s">
        <v>179</v>
      </c>
      <c r="S53" s="60" t="s">
        <v>179</v>
      </c>
      <c r="T53" s="59" t="s">
        <v>179</v>
      </c>
      <c r="U53" s="60" t="s">
        <v>179</v>
      </c>
      <c r="V53" s="59" t="s">
        <v>179</v>
      </c>
      <c r="W53" s="60" t="s">
        <v>179</v>
      </c>
      <c r="X53" s="59" t="s">
        <v>179</v>
      </c>
      <c r="Y53" s="60" t="s">
        <v>179</v>
      </c>
      <c r="Z53" s="59" t="s">
        <v>179</v>
      </c>
      <c r="AA53" s="60" t="s">
        <v>179</v>
      </c>
      <c r="AB53" s="59" t="s">
        <v>179</v>
      </c>
      <c r="AC53" s="60" t="s">
        <v>179</v>
      </c>
      <c r="AD53" s="59" t="s">
        <v>179</v>
      </c>
      <c r="AE53" s="60" t="s">
        <v>179</v>
      </c>
      <c r="AF53" s="59" t="s">
        <v>179</v>
      </c>
      <c r="AG53" s="60" t="s">
        <v>179</v>
      </c>
      <c r="AH53" s="59" t="s">
        <v>179</v>
      </c>
      <c r="AI53" s="60" t="s">
        <v>179</v>
      </c>
      <c r="AJ53" s="59" t="s">
        <v>179</v>
      </c>
      <c r="AK53" s="60" t="s">
        <v>179</v>
      </c>
      <c r="AL53" s="59" t="s">
        <v>179</v>
      </c>
      <c r="AM53" s="60">
        <v>2.5341360000000002</v>
      </c>
      <c r="AN53" s="59">
        <v>0.28503899999999999</v>
      </c>
      <c r="AO53" s="60" t="s">
        <v>179</v>
      </c>
      <c r="AP53" s="59" t="s">
        <v>179</v>
      </c>
      <c r="AQ53" s="60" t="s">
        <v>179</v>
      </c>
      <c r="AR53" s="59" t="s">
        <v>179</v>
      </c>
      <c r="AS53" s="60" t="s">
        <v>179</v>
      </c>
      <c r="AT53" s="59" t="s">
        <v>179</v>
      </c>
      <c r="AU53" s="60" t="s">
        <v>179</v>
      </c>
      <c r="AV53" s="59" t="s">
        <v>179</v>
      </c>
      <c r="AW53" s="60" t="s">
        <v>179</v>
      </c>
      <c r="AX53" s="59" t="s">
        <v>179</v>
      </c>
      <c r="AY53" s="60" t="s">
        <v>179</v>
      </c>
      <c r="AZ53" s="59" t="s">
        <v>179</v>
      </c>
      <c r="BA53" s="60" t="s">
        <v>179</v>
      </c>
      <c r="BB53" s="59" t="s">
        <v>179</v>
      </c>
      <c r="BC53" s="60" t="s">
        <v>179</v>
      </c>
      <c r="BD53" s="59" t="s">
        <v>179</v>
      </c>
      <c r="BE53" s="60" t="s">
        <v>179</v>
      </c>
    </row>
    <row r="54" spans="1:57" x14ac:dyDescent="0.35">
      <c r="A54" s="240"/>
      <c r="B54" s="240"/>
      <c r="C54" s="58" t="s">
        <v>230</v>
      </c>
      <c r="D54" s="59" t="s">
        <v>179</v>
      </c>
      <c r="E54" s="60" t="s">
        <v>179</v>
      </c>
      <c r="F54" s="59" t="s">
        <v>179</v>
      </c>
      <c r="G54" s="60" t="s">
        <v>179</v>
      </c>
      <c r="H54" s="59" t="s">
        <v>179</v>
      </c>
      <c r="I54" s="60" t="s">
        <v>179</v>
      </c>
      <c r="J54" s="59" t="s">
        <v>179</v>
      </c>
      <c r="K54" s="60" t="s">
        <v>179</v>
      </c>
      <c r="L54" s="59" t="s">
        <v>179</v>
      </c>
      <c r="M54" s="60" t="s">
        <v>179</v>
      </c>
      <c r="N54" s="59" t="s">
        <v>179</v>
      </c>
      <c r="O54" s="60" t="s">
        <v>179</v>
      </c>
      <c r="P54" s="59" t="s">
        <v>179</v>
      </c>
      <c r="Q54" s="60" t="s">
        <v>179</v>
      </c>
      <c r="R54" s="59" t="s">
        <v>179</v>
      </c>
      <c r="S54" s="60" t="s">
        <v>179</v>
      </c>
      <c r="T54" s="59" t="s">
        <v>179</v>
      </c>
      <c r="U54" s="60" t="s">
        <v>179</v>
      </c>
      <c r="V54" s="59" t="s">
        <v>179</v>
      </c>
      <c r="W54" s="60" t="s">
        <v>179</v>
      </c>
      <c r="X54" s="59" t="s">
        <v>179</v>
      </c>
      <c r="Y54" s="60" t="s">
        <v>179</v>
      </c>
      <c r="Z54" s="59" t="s">
        <v>179</v>
      </c>
      <c r="AA54" s="60" t="s">
        <v>179</v>
      </c>
      <c r="AB54" s="59" t="s">
        <v>179</v>
      </c>
      <c r="AC54" s="60" t="s">
        <v>179</v>
      </c>
      <c r="AD54" s="59" t="s">
        <v>179</v>
      </c>
      <c r="AE54" s="60" t="s">
        <v>179</v>
      </c>
      <c r="AF54" s="59" t="s">
        <v>179</v>
      </c>
      <c r="AG54" s="60" t="s">
        <v>179</v>
      </c>
      <c r="AH54" s="59" t="s">
        <v>179</v>
      </c>
      <c r="AI54" s="60" t="s">
        <v>179</v>
      </c>
      <c r="AJ54" s="59" t="s">
        <v>179</v>
      </c>
      <c r="AK54" s="60" t="s">
        <v>179</v>
      </c>
      <c r="AL54" s="59" t="s">
        <v>179</v>
      </c>
      <c r="AM54" s="60">
        <v>2.5112930000000002</v>
      </c>
      <c r="AN54" s="59">
        <v>2.2472979999999998</v>
      </c>
      <c r="AO54" s="60" t="s">
        <v>179</v>
      </c>
      <c r="AP54" s="59" t="s">
        <v>179</v>
      </c>
      <c r="AQ54" s="60" t="s">
        <v>179</v>
      </c>
      <c r="AR54" s="59" t="s">
        <v>179</v>
      </c>
      <c r="AS54" s="60" t="s">
        <v>179</v>
      </c>
      <c r="AT54" s="59" t="s">
        <v>179</v>
      </c>
      <c r="AU54" s="60" t="s">
        <v>179</v>
      </c>
      <c r="AV54" s="59" t="s">
        <v>179</v>
      </c>
      <c r="AW54" s="60" t="s">
        <v>179</v>
      </c>
      <c r="AX54" s="59" t="s">
        <v>179</v>
      </c>
      <c r="AY54" s="60" t="s">
        <v>179</v>
      </c>
      <c r="AZ54" s="59" t="s">
        <v>179</v>
      </c>
      <c r="BA54" s="60" t="s">
        <v>179</v>
      </c>
      <c r="BB54" s="59" t="s">
        <v>179</v>
      </c>
      <c r="BC54" s="60" t="s">
        <v>179</v>
      </c>
      <c r="BD54" s="59" t="s">
        <v>179</v>
      </c>
      <c r="BE54" s="60" t="s">
        <v>179</v>
      </c>
    </row>
    <row r="55" spans="1:57" x14ac:dyDescent="0.35">
      <c r="A55" s="240"/>
      <c r="B55" s="240"/>
      <c r="C55" s="58" t="s">
        <v>231</v>
      </c>
      <c r="D55" s="59">
        <v>2.7673420000000002</v>
      </c>
      <c r="E55" s="60">
        <v>2.339305</v>
      </c>
      <c r="F55" s="59">
        <v>1.2317450000000001</v>
      </c>
      <c r="G55" s="60" t="s">
        <v>179</v>
      </c>
      <c r="H55" s="59" t="s">
        <v>179</v>
      </c>
      <c r="I55" s="60" t="s">
        <v>179</v>
      </c>
      <c r="J55" s="59" t="s">
        <v>179</v>
      </c>
      <c r="K55" s="60">
        <v>0.622803</v>
      </c>
      <c r="L55" s="59" t="s">
        <v>179</v>
      </c>
      <c r="M55" s="60">
        <v>2.2213820000000002</v>
      </c>
      <c r="N55" s="59">
        <v>0.37570999999999999</v>
      </c>
      <c r="O55" s="60">
        <v>1.7796540000000001</v>
      </c>
      <c r="P55" s="59">
        <v>3.419559</v>
      </c>
      <c r="Q55" s="60" t="s">
        <v>179</v>
      </c>
      <c r="R55" s="59">
        <v>-0.35800599999999999</v>
      </c>
      <c r="S55" s="60">
        <v>1.359769</v>
      </c>
      <c r="T55" s="59" t="s">
        <v>179</v>
      </c>
      <c r="U55" s="60">
        <v>1.467603</v>
      </c>
      <c r="V55" s="59">
        <v>0.18434400000000001</v>
      </c>
      <c r="W55" s="60">
        <v>4.4960050000000003</v>
      </c>
      <c r="X55" s="59" t="s">
        <v>179</v>
      </c>
      <c r="Y55" s="60" t="s">
        <v>179</v>
      </c>
      <c r="Z55" s="59">
        <v>1.0827880000000001</v>
      </c>
      <c r="AA55" s="60">
        <v>0.99813499999999999</v>
      </c>
      <c r="AB55" s="59">
        <v>2.334749</v>
      </c>
      <c r="AC55" s="60" t="s">
        <v>179</v>
      </c>
      <c r="AD55" s="59">
        <v>0.76485999999999998</v>
      </c>
      <c r="AE55" s="60" t="s">
        <v>179</v>
      </c>
      <c r="AF55" s="59">
        <v>0.64696200000000004</v>
      </c>
      <c r="AG55" s="60" t="s">
        <v>179</v>
      </c>
      <c r="AH55" s="59" t="s">
        <v>179</v>
      </c>
      <c r="AI55" s="60">
        <v>2.0558649999999998</v>
      </c>
      <c r="AJ55" s="59">
        <v>1.3552580000000001</v>
      </c>
      <c r="AK55" s="60">
        <v>2.0277669999999999</v>
      </c>
      <c r="AL55" s="59" t="s">
        <v>179</v>
      </c>
      <c r="AM55" s="60">
        <v>-0.73439900000000002</v>
      </c>
      <c r="AN55" s="59">
        <v>-0.53938699999999995</v>
      </c>
      <c r="AO55" s="60" t="s">
        <v>179</v>
      </c>
      <c r="AP55" s="59" t="s">
        <v>179</v>
      </c>
      <c r="AQ55" s="60" t="s">
        <v>179</v>
      </c>
      <c r="AR55" s="59" t="s">
        <v>179</v>
      </c>
      <c r="AS55" s="60" t="s">
        <v>179</v>
      </c>
      <c r="AT55" s="59" t="s">
        <v>179</v>
      </c>
      <c r="AU55" s="60" t="s">
        <v>179</v>
      </c>
      <c r="AV55" s="59" t="s">
        <v>179</v>
      </c>
      <c r="AW55" s="60" t="s">
        <v>179</v>
      </c>
      <c r="AX55" s="59" t="s">
        <v>179</v>
      </c>
      <c r="AY55" s="60" t="s">
        <v>179</v>
      </c>
      <c r="AZ55" s="59" t="s">
        <v>179</v>
      </c>
      <c r="BA55" s="60" t="s">
        <v>179</v>
      </c>
      <c r="BB55" s="59" t="s">
        <v>179</v>
      </c>
      <c r="BC55" s="60" t="s">
        <v>179</v>
      </c>
      <c r="BD55" s="59" t="s">
        <v>179</v>
      </c>
      <c r="BE55" s="60">
        <v>1.630733</v>
      </c>
    </row>
    <row r="56" spans="1:57" x14ac:dyDescent="0.35">
      <c r="A56" s="240"/>
      <c r="B56" s="240"/>
      <c r="C56" s="58" t="s">
        <v>232</v>
      </c>
      <c r="D56" s="59">
        <v>0.225656</v>
      </c>
      <c r="E56" s="60">
        <v>1.25508</v>
      </c>
      <c r="F56" s="59">
        <v>1.2234430000000001</v>
      </c>
      <c r="G56" s="60" t="s">
        <v>179</v>
      </c>
      <c r="H56" s="59" t="s">
        <v>179</v>
      </c>
      <c r="I56" s="60" t="s">
        <v>179</v>
      </c>
      <c r="J56" s="59" t="s">
        <v>179</v>
      </c>
      <c r="K56" s="60">
        <v>1.0204439999999999</v>
      </c>
      <c r="L56" s="59" t="s">
        <v>179</v>
      </c>
      <c r="M56" s="60">
        <v>1.115974</v>
      </c>
      <c r="N56" s="59">
        <v>0.74856100000000003</v>
      </c>
      <c r="O56" s="60">
        <v>3.4566859999999999</v>
      </c>
      <c r="P56" s="59">
        <v>3.324659</v>
      </c>
      <c r="Q56" s="60" t="s">
        <v>179</v>
      </c>
      <c r="R56" s="59">
        <v>-0.36126599999999998</v>
      </c>
      <c r="S56" s="60">
        <v>1.3488990000000001</v>
      </c>
      <c r="T56" s="59" t="s">
        <v>179</v>
      </c>
      <c r="U56" s="60">
        <v>1.4686349999999999</v>
      </c>
      <c r="V56" s="59">
        <v>3.434517</v>
      </c>
      <c r="W56" s="60">
        <v>-1.1115630000000001</v>
      </c>
      <c r="X56" s="59" t="s">
        <v>179</v>
      </c>
      <c r="Y56" s="60" t="s">
        <v>179</v>
      </c>
      <c r="Z56" s="59">
        <v>1.077075</v>
      </c>
      <c r="AA56" s="60">
        <v>0.99370099999999995</v>
      </c>
      <c r="AB56" s="59">
        <v>-1.7105300000000001</v>
      </c>
      <c r="AC56" s="60" t="s">
        <v>179</v>
      </c>
      <c r="AD56" s="59">
        <v>1.223773</v>
      </c>
      <c r="AE56" s="60" t="s">
        <v>179</v>
      </c>
      <c r="AF56" s="59">
        <v>0.92704900000000001</v>
      </c>
      <c r="AG56" s="60" t="s">
        <v>179</v>
      </c>
      <c r="AH56" s="59" t="s">
        <v>179</v>
      </c>
      <c r="AI56" s="60">
        <v>2.7973690000000002</v>
      </c>
      <c r="AJ56" s="59">
        <v>1.626155</v>
      </c>
      <c r="AK56" s="60">
        <v>3.6659320000000002</v>
      </c>
      <c r="AL56" s="59" t="s">
        <v>179</v>
      </c>
      <c r="AM56" s="60">
        <v>1.5133970000000001</v>
      </c>
      <c r="AN56" s="59">
        <v>0.48927500000000002</v>
      </c>
      <c r="AO56" s="60" t="s">
        <v>179</v>
      </c>
      <c r="AP56" s="59" t="s">
        <v>179</v>
      </c>
      <c r="AQ56" s="60" t="s">
        <v>179</v>
      </c>
      <c r="AR56" s="59" t="s">
        <v>179</v>
      </c>
      <c r="AS56" s="60" t="s">
        <v>179</v>
      </c>
      <c r="AT56" s="59" t="s">
        <v>179</v>
      </c>
      <c r="AU56" s="60" t="s">
        <v>179</v>
      </c>
      <c r="AV56" s="59" t="s">
        <v>179</v>
      </c>
      <c r="AW56" s="60" t="s">
        <v>179</v>
      </c>
      <c r="AX56" s="59" t="s">
        <v>179</v>
      </c>
      <c r="AY56" s="60" t="s">
        <v>179</v>
      </c>
      <c r="AZ56" s="59" t="s">
        <v>179</v>
      </c>
      <c r="BA56" s="60" t="s">
        <v>179</v>
      </c>
      <c r="BB56" s="59" t="s">
        <v>179</v>
      </c>
      <c r="BC56" s="60" t="s">
        <v>179</v>
      </c>
      <c r="BD56" s="59" t="s">
        <v>179</v>
      </c>
      <c r="BE56" s="60">
        <v>1.842597</v>
      </c>
    </row>
    <row r="57" spans="1:57" x14ac:dyDescent="0.35">
      <c r="A57" s="240"/>
      <c r="B57" s="240"/>
      <c r="C57" s="58" t="s">
        <v>233</v>
      </c>
      <c r="D57" s="59">
        <v>-0.199631</v>
      </c>
      <c r="E57" s="60">
        <v>1.3862950000000001</v>
      </c>
      <c r="F57" s="59">
        <v>1.21526</v>
      </c>
      <c r="G57" s="60" t="s">
        <v>179</v>
      </c>
      <c r="H57" s="59" t="s">
        <v>179</v>
      </c>
      <c r="I57" s="60" t="s">
        <v>179</v>
      </c>
      <c r="J57" s="59" t="s">
        <v>179</v>
      </c>
      <c r="K57" s="60">
        <v>1.4076040000000001</v>
      </c>
      <c r="L57" s="59" t="s">
        <v>179</v>
      </c>
      <c r="M57" s="60">
        <v>1.944553</v>
      </c>
      <c r="N57" s="59">
        <v>1.1852180000000001</v>
      </c>
      <c r="O57" s="60">
        <v>1.022068</v>
      </c>
      <c r="P57" s="59">
        <v>3.2352650000000001</v>
      </c>
      <c r="Q57" s="60" t="s">
        <v>179</v>
      </c>
      <c r="R57" s="59">
        <v>-0.36455799999999999</v>
      </c>
      <c r="S57" s="60">
        <v>1.338219</v>
      </c>
      <c r="T57" s="59" t="s">
        <v>179</v>
      </c>
      <c r="U57" s="60">
        <v>7.6755000000000004E-2</v>
      </c>
      <c r="V57" s="59">
        <v>3.8434750000000002</v>
      </c>
      <c r="W57" s="60">
        <v>0.59629900000000002</v>
      </c>
      <c r="X57" s="59" t="s">
        <v>179</v>
      </c>
      <c r="Y57" s="60" t="s">
        <v>179</v>
      </c>
      <c r="Z57" s="59">
        <v>1.071421</v>
      </c>
      <c r="AA57" s="60">
        <v>0.98929999999999996</v>
      </c>
      <c r="AB57" s="59">
        <v>1.112932</v>
      </c>
      <c r="AC57" s="60" t="s">
        <v>179</v>
      </c>
      <c r="AD57" s="59">
        <v>1.66812</v>
      </c>
      <c r="AE57" s="60" t="s">
        <v>179</v>
      </c>
      <c r="AF57" s="59">
        <v>1.2001269999999999</v>
      </c>
      <c r="AG57" s="60" t="s">
        <v>179</v>
      </c>
      <c r="AH57" s="59" t="s">
        <v>179</v>
      </c>
      <c r="AI57" s="60">
        <v>2.0130189999999999</v>
      </c>
      <c r="AJ57" s="59">
        <v>1.8713010000000001</v>
      </c>
      <c r="AK57" s="60">
        <v>4.3889999999999998E-2</v>
      </c>
      <c r="AL57" s="59" t="s">
        <v>179</v>
      </c>
      <c r="AM57" s="60">
        <v>0.62760099999999996</v>
      </c>
      <c r="AN57" s="59">
        <v>-1.283434</v>
      </c>
      <c r="AO57" s="60" t="s">
        <v>179</v>
      </c>
      <c r="AP57" s="59" t="s">
        <v>179</v>
      </c>
      <c r="AQ57" s="60" t="s">
        <v>179</v>
      </c>
      <c r="AR57" s="59" t="s">
        <v>179</v>
      </c>
      <c r="AS57" s="60" t="s">
        <v>179</v>
      </c>
      <c r="AT57" s="59" t="s">
        <v>179</v>
      </c>
      <c r="AU57" s="60" t="s">
        <v>179</v>
      </c>
      <c r="AV57" s="59" t="s">
        <v>179</v>
      </c>
      <c r="AW57" s="60" t="s">
        <v>179</v>
      </c>
      <c r="AX57" s="59" t="s">
        <v>179</v>
      </c>
      <c r="AY57" s="60" t="s">
        <v>179</v>
      </c>
      <c r="AZ57" s="59" t="s">
        <v>179</v>
      </c>
      <c r="BA57" s="60" t="s">
        <v>179</v>
      </c>
      <c r="BB57" s="59" t="s">
        <v>179</v>
      </c>
      <c r="BC57" s="60" t="s">
        <v>179</v>
      </c>
      <c r="BD57" s="59" t="s">
        <v>179</v>
      </c>
      <c r="BE57" s="60">
        <v>0.98706300000000002</v>
      </c>
    </row>
    <row r="58" spans="1:57" x14ac:dyDescent="0.35">
      <c r="A58" s="240"/>
      <c r="B58" s="240"/>
      <c r="C58" s="58" t="s">
        <v>234</v>
      </c>
      <c r="D58" s="59">
        <v>0.30079699999999998</v>
      </c>
      <c r="E58" s="60">
        <v>2.8058420000000002</v>
      </c>
      <c r="F58" s="59">
        <v>1.1934469999999999</v>
      </c>
      <c r="G58" s="60" t="s">
        <v>179</v>
      </c>
      <c r="H58" s="59" t="s">
        <v>179</v>
      </c>
      <c r="I58" s="60" t="s">
        <v>179</v>
      </c>
      <c r="J58" s="59" t="s">
        <v>179</v>
      </c>
      <c r="K58" s="60">
        <v>1.7799609999999999</v>
      </c>
      <c r="L58" s="59" t="s">
        <v>179</v>
      </c>
      <c r="M58" s="60">
        <v>3.4837359999999999</v>
      </c>
      <c r="N58" s="59">
        <v>1.608374</v>
      </c>
      <c r="O58" s="60">
        <v>1.011728</v>
      </c>
      <c r="P58" s="59">
        <v>3.0977250000000001</v>
      </c>
      <c r="Q58" s="60" t="s">
        <v>179</v>
      </c>
      <c r="R58" s="59">
        <v>-0.35224100000000003</v>
      </c>
      <c r="S58" s="60">
        <v>1.308897</v>
      </c>
      <c r="T58" s="59" t="s">
        <v>179</v>
      </c>
      <c r="U58" s="60">
        <v>3.5827779999999998</v>
      </c>
      <c r="V58" s="59">
        <v>3.0397620000000001</v>
      </c>
      <c r="W58" s="60">
        <v>3.2009270000000001</v>
      </c>
      <c r="X58" s="59" t="s">
        <v>179</v>
      </c>
      <c r="Y58" s="60" t="s">
        <v>179</v>
      </c>
      <c r="Z58" s="59">
        <v>1.049261</v>
      </c>
      <c r="AA58" s="60">
        <v>0.97339500000000001</v>
      </c>
      <c r="AB58" s="59">
        <v>0.34748899999999999</v>
      </c>
      <c r="AC58" s="60" t="s">
        <v>179</v>
      </c>
      <c r="AD58" s="59">
        <v>2.0923180000000001</v>
      </c>
      <c r="AE58" s="60" t="s">
        <v>179</v>
      </c>
      <c r="AF58" s="59">
        <v>1.4641489999999999</v>
      </c>
      <c r="AG58" s="60" t="s">
        <v>179</v>
      </c>
      <c r="AH58" s="59" t="s">
        <v>179</v>
      </c>
      <c r="AI58" s="60">
        <v>2.858311</v>
      </c>
      <c r="AJ58" s="59">
        <v>1.9362950000000001</v>
      </c>
      <c r="AK58" s="60">
        <v>3.4219460000000002</v>
      </c>
      <c r="AL58" s="59" t="s">
        <v>179</v>
      </c>
      <c r="AM58" s="60">
        <v>1.6166320000000001</v>
      </c>
      <c r="AN58" s="59">
        <v>0.67502899999999999</v>
      </c>
      <c r="AO58" s="60" t="s">
        <v>179</v>
      </c>
      <c r="AP58" s="59" t="s">
        <v>179</v>
      </c>
      <c r="AQ58" s="60" t="s">
        <v>179</v>
      </c>
      <c r="AR58" s="59" t="s">
        <v>179</v>
      </c>
      <c r="AS58" s="60" t="s">
        <v>179</v>
      </c>
      <c r="AT58" s="59" t="s">
        <v>179</v>
      </c>
      <c r="AU58" s="60" t="s">
        <v>179</v>
      </c>
      <c r="AV58" s="59" t="s">
        <v>179</v>
      </c>
      <c r="AW58" s="60" t="s">
        <v>179</v>
      </c>
      <c r="AX58" s="59" t="s">
        <v>179</v>
      </c>
      <c r="AY58" s="60" t="s">
        <v>179</v>
      </c>
      <c r="AZ58" s="59" t="s">
        <v>179</v>
      </c>
      <c r="BA58" s="60" t="s">
        <v>179</v>
      </c>
      <c r="BB58" s="59" t="s">
        <v>179</v>
      </c>
      <c r="BC58" s="60" t="s">
        <v>179</v>
      </c>
      <c r="BD58" s="59" t="s">
        <v>179</v>
      </c>
      <c r="BE58" s="60">
        <v>0.72531999999999996</v>
      </c>
    </row>
    <row r="59" spans="1:57" x14ac:dyDescent="0.35">
      <c r="A59" s="240"/>
      <c r="B59" s="240"/>
      <c r="C59" s="58" t="s">
        <v>235</v>
      </c>
      <c r="D59" s="59">
        <v>-1.0976159999999999</v>
      </c>
      <c r="E59" s="60">
        <v>-0.34995900000000002</v>
      </c>
      <c r="F59" s="59">
        <v>1.167163</v>
      </c>
      <c r="G59" s="60">
        <v>2.5293169999999998</v>
      </c>
      <c r="H59" s="59" t="s">
        <v>179</v>
      </c>
      <c r="I59" s="60" t="s">
        <v>179</v>
      </c>
      <c r="J59" s="59" t="s">
        <v>179</v>
      </c>
      <c r="K59" s="60">
        <v>1.8002910000000001</v>
      </c>
      <c r="L59" s="59" t="s">
        <v>179</v>
      </c>
      <c r="M59" s="60">
        <v>0.73714299999999999</v>
      </c>
      <c r="N59" s="59">
        <v>1.6003289999999999</v>
      </c>
      <c r="O59" s="60">
        <v>-0.53933399999999998</v>
      </c>
      <c r="P59" s="59">
        <v>2.990154</v>
      </c>
      <c r="Q59" s="60" t="s">
        <v>179</v>
      </c>
      <c r="R59" s="59">
        <v>-0.36119800000000002</v>
      </c>
      <c r="S59" s="60">
        <v>1.282233</v>
      </c>
      <c r="T59" s="59" t="s">
        <v>179</v>
      </c>
      <c r="U59" s="60">
        <v>2.1154929999999998</v>
      </c>
      <c r="V59" s="59">
        <v>2.1313819999999999</v>
      </c>
      <c r="W59" s="60">
        <v>4.3164230000000003</v>
      </c>
      <c r="X59" s="59" t="s">
        <v>179</v>
      </c>
      <c r="Y59" s="60" t="s">
        <v>179</v>
      </c>
      <c r="Z59" s="59">
        <v>1.031952</v>
      </c>
      <c r="AA59" s="60">
        <v>0.95434699999999995</v>
      </c>
      <c r="AB59" s="59">
        <v>-1.39306</v>
      </c>
      <c r="AC59" s="60" t="s">
        <v>179</v>
      </c>
      <c r="AD59" s="59">
        <v>1.621275</v>
      </c>
      <c r="AE59" s="60" t="s">
        <v>179</v>
      </c>
      <c r="AF59" s="59">
        <v>1.532257</v>
      </c>
      <c r="AG59" s="60" t="s">
        <v>179</v>
      </c>
      <c r="AH59" s="59" t="s">
        <v>179</v>
      </c>
      <c r="AI59" s="60">
        <v>4.4411300000000002</v>
      </c>
      <c r="AJ59" s="59">
        <v>0.363512</v>
      </c>
      <c r="AK59" s="60">
        <v>1.3555710000000001</v>
      </c>
      <c r="AL59" s="59" t="s">
        <v>179</v>
      </c>
      <c r="AM59" s="60">
        <v>0.43724200000000002</v>
      </c>
      <c r="AN59" s="59">
        <v>1.697479</v>
      </c>
      <c r="AO59" s="60" t="s">
        <v>179</v>
      </c>
      <c r="AP59" s="59" t="s">
        <v>179</v>
      </c>
      <c r="AQ59" s="60" t="s">
        <v>179</v>
      </c>
      <c r="AR59" s="59" t="s">
        <v>179</v>
      </c>
      <c r="AS59" s="60">
        <v>0.85329200000000005</v>
      </c>
      <c r="AT59" s="59" t="s">
        <v>179</v>
      </c>
      <c r="AU59" s="60" t="s">
        <v>179</v>
      </c>
      <c r="AV59" s="59" t="s">
        <v>179</v>
      </c>
      <c r="AW59" s="60" t="s">
        <v>179</v>
      </c>
      <c r="AX59" s="59" t="s">
        <v>179</v>
      </c>
      <c r="AY59" s="60" t="s">
        <v>179</v>
      </c>
      <c r="AZ59" s="59" t="s">
        <v>179</v>
      </c>
      <c r="BA59" s="60" t="s">
        <v>179</v>
      </c>
      <c r="BB59" s="59" t="s">
        <v>179</v>
      </c>
      <c r="BC59" s="60" t="s">
        <v>179</v>
      </c>
      <c r="BD59" s="59" t="s">
        <v>179</v>
      </c>
      <c r="BE59" s="60">
        <v>-0.43698700000000001</v>
      </c>
    </row>
    <row r="60" spans="1:57" x14ac:dyDescent="0.35">
      <c r="A60" s="240"/>
      <c r="B60" s="240"/>
      <c r="C60" s="58" t="s">
        <v>236</v>
      </c>
      <c r="D60" s="59">
        <v>-0.71560699999999999</v>
      </c>
      <c r="E60" s="60">
        <v>1.2564519999999999</v>
      </c>
      <c r="F60" s="59">
        <v>1.275744</v>
      </c>
      <c r="G60" s="60">
        <v>2.4092929999999999</v>
      </c>
      <c r="H60" s="59" t="s">
        <v>179</v>
      </c>
      <c r="I60" s="60" t="s">
        <v>179</v>
      </c>
      <c r="J60" s="59" t="s">
        <v>179</v>
      </c>
      <c r="K60" s="60">
        <v>1.819056</v>
      </c>
      <c r="L60" s="59" t="s">
        <v>179</v>
      </c>
      <c r="M60" s="60">
        <v>0.51400299999999999</v>
      </c>
      <c r="N60" s="59">
        <v>1.5922190000000001</v>
      </c>
      <c r="O60" s="60">
        <v>2.0525129999999998</v>
      </c>
      <c r="P60" s="59">
        <v>1.2603979999999999</v>
      </c>
      <c r="Q60" s="60" t="s">
        <v>179</v>
      </c>
      <c r="R60" s="59">
        <v>0.97925399999999996</v>
      </c>
      <c r="S60" s="60">
        <v>0.96754300000000004</v>
      </c>
      <c r="T60" s="59" t="s">
        <v>179</v>
      </c>
      <c r="U60" s="60">
        <v>2.3306420000000001</v>
      </c>
      <c r="V60" s="59">
        <v>1.918909</v>
      </c>
      <c r="W60" s="60">
        <v>-1.8252470000000001</v>
      </c>
      <c r="X60" s="59" t="s">
        <v>179</v>
      </c>
      <c r="Y60" s="60" t="s">
        <v>179</v>
      </c>
      <c r="Z60" s="59">
        <v>0.61060599999999998</v>
      </c>
      <c r="AA60" s="60">
        <v>1.0075419999999999</v>
      </c>
      <c r="AB60" s="59">
        <v>0.117012</v>
      </c>
      <c r="AC60" s="60" t="s">
        <v>179</v>
      </c>
      <c r="AD60" s="59">
        <v>1.174078</v>
      </c>
      <c r="AE60" s="60" t="s">
        <v>179</v>
      </c>
      <c r="AF60" s="59">
        <v>1.5969819999999999</v>
      </c>
      <c r="AG60" s="60" t="s">
        <v>179</v>
      </c>
      <c r="AH60" s="59" t="s">
        <v>179</v>
      </c>
      <c r="AI60" s="60">
        <v>2.042475</v>
      </c>
      <c r="AJ60" s="59">
        <v>1.3867080000000001</v>
      </c>
      <c r="AK60" s="60">
        <v>1.2421260000000001</v>
      </c>
      <c r="AL60" s="59" t="s">
        <v>179</v>
      </c>
      <c r="AM60" s="60">
        <v>-0.508876</v>
      </c>
      <c r="AN60" s="59">
        <v>1.9196390000000001</v>
      </c>
      <c r="AO60" s="60" t="s">
        <v>179</v>
      </c>
      <c r="AP60" s="59" t="s">
        <v>179</v>
      </c>
      <c r="AQ60" s="60" t="s">
        <v>179</v>
      </c>
      <c r="AR60" s="59" t="s">
        <v>179</v>
      </c>
      <c r="AS60" s="60">
        <v>1.3196840000000001</v>
      </c>
      <c r="AT60" s="59" t="s">
        <v>179</v>
      </c>
      <c r="AU60" s="60" t="s">
        <v>179</v>
      </c>
      <c r="AV60" s="59" t="s">
        <v>179</v>
      </c>
      <c r="AW60" s="60" t="s">
        <v>179</v>
      </c>
      <c r="AX60" s="59" t="s">
        <v>179</v>
      </c>
      <c r="AY60" s="60" t="s">
        <v>179</v>
      </c>
      <c r="AZ60" s="59" t="s">
        <v>179</v>
      </c>
      <c r="BA60" s="60" t="s">
        <v>179</v>
      </c>
      <c r="BB60" s="59" t="s">
        <v>179</v>
      </c>
      <c r="BC60" s="60" t="s">
        <v>179</v>
      </c>
      <c r="BD60" s="59" t="s">
        <v>179</v>
      </c>
      <c r="BE60" s="60">
        <v>2.233625</v>
      </c>
    </row>
    <row r="61" spans="1:57" x14ac:dyDescent="0.35">
      <c r="A61" s="240"/>
      <c r="B61" s="240"/>
      <c r="C61" s="58" t="s">
        <v>237</v>
      </c>
      <c r="D61" s="59">
        <v>1.139175</v>
      </c>
      <c r="E61" s="60">
        <v>0.227988</v>
      </c>
      <c r="F61" s="59">
        <v>1.3810739999999999</v>
      </c>
      <c r="G61" s="60">
        <v>1.39682</v>
      </c>
      <c r="H61" s="59" t="s">
        <v>179</v>
      </c>
      <c r="I61" s="60" t="s">
        <v>179</v>
      </c>
      <c r="J61" s="59" t="s">
        <v>179</v>
      </c>
      <c r="K61" s="60">
        <v>1.836176</v>
      </c>
      <c r="L61" s="59" t="s">
        <v>179</v>
      </c>
      <c r="M61" s="60">
        <v>2.261307</v>
      </c>
      <c r="N61" s="59">
        <v>1.699022</v>
      </c>
      <c r="O61" s="60">
        <v>0.45560499999999998</v>
      </c>
      <c r="P61" s="59">
        <v>-0.50374699999999994</v>
      </c>
      <c r="Q61" s="60" t="s">
        <v>179</v>
      </c>
      <c r="R61" s="59">
        <v>2.3892129999999998</v>
      </c>
      <c r="S61" s="60">
        <v>0.63514599999999999</v>
      </c>
      <c r="T61" s="59" t="s">
        <v>179</v>
      </c>
      <c r="U61" s="60">
        <v>1.9131450000000001</v>
      </c>
      <c r="V61" s="59">
        <v>4.587968</v>
      </c>
      <c r="W61" s="60">
        <v>1.2970440000000001</v>
      </c>
      <c r="X61" s="59" t="s">
        <v>179</v>
      </c>
      <c r="Y61" s="60" t="s">
        <v>179</v>
      </c>
      <c r="Z61" s="59">
        <v>0.165051</v>
      </c>
      <c r="AA61" s="60">
        <v>1.057329</v>
      </c>
      <c r="AB61" s="59">
        <v>1.605199</v>
      </c>
      <c r="AC61" s="60" t="s">
        <v>179</v>
      </c>
      <c r="AD61" s="59">
        <v>0.74397199999999997</v>
      </c>
      <c r="AE61" s="60" t="s">
        <v>179</v>
      </c>
      <c r="AF61" s="59">
        <v>1.6583870000000001</v>
      </c>
      <c r="AG61" s="60" t="s">
        <v>179</v>
      </c>
      <c r="AH61" s="59" t="s">
        <v>179</v>
      </c>
      <c r="AI61" s="60">
        <v>2.8217080000000001</v>
      </c>
      <c r="AJ61" s="59">
        <v>0.50326000000000004</v>
      </c>
      <c r="AK61" s="60">
        <v>1.9580439999999999</v>
      </c>
      <c r="AL61" s="59" t="s">
        <v>179</v>
      </c>
      <c r="AM61" s="60">
        <v>-0.17369599999999999</v>
      </c>
      <c r="AN61" s="59">
        <v>1.961109</v>
      </c>
      <c r="AO61" s="60" t="s">
        <v>179</v>
      </c>
      <c r="AP61" s="59" t="s">
        <v>179</v>
      </c>
      <c r="AQ61" s="60" t="s">
        <v>179</v>
      </c>
      <c r="AR61" s="59" t="s">
        <v>179</v>
      </c>
      <c r="AS61" s="60">
        <v>1.057013</v>
      </c>
      <c r="AT61" s="59" t="s">
        <v>179</v>
      </c>
      <c r="AU61" s="60" t="s">
        <v>179</v>
      </c>
      <c r="AV61" s="59" t="s">
        <v>179</v>
      </c>
      <c r="AW61" s="60" t="s">
        <v>179</v>
      </c>
      <c r="AX61" s="59" t="s">
        <v>179</v>
      </c>
      <c r="AY61" s="60" t="s">
        <v>179</v>
      </c>
      <c r="AZ61" s="59" t="s">
        <v>179</v>
      </c>
      <c r="BA61" s="60" t="s">
        <v>179</v>
      </c>
      <c r="BB61" s="59" t="s">
        <v>179</v>
      </c>
      <c r="BC61" s="60" t="s">
        <v>179</v>
      </c>
      <c r="BD61" s="59" t="s">
        <v>179</v>
      </c>
      <c r="BE61" s="60">
        <v>0.90900000000000003</v>
      </c>
    </row>
    <row r="62" spans="1:57" x14ac:dyDescent="0.35">
      <c r="A62" s="240"/>
      <c r="B62" s="240"/>
      <c r="C62" s="58" t="s">
        <v>238</v>
      </c>
      <c r="D62" s="59">
        <v>2.8068</v>
      </c>
      <c r="E62" s="60">
        <v>1.4633100000000001</v>
      </c>
      <c r="F62" s="59">
        <v>1.3469420000000001</v>
      </c>
      <c r="G62" s="60">
        <v>2.6501760000000001</v>
      </c>
      <c r="H62" s="59" t="s">
        <v>179</v>
      </c>
      <c r="I62" s="60" t="s">
        <v>179</v>
      </c>
      <c r="J62" s="59" t="s">
        <v>179</v>
      </c>
      <c r="K62" s="60">
        <v>1.8518699999999999</v>
      </c>
      <c r="L62" s="59" t="s">
        <v>179</v>
      </c>
      <c r="M62" s="60">
        <v>1.346843</v>
      </c>
      <c r="N62" s="59">
        <v>1.800279</v>
      </c>
      <c r="O62" s="60">
        <v>1.473352</v>
      </c>
      <c r="P62" s="59">
        <v>-0.50515699999999997</v>
      </c>
      <c r="Q62" s="60" t="s">
        <v>179</v>
      </c>
      <c r="R62" s="59">
        <v>2.324875</v>
      </c>
      <c r="S62" s="60">
        <v>0.62361500000000003</v>
      </c>
      <c r="T62" s="59" t="s">
        <v>179</v>
      </c>
      <c r="U62" s="60">
        <v>1.479935</v>
      </c>
      <c r="V62" s="59">
        <v>1.342398</v>
      </c>
      <c r="W62" s="60">
        <v>1.99193</v>
      </c>
      <c r="X62" s="59" t="s">
        <v>179</v>
      </c>
      <c r="Y62" s="60" t="s">
        <v>179</v>
      </c>
      <c r="Z62" s="59">
        <v>0.16031899999999999</v>
      </c>
      <c r="AA62" s="60">
        <v>1.0387470000000001</v>
      </c>
      <c r="AB62" s="59">
        <v>2.7209449999999999</v>
      </c>
      <c r="AC62" s="60" t="s">
        <v>179</v>
      </c>
      <c r="AD62" s="59">
        <v>0.32507200000000003</v>
      </c>
      <c r="AE62" s="60" t="s">
        <v>179</v>
      </c>
      <c r="AF62" s="59">
        <v>1.716391</v>
      </c>
      <c r="AG62" s="60" t="s">
        <v>179</v>
      </c>
      <c r="AH62" s="59" t="s">
        <v>179</v>
      </c>
      <c r="AI62" s="60">
        <v>2.3655940000000002</v>
      </c>
      <c r="AJ62" s="59">
        <v>0.27718999999999999</v>
      </c>
      <c r="AK62" s="60">
        <v>0.57539600000000002</v>
      </c>
      <c r="AL62" s="59" t="s">
        <v>179</v>
      </c>
      <c r="AM62" s="60">
        <v>0.435365</v>
      </c>
      <c r="AN62" s="59">
        <v>1.7835989999999999</v>
      </c>
      <c r="AO62" s="60" t="s">
        <v>179</v>
      </c>
      <c r="AP62" s="59" t="s">
        <v>179</v>
      </c>
      <c r="AQ62" s="60" t="s">
        <v>179</v>
      </c>
      <c r="AR62" s="59" t="s">
        <v>179</v>
      </c>
      <c r="AS62" s="60">
        <v>1.3338669999999999</v>
      </c>
      <c r="AT62" s="59" t="s">
        <v>179</v>
      </c>
      <c r="AU62" s="60" t="s">
        <v>179</v>
      </c>
      <c r="AV62" s="59" t="s">
        <v>179</v>
      </c>
      <c r="AW62" s="60" t="s">
        <v>179</v>
      </c>
      <c r="AX62" s="59" t="s">
        <v>179</v>
      </c>
      <c r="AY62" s="60" t="s">
        <v>179</v>
      </c>
      <c r="AZ62" s="59" t="s">
        <v>179</v>
      </c>
      <c r="BA62" s="60" t="s">
        <v>179</v>
      </c>
      <c r="BB62" s="59" t="s">
        <v>179</v>
      </c>
      <c r="BC62" s="60" t="s">
        <v>179</v>
      </c>
      <c r="BD62" s="59" t="s">
        <v>179</v>
      </c>
      <c r="BE62" s="60">
        <v>2.5865809999999998</v>
      </c>
    </row>
    <row r="63" spans="1:57" x14ac:dyDescent="0.35">
      <c r="A63" s="240"/>
      <c r="B63" s="240"/>
      <c r="C63" s="58" t="s">
        <v>239</v>
      </c>
      <c r="D63" s="59">
        <v>1.915084</v>
      </c>
      <c r="E63" s="60">
        <v>-2.1812000000000002E-2</v>
      </c>
      <c r="F63" s="59">
        <v>1.322268</v>
      </c>
      <c r="G63" s="60">
        <v>0.73585599999999995</v>
      </c>
      <c r="H63" s="59" t="s">
        <v>179</v>
      </c>
      <c r="I63" s="60" t="s">
        <v>179</v>
      </c>
      <c r="J63" s="59" t="s">
        <v>179</v>
      </c>
      <c r="K63" s="60">
        <v>1.1233470000000001</v>
      </c>
      <c r="L63" s="59" t="s">
        <v>179</v>
      </c>
      <c r="M63" s="60">
        <v>-2.5335640000000001</v>
      </c>
      <c r="N63" s="59">
        <v>1.6156820000000001</v>
      </c>
      <c r="O63" s="60">
        <v>1.0423439999999999</v>
      </c>
      <c r="P63" s="59">
        <v>-0.50102199999999997</v>
      </c>
      <c r="Q63" s="60" t="s">
        <v>179</v>
      </c>
      <c r="R63" s="59">
        <v>2.2436069999999999</v>
      </c>
      <c r="S63" s="60">
        <v>0.61691700000000005</v>
      </c>
      <c r="T63" s="59" t="s">
        <v>179</v>
      </c>
      <c r="U63" s="60">
        <v>1.076641</v>
      </c>
      <c r="V63" s="59">
        <v>1.398082</v>
      </c>
      <c r="W63" s="60">
        <v>-1.8681680000000001</v>
      </c>
      <c r="X63" s="59" t="s">
        <v>179</v>
      </c>
      <c r="Y63" s="60" t="s">
        <v>179</v>
      </c>
      <c r="Z63" s="59">
        <v>0.16172</v>
      </c>
      <c r="AA63" s="60">
        <v>1.01864</v>
      </c>
      <c r="AB63" s="59">
        <v>2.087974</v>
      </c>
      <c r="AC63" s="60" t="s">
        <v>179</v>
      </c>
      <c r="AD63" s="59">
        <v>0.49836200000000003</v>
      </c>
      <c r="AE63" s="60" t="s">
        <v>179</v>
      </c>
      <c r="AF63" s="59">
        <v>1.6258779999999999</v>
      </c>
      <c r="AG63" s="60" t="s">
        <v>179</v>
      </c>
      <c r="AH63" s="59" t="s">
        <v>179</v>
      </c>
      <c r="AI63" s="60">
        <v>2.3261759999999998</v>
      </c>
      <c r="AJ63" s="59">
        <v>1.761047</v>
      </c>
      <c r="AK63" s="60">
        <v>1.155195</v>
      </c>
      <c r="AL63" s="59" t="s">
        <v>179</v>
      </c>
      <c r="AM63" s="60">
        <v>0.97016500000000006</v>
      </c>
      <c r="AN63" s="59">
        <v>0.90367200000000003</v>
      </c>
      <c r="AO63" s="60" t="s">
        <v>179</v>
      </c>
      <c r="AP63" s="59" t="s">
        <v>179</v>
      </c>
      <c r="AQ63" s="60">
        <v>1.037677</v>
      </c>
      <c r="AR63" s="59">
        <v>0.89850200000000002</v>
      </c>
      <c r="AS63" s="60">
        <v>1.187819</v>
      </c>
      <c r="AT63" s="59" t="s">
        <v>179</v>
      </c>
      <c r="AU63" s="60">
        <v>1.0738399999999999</v>
      </c>
      <c r="AV63" s="59" t="s">
        <v>179</v>
      </c>
      <c r="AW63" s="60" t="s">
        <v>179</v>
      </c>
      <c r="AX63" s="59" t="s">
        <v>179</v>
      </c>
      <c r="AY63" s="60" t="s">
        <v>179</v>
      </c>
      <c r="AZ63" s="59" t="s">
        <v>179</v>
      </c>
      <c r="BA63" s="60" t="s">
        <v>179</v>
      </c>
      <c r="BB63" s="59" t="s">
        <v>179</v>
      </c>
      <c r="BC63" s="60" t="s">
        <v>179</v>
      </c>
      <c r="BD63" s="59" t="s">
        <v>179</v>
      </c>
      <c r="BE63" s="60">
        <v>0.640571</v>
      </c>
    </row>
    <row r="64" spans="1:57" x14ac:dyDescent="0.35">
      <c r="A64" s="240"/>
      <c r="B64" s="240"/>
      <c r="C64" s="58" t="s">
        <v>240</v>
      </c>
      <c r="D64" s="59">
        <v>0.80985700000000005</v>
      </c>
      <c r="E64" s="60">
        <v>0.83915799999999996</v>
      </c>
      <c r="F64" s="59">
        <v>1.116325</v>
      </c>
      <c r="G64" s="60">
        <v>1.316875</v>
      </c>
      <c r="H64" s="59" t="s">
        <v>179</v>
      </c>
      <c r="I64" s="60" t="s">
        <v>179</v>
      </c>
      <c r="J64" s="59" t="s">
        <v>179</v>
      </c>
      <c r="K64" s="60">
        <v>0.42381099999999999</v>
      </c>
      <c r="L64" s="59" t="s">
        <v>179</v>
      </c>
      <c r="M64" s="60">
        <v>1.9524509999999999</v>
      </c>
      <c r="N64" s="59">
        <v>1.4397850000000001</v>
      </c>
      <c r="O64" s="60">
        <v>2.3952100000000001</v>
      </c>
      <c r="P64" s="59">
        <v>1.289493</v>
      </c>
      <c r="Q64" s="60" t="s">
        <v>179</v>
      </c>
      <c r="R64" s="59">
        <v>2.4145500000000002</v>
      </c>
      <c r="S64" s="60">
        <v>0.96229399999999998</v>
      </c>
      <c r="T64" s="59" t="s">
        <v>179</v>
      </c>
      <c r="U64" s="60">
        <v>0.60036999999999996</v>
      </c>
      <c r="V64" s="59">
        <v>1.221843</v>
      </c>
      <c r="W64" s="60">
        <v>2.9274499999999999</v>
      </c>
      <c r="X64" s="59" t="s">
        <v>179</v>
      </c>
      <c r="Y64" s="60" t="s">
        <v>179</v>
      </c>
      <c r="Z64" s="59">
        <v>0.42316500000000001</v>
      </c>
      <c r="AA64" s="60">
        <v>1.4024939999999999</v>
      </c>
      <c r="AB64" s="59">
        <v>3.1475620000000002</v>
      </c>
      <c r="AC64" s="60" t="s">
        <v>179</v>
      </c>
      <c r="AD64" s="59">
        <v>0.669292</v>
      </c>
      <c r="AE64" s="60" t="s">
        <v>179</v>
      </c>
      <c r="AF64" s="59">
        <v>1.5393380000000001</v>
      </c>
      <c r="AG64" s="60" t="s">
        <v>179</v>
      </c>
      <c r="AH64" s="59" t="s">
        <v>179</v>
      </c>
      <c r="AI64" s="60">
        <v>2.4490129999999999</v>
      </c>
      <c r="AJ64" s="59">
        <v>2.4472100000000001</v>
      </c>
      <c r="AK64" s="60">
        <v>1.370741</v>
      </c>
      <c r="AL64" s="59" t="s">
        <v>179</v>
      </c>
      <c r="AM64" s="60">
        <v>0.59724200000000005</v>
      </c>
      <c r="AN64" s="59">
        <v>1.2285079999999999</v>
      </c>
      <c r="AO64" s="60" t="s">
        <v>179</v>
      </c>
      <c r="AP64" s="59" t="s">
        <v>179</v>
      </c>
      <c r="AQ64" s="60">
        <v>1.297202</v>
      </c>
      <c r="AR64" s="59">
        <v>1.2462690000000001</v>
      </c>
      <c r="AS64" s="60">
        <v>1.547647</v>
      </c>
      <c r="AT64" s="59" t="s">
        <v>179</v>
      </c>
      <c r="AU64" s="60">
        <v>1.3818760000000001</v>
      </c>
      <c r="AV64" s="59" t="s">
        <v>179</v>
      </c>
      <c r="AW64" s="60" t="s">
        <v>179</v>
      </c>
      <c r="AX64" s="59" t="s">
        <v>179</v>
      </c>
      <c r="AY64" s="60" t="s">
        <v>179</v>
      </c>
      <c r="AZ64" s="59" t="s">
        <v>179</v>
      </c>
      <c r="BA64" s="60" t="s">
        <v>179</v>
      </c>
      <c r="BB64" s="59" t="s">
        <v>179</v>
      </c>
      <c r="BC64" s="60" t="s">
        <v>179</v>
      </c>
      <c r="BD64" s="59" t="s">
        <v>179</v>
      </c>
      <c r="BE64" s="60">
        <v>1.9520280000000001</v>
      </c>
    </row>
    <row r="65" spans="1:57" x14ac:dyDescent="0.35">
      <c r="A65" s="240"/>
      <c r="B65" s="240"/>
      <c r="C65" s="58" t="s">
        <v>241</v>
      </c>
      <c r="D65" s="59">
        <v>1.7953889999999999</v>
      </c>
      <c r="E65" s="60">
        <v>9.0982999999999994E-2</v>
      </c>
      <c r="F65" s="59">
        <v>0.896895</v>
      </c>
      <c r="G65" s="60">
        <v>2.037445</v>
      </c>
      <c r="H65" s="59" t="s">
        <v>179</v>
      </c>
      <c r="I65" s="60" t="s">
        <v>179</v>
      </c>
      <c r="J65" s="59" t="s">
        <v>179</v>
      </c>
      <c r="K65" s="60">
        <v>-0.26218599999999997</v>
      </c>
      <c r="L65" s="59" t="s">
        <v>179</v>
      </c>
      <c r="M65" s="60">
        <v>1.778152</v>
      </c>
      <c r="N65" s="59">
        <v>1.251797</v>
      </c>
      <c r="O65" s="60">
        <v>-0.21617400000000001</v>
      </c>
      <c r="P65" s="59">
        <v>3.16425</v>
      </c>
      <c r="Q65" s="60" t="s">
        <v>179</v>
      </c>
      <c r="R65" s="59">
        <v>2.5735070000000002</v>
      </c>
      <c r="S65" s="60">
        <v>1.3181750000000001</v>
      </c>
      <c r="T65" s="59" t="s">
        <v>179</v>
      </c>
      <c r="U65" s="60">
        <v>1.501587</v>
      </c>
      <c r="V65" s="59">
        <v>2.0896249999999998</v>
      </c>
      <c r="W65" s="60">
        <v>2.8800180000000002</v>
      </c>
      <c r="X65" s="59" t="s">
        <v>179</v>
      </c>
      <c r="Y65" s="60" t="s">
        <v>179</v>
      </c>
      <c r="Z65" s="59">
        <v>0.69832799999999995</v>
      </c>
      <c r="AA65" s="60">
        <v>1.79142</v>
      </c>
      <c r="AB65" s="59">
        <v>-0.34193699999999999</v>
      </c>
      <c r="AC65" s="60" t="s">
        <v>179</v>
      </c>
      <c r="AD65" s="59">
        <v>0.83712900000000001</v>
      </c>
      <c r="AE65" s="60" t="s">
        <v>179</v>
      </c>
      <c r="AF65" s="59">
        <v>1.456391</v>
      </c>
      <c r="AG65" s="60" t="s">
        <v>179</v>
      </c>
      <c r="AH65" s="59" t="s">
        <v>179</v>
      </c>
      <c r="AI65" s="60">
        <v>0.268262</v>
      </c>
      <c r="AJ65" s="59">
        <v>0.82405200000000001</v>
      </c>
      <c r="AK65" s="60">
        <v>0.64523900000000001</v>
      </c>
      <c r="AL65" s="59" t="s">
        <v>179</v>
      </c>
      <c r="AM65" s="60">
        <v>-0.35345900000000002</v>
      </c>
      <c r="AN65" s="59">
        <v>0.32886100000000001</v>
      </c>
      <c r="AO65" s="60" t="s">
        <v>179</v>
      </c>
      <c r="AP65" s="59" t="s">
        <v>179</v>
      </c>
      <c r="AQ65" s="60">
        <v>0.59009400000000001</v>
      </c>
      <c r="AR65" s="59">
        <v>0.55045200000000005</v>
      </c>
      <c r="AS65" s="60">
        <v>0.55085399999999995</v>
      </c>
      <c r="AT65" s="59" t="s">
        <v>179</v>
      </c>
      <c r="AU65" s="60">
        <v>0.70348200000000005</v>
      </c>
      <c r="AV65" s="59" t="s">
        <v>179</v>
      </c>
      <c r="AW65" s="60" t="s">
        <v>179</v>
      </c>
      <c r="AX65" s="59" t="s">
        <v>179</v>
      </c>
      <c r="AY65" s="60" t="s">
        <v>179</v>
      </c>
      <c r="AZ65" s="59" t="s">
        <v>179</v>
      </c>
      <c r="BA65" s="60" t="s">
        <v>179</v>
      </c>
      <c r="BB65" s="59" t="s">
        <v>179</v>
      </c>
      <c r="BC65" s="60" t="s">
        <v>179</v>
      </c>
      <c r="BD65" s="59" t="s">
        <v>179</v>
      </c>
      <c r="BE65" s="60">
        <v>1.280861</v>
      </c>
    </row>
    <row r="66" spans="1:57" x14ac:dyDescent="0.35">
      <c r="A66" s="240"/>
      <c r="B66" s="240"/>
      <c r="C66" s="58" t="s">
        <v>242</v>
      </c>
      <c r="D66" s="59">
        <v>2.308567</v>
      </c>
      <c r="E66" s="60">
        <v>0.36761100000000002</v>
      </c>
      <c r="F66" s="59">
        <v>0.88189600000000001</v>
      </c>
      <c r="G66" s="60">
        <v>0.60711000000000004</v>
      </c>
      <c r="H66" s="59" t="s">
        <v>179</v>
      </c>
      <c r="I66" s="60" t="s">
        <v>179</v>
      </c>
      <c r="J66" s="59" t="s">
        <v>179</v>
      </c>
      <c r="K66" s="60">
        <v>-0.948882</v>
      </c>
      <c r="L66" s="59" t="s">
        <v>179</v>
      </c>
      <c r="M66" s="60">
        <v>-0.93411500000000003</v>
      </c>
      <c r="N66" s="59">
        <v>-1.665799</v>
      </c>
      <c r="O66" s="60">
        <v>-3.4980259999999999</v>
      </c>
      <c r="P66" s="59">
        <v>3.0492620000000001</v>
      </c>
      <c r="Q66" s="60" t="s">
        <v>179</v>
      </c>
      <c r="R66" s="59">
        <v>2.4850889999999999</v>
      </c>
      <c r="S66" s="60">
        <v>1.2895559999999999</v>
      </c>
      <c r="T66" s="59" t="s">
        <v>179</v>
      </c>
      <c r="U66" s="60">
        <v>0.66382799999999997</v>
      </c>
      <c r="V66" s="59">
        <v>1.3667</v>
      </c>
      <c r="W66" s="60">
        <v>5.859394</v>
      </c>
      <c r="X66" s="59" t="s">
        <v>179</v>
      </c>
      <c r="Y66" s="60" t="s">
        <v>179</v>
      </c>
      <c r="Z66" s="59">
        <v>0.69645599999999996</v>
      </c>
      <c r="AA66" s="60">
        <v>1.750783</v>
      </c>
      <c r="AB66" s="59">
        <v>-6.2728580000000003</v>
      </c>
      <c r="AC66" s="60" t="s">
        <v>179</v>
      </c>
      <c r="AD66" s="59">
        <v>1.001036</v>
      </c>
      <c r="AE66" s="60" t="s">
        <v>179</v>
      </c>
      <c r="AF66" s="59">
        <v>1.3766940000000001</v>
      </c>
      <c r="AG66" s="60" t="s">
        <v>179</v>
      </c>
      <c r="AH66" s="59" t="s">
        <v>179</v>
      </c>
      <c r="AI66" s="60">
        <v>5.7529529999999998</v>
      </c>
      <c r="AJ66" s="59">
        <v>-1.0274030000000001</v>
      </c>
      <c r="AK66" s="60">
        <v>-0.90559900000000004</v>
      </c>
      <c r="AL66" s="59" t="s">
        <v>179</v>
      </c>
      <c r="AM66" s="60">
        <v>0.45814100000000002</v>
      </c>
      <c r="AN66" s="59">
        <v>1.0916049999999999</v>
      </c>
      <c r="AO66" s="60" t="s">
        <v>179</v>
      </c>
      <c r="AP66" s="59" t="s">
        <v>179</v>
      </c>
      <c r="AQ66" s="60">
        <v>0.15742100000000001</v>
      </c>
      <c r="AR66" s="59">
        <v>1.097796</v>
      </c>
      <c r="AS66" s="60">
        <v>-0.63953300000000002</v>
      </c>
      <c r="AT66" s="59" t="s">
        <v>179</v>
      </c>
      <c r="AU66" s="60">
        <v>0.365234</v>
      </c>
      <c r="AV66" s="59" t="s">
        <v>179</v>
      </c>
      <c r="AW66" s="60" t="s">
        <v>179</v>
      </c>
      <c r="AX66" s="59" t="s">
        <v>179</v>
      </c>
      <c r="AY66" s="60" t="s">
        <v>179</v>
      </c>
      <c r="AZ66" s="59" t="s">
        <v>179</v>
      </c>
      <c r="BA66" s="60" t="s">
        <v>179</v>
      </c>
      <c r="BB66" s="59" t="s">
        <v>179</v>
      </c>
      <c r="BC66" s="60" t="s">
        <v>179</v>
      </c>
      <c r="BD66" s="59" t="s">
        <v>179</v>
      </c>
      <c r="BE66" s="60">
        <v>1.322738</v>
      </c>
    </row>
    <row r="67" spans="1:57" x14ac:dyDescent="0.35">
      <c r="A67" s="240"/>
      <c r="B67" s="240"/>
      <c r="C67" s="58" t="s">
        <v>243</v>
      </c>
      <c r="D67" s="59">
        <v>-1.3025519999999999</v>
      </c>
      <c r="E67" s="60">
        <v>2.9152809999999998</v>
      </c>
      <c r="F67" s="59">
        <v>0.86673100000000003</v>
      </c>
      <c r="G67" s="60">
        <v>1.462353</v>
      </c>
      <c r="H67" s="59" t="s">
        <v>179</v>
      </c>
      <c r="I67" s="60" t="s">
        <v>179</v>
      </c>
      <c r="J67" s="59" t="s">
        <v>179</v>
      </c>
      <c r="K67" s="60">
        <v>0.138766</v>
      </c>
      <c r="L67" s="59" t="s">
        <v>179</v>
      </c>
      <c r="M67" s="60">
        <v>1.9824569999999999</v>
      </c>
      <c r="N67" s="59">
        <v>4.4654749999999996</v>
      </c>
      <c r="O67" s="60">
        <v>4.4844119999999998</v>
      </c>
      <c r="P67" s="59">
        <v>2.9283589999999999</v>
      </c>
      <c r="Q67" s="60" t="s">
        <v>179</v>
      </c>
      <c r="R67" s="59">
        <v>2.4082370000000002</v>
      </c>
      <c r="S67" s="60">
        <v>1.2636080000000001</v>
      </c>
      <c r="T67" s="59" t="s">
        <v>179</v>
      </c>
      <c r="U67" s="60">
        <v>2.7413989999999999</v>
      </c>
      <c r="V67" s="59">
        <v>2.9434480000000001</v>
      </c>
      <c r="W67" s="60">
        <v>-2.3585600000000002</v>
      </c>
      <c r="X67" s="59" t="s">
        <v>179</v>
      </c>
      <c r="Y67" s="60" t="s">
        <v>179</v>
      </c>
      <c r="Z67" s="59">
        <v>0.67752900000000005</v>
      </c>
      <c r="AA67" s="60">
        <v>1.7015089999999999</v>
      </c>
      <c r="AB67" s="59">
        <v>8.9403640000000006</v>
      </c>
      <c r="AC67" s="60" t="s">
        <v>179</v>
      </c>
      <c r="AD67" s="59">
        <v>1.05742</v>
      </c>
      <c r="AE67" s="60" t="s">
        <v>179</v>
      </c>
      <c r="AF67" s="59">
        <v>1.4119440000000001</v>
      </c>
      <c r="AG67" s="60" t="s">
        <v>179</v>
      </c>
      <c r="AH67" s="59" t="s">
        <v>179</v>
      </c>
      <c r="AI67" s="60">
        <v>8.2890000000000005E-2</v>
      </c>
      <c r="AJ67" s="59">
        <v>3.8238150000000002</v>
      </c>
      <c r="AK67" s="60">
        <v>3.8353809999999999</v>
      </c>
      <c r="AL67" s="59" t="s">
        <v>179</v>
      </c>
      <c r="AM67" s="60">
        <v>4.3364779999999996</v>
      </c>
      <c r="AN67" s="59">
        <v>1.1221239999999999</v>
      </c>
      <c r="AO67" s="60" t="s">
        <v>179</v>
      </c>
      <c r="AP67" s="59" t="s">
        <v>179</v>
      </c>
      <c r="AQ67" s="60">
        <v>2.4512969999999998</v>
      </c>
      <c r="AR67" s="59">
        <v>1.1857219999999999</v>
      </c>
      <c r="AS67" s="60">
        <v>3.6141570000000001</v>
      </c>
      <c r="AT67" s="59" t="s">
        <v>179</v>
      </c>
      <c r="AU67" s="60">
        <v>2.369837</v>
      </c>
      <c r="AV67" s="59" t="s">
        <v>179</v>
      </c>
      <c r="AW67" s="60" t="s">
        <v>179</v>
      </c>
      <c r="AX67" s="59" t="s">
        <v>179</v>
      </c>
      <c r="AY67" s="60" t="s">
        <v>179</v>
      </c>
      <c r="AZ67" s="59" t="s">
        <v>179</v>
      </c>
      <c r="BA67" s="60" t="s">
        <v>179</v>
      </c>
      <c r="BB67" s="59" t="s">
        <v>179</v>
      </c>
      <c r="BC67" s="60" t="s">
        <v>179</v>
      </c>
      <c r="BD67" s="59" t="s">
        <v>179</v>
      </c>
      <c r="BE67" s="60">
        <v>2.6442269999999999</v>
      </c>
    </row>
    <row r="68" spans="1:57" x14ac:dyDescent="0.35">
      <c r="A68" s="240"/>
      <c r="B68" s="240"/>
      <c r="C68" s="58" t="s">
        <v>244</v>
      </c>
      <c r="D68" s="59">
        <v>4.1038550000000003</v>
      </c>
      <c r="E68" s="60">
        <v>1.087485</v>
      </c>
      <c r="F68" s="59">
        <v>1.4497469999999999</v>
      </c>
      <c r="G68" s="60">
        <v>0.77788400000000002</v>
      </c>
      <c r="H68" s="59" t="s">
        <v>179</v>
      </c>
      <c r="I68" s="60" t="s">
        <v>179</v>
      </c>
      <c r="J68" s="59" t="s">
        <v>179</v>
      </c>
      <c r="K68" s="60">
        <v>1.233792</v>
      </c>
      <c r="L68" s="59" t="s">
        <v>179</v>
      </c>
      <c r="M68" s="60">
        <v>1.0447610000000001</v>
      </c>
      <c r="N68" s="59">
        <v>3.2988019999999998</v>
      </c>
      <c r="O68" s="60">
        <v>3.4692479999999999</v>
      </c>
      <c r="P68" s="59">
        <v>2.3670849999999999</v>
      </c>
      <c r="Q68" s="60" t="s">
        <v>179</v>
      </c>
      <c r="R68" s="59">
        <v>2.5214780000000001</v>
      </c>
      <c r="S68" s="60">
        <v>1.121534</v>
      </c>
      <c r="T68" s="59" t="s">
        <v>179</v>
      </c>
      <c r="U68" s="60">
        <v>1.641305</v>
      </c>
      <c r="V68" s="59">
        <v>2.9323899999999998</v>
      </c>
      <c r="W68" s="60">
        <v>3.2950689999999998</v>
      </c>
      <c r="X68" s="59" t="s">
        <v>179</v>
      </c>
      <c r="Y68" s="60" t="s">
        <v>179</v>
      </c>
      <c r="Z68" s="59">
        <v>1.5698270000000001</v>
      </c>
      <c r="AA68" s="60">
        <v>2.3537279999999998</v>
      </c>
      <c r="AB68" s="59">
        <v>2.4025340000000002</v>
      </c>
      <c r="AC68" s="60" t="s">
        <v>179</v>
      </c>
      <c r="AD68" s="59">
        <v>1.111931</v>
      </c>
      <c r="AE68" s="60" t="s">
        <v>179</v>
      </c>
      <c r="AF68" s="59">
        <v>1.445411</v>
      </c>
      <c r="AG68" s="60" t="s">
        <v>179</v>
      </c>
      <c r="AH68" s="59" t="s">
        <v>179</v>
      </c>
      <c r="AI68" s="60">
        <v>2.1577350000000002</v>
      </c>
      <c r="AJ68" s="59">
        <v>1.8545469999999999</v>
      </c>
      <c r="AK68" s="60">
        <v>2.2287379999999999</v>
      </c>
      <c r="AL68" s="59" t="s">
        <v>179</v>
      </c>
      <c r="AM68" s="60">
        <v>0.47323199999999999</v>
      </c>
      <c r="AN68" s="59">
        <v>2.198426</v>
      </c>
      <c r="AO68" s="60" t="s">
        <v>179</v>
      </c>
      <c r="AP68" s="59" t="s">
        <v>179</v>
      </c>
      <c r="AQ68" s="60">
        <v>2.2578529999999999</v>
      </c>
      <c r="AR68" s="59">
        <v>2.101318</v>
      </c>
      <c r="AS68" s="60">
        <v>2.161235</v>
      </c>
      <c r="AT68" s="59" t="s">
        <v>179</v>
      </c>
      <c r="AU68" s="60">
        <v>2.2312630000000002</v>
      </c>
      <c r="AV68" s="59" t="s">
        <v>179</v>
      </c>
      <c r="AW68" s="60" t="s">
        <v>179</v>
      </c>
      <c r="AX68" s="59" t="s">
        <v>179</v>
      </c>
      <c r="AY68" s="60" t="s">
        <v>179</v>
      </c>
      <c r="AZ68" s="59" t="s">
        <v>179</v>
      </c>
      <c r="BA68" s="60" t="s">
        <v>179</v>
      </c>
      <c r="BB68" s="59" t="s">
        <v>179</v>
      </c>
      <c r="BC68" s="60" t="s">
        <v>179</v>
      </c>
      <c r="BD68" s="59" t="s">
        <v>179</v>
      </c>
      <c r="BE68" s="60">
        <v>2.639167</v>
      </c>
    </row>
    <row r="69" spans="1:57" x14ac:dyDescent="0.35">
      <c r="A69" s="240"/>
      <c r="B69" s="240"/>
      <c r="C69" s="58" t="s">
        <v>245</v>
      </c>
      <c r="D69" s="59">
        <v>2.1426949999999998</v>
      </c>
      <c r="E69" s="60">
        <v>2.0387430000000002</v>
      </c>
      <c r="F69" s="59">
        <v>2.0445000000000002</v>
      </c>
      <c r="G69" s="60">
        <v>3.1387269999999998</v>
      </c>
      <c r="H69" s="59" t="s">
        <v>179</v>
      </c>
      <c r="I69" s="60" t="s">
        <v>179</v>
      </c>
      <c r="J69" s="59" t="s">
        <v>179</v>
      </c>
      <c r="K69" s="60">
        <v>2.3006000000000002</v>
      </c>
      <c r="L69" s="59" t="s">
        <v>179</v>
      </c>
      <c r="M69" s="60">
        <v>2.1161560000000001</v>
      </c>
      <c r="N69" s="59">
        <v>0.31128699999999998</v>
      </c>
      <c r="O69" s="60">
        <v>0.48396600000000001</v>
      </c>
      <c r="P69" s="59">
        <v>1.7969580000000001</v>
      </c>
      <c r="Q69" s="60" t="s">
        <v>179</v>
      </c>
      <c r="R69" s="59">
        <v>2.621829</v>
      </c>
      <c r="S69" s="60">
        <v>0.96814800000000001</v>
      </c>
      <c r="T69" s="59" t="s">
        <v>179</v>
      </c>
      <c r="U69" s="60">
        <v>1.0284120000000001</v>
      </c>
      <c r="V69" s="59">
        <v>3.4455239999999998</v>
      </c>
      <c r="W69" s="60">
        <v>9.3358999999999998E-2</v>
      </c>
      <c r="X69" s="59" t="s">
        <v>179</v>
      </c>
      <c r="Y69" s="60" t="s">
        <v>179</v>
      </c>
      <c r="Z69" s="59">
        <v>2.483196</v>
      </c>
      <c r="AA69" s="60">
        <v>2.998675</v>
      </c>
      <c r="AB69" s="59">
        <v>2.1057489999999999</v>
      </c>
      <c r="AC69" s="60" t="s">
        <v>179</v>
      </c>
      <c r="AD69" s="59">
        <v>1.1646300000000001</v>
      </c>
      <c r="AE69" s="60" t="s">
        <v>179</v>
      </c>
      <c r="AF69" s="59">
        <v>1.4772529999999999</v>
      </c>
      <c r="AG69" s="60" t="s">
        <v>179</v>
      </c>
      <c r="AH69" s="59" t="s">
        <v>179</v>
      </c>
      <c r="AI69" s="60">
        <v>1.8616360000000001</v>
      </c>
      <c r="AJ69" s="59">
        <v>0.87716300000000003</v>
      </c>
      <c r="AK69" s="60">
        <v>1.0864780000000001</v>
      </c>
      <c r="AL69" s="59" t="s">
        <v>179</v>
      </c>
      <c r="AM69" s="60">
        <v>2.2844690000000001</v>
      </c>
      <c r="AN69" s="59">
        <v>0.65559599999999996</v>
      </c>
      <c r="AO69" s="60" t="s">
        <v>179</v>
      </c>
      <c r="AP69" s="59" t="s">
        <v>179</v>
      </c>
      <c r="AQ69" s="60">
        <v>1.1668890000000001</v>
      </c>
      <c r="AR69" s="59">
        <v>0.99546900000000005</v>
      </c>
      <c r="AS69" s="60">
        <v>1.1992499999999999</v>
      </c>
      <c r="AT69" s="59" t="s">
        <v>179</v>
      </c>
      <c r="AU69" s="60">
        <v>1.2989630000000001</v>
      </c>
      <c r="AV69" s="59" t="s">
        <v>179</v>
      </c>
      <c r="AW69" s="60" t="s">
        <v>179</v>
      </c>
      <c r="AX69" s="59" t="s">
        <v>179</v>
      </c>
      <c r="AY69" s="60" t="s">
        <v>179</v>
      </c>
      <c r="AZ69" s="59" t="s">
        <v>179</v>
      </c>
      <c r="BA69" s="60" t="s">
        <v>179</v>
      </c>
      <c r="BB69" s="59" t="s">
        <v>179</v>
      </c>
      <c r="BC69" s="60" t="s">
        <v>179</v>
      </c>
      <c r="BD69" s="59" t="s">
        <v>179</v>
      </c>
      <c r="BE69" s="60">
        <v>1.7621709999999999</v>
      </c>
    </row>
    <row r="70" spans="1:57" x14ac:dyDescent="0.35">
      <c r="A70" s="240"/>
      <c r="B70" s="240"/>
      <c r="C70" s="58" t="s">
        <v>246</v>
      </c>
      <c r="D70" s="59">
        <v>-0.159554</v>
      </c>
      <c r="E70" s="60">
        <v>1.0060579999999999</v>
      </c>
      <c r="F70" s="59">
        <v>1.987689</v>
      </c>
      <c r="G70" s="60">
        <v>2.4806520000000001</v>
      </c>
      <c r="H70" s="59" t="s">
        <v>179</v>
      </c>
      <c r="I70" s="60" t="s">
        <v>179</v>
      </c>
      <c r="J70" s="59" t="s">
        <v>179</v>
      </c>
      <c r="K70" s="60">
        <v>3.306403</v>
      </c>
      <c r="L70" s="59" t="s">
        <v>179</v>
      </c>
      <c r="M70" s="60">
        <v>1.2626090000000001</v>
      </c>
      <c r="N70" s="59">
        <v>1.8826039999999999</v>
      </c>
      <c r="O70" s="60">
        <v>1.375907</v>
      </c>
      <c r="P70" s="59">
        <v>1.7454289999999999</v>
      </c>
      <c r="Q70" s="60" t="s">
        <v>179</v>
      </c>
      <c r="R70" s="59">
        <v>2.5296439999999998</v>
      </c>
      <c r="S70" s="60">
        <v>0.94694400000000001</v>
      </c>
      <c r="T70" s="59" t="s">
        <v>179</v>
      </c>
      <c r="U70" s="60">
        <v>1.482283</v>
      </c>
      <c r="V70" s="59">
        <v>3.1894140000000002</v>
      </c>
      <c r="W70" s="60">
        <v>5.9705349999999999</v>
      </c>
      <c r="X70" s="59" t="s">
        <v>179</v>
      </c>
      <c r="Y70" s="60" t="s">
        <v>179</v>
      </c>
      <c r="Z70" s="59">
        <v>2.4038909999999998</v>
      </c>
      <c r="AA70" s="60">
        <v>2.887235</v>
      </c>
      <c r="AB70" s="59">
        <v>1.337372</v>
      </c>
      <c r="AC70" s="60" t="s">
        <v>179</v>
      </c>
      <c r="AD70" s="59">
        <v>1.21533</v>
      </c>
      <c r="AE70" s="60" t="s">
        <v>179</v>
      </c>
      <c r="AF70" s="59">
        <v>1.5074209999999999</v>
      </c>
      <c r="AG70" s="60" t="s">
        <v>179</v>
      </c>
      <c r="AH70" s="59" t="s">
        <v>179</v>
      </c>
      <c r="AI70" s="60">
        <v>0.56548500000000002</v>
      </c>
      <c r="AJ70" s="59">
        <v>2.4775619999999998</v>
      </c>
      <c r="AK70" s="60">
        <v>0.124763</v>
      </c>
      <c r="AL70" s="59" t="s">
        <v>179</v>
      </c>
      <c r="AM70" s="60">
        <v>0.58895900000000001</v>
      </c>
      <c r="AN70" s="59">
        <v>2.108279</v>
      </c>
      <c r="AO70" s="60" t="s">
        <v>179</v>
      </c>
      <c r="AP70" s="59" t="s">
        <v>179</v>
      </c>
      <c r="AQ70" s="60">
        <v>1.9199790000000001</v>
      </c>
      <c r="AR70" s="59">
        <v>2.1891910000000001</v>
      </c>
      <c r="AS70" s="60">
        <v>1.2859700000000001</v>
      </c>
      <c r="AT70" s="59" t="s">
        <v>179</v>
      </c>
      <c r="AU70" s="60">
        <v>1.8224860000000001</v>
      </c>
      <c r="AV70" s="59" t="s">
        <v>179</v>
      </c>
      <c r="AW70" s="60" t="s">
        <v>179</v>
      </c>
      <c r="AX70" s="59" t="s">
        <v>179</v>
      </c>
      <c r="AY70" s="60" t="s">
        <v>179</v>
      </c>
      <c r="AZ70" s="59" t="s">
        <v>179</v>
      </c>
      <c r="BA70" s="60" t="s">
        <v>179</v>
      </c>
      <c r="BB70" s="59" t="s">
        <v>179</v>
      </c>
      <c r="BC70" s="60" t="s">
        <v>179</v>
      </c>
      <c r="BD70" s="59" t="s">
        <v>179</v>
      </c>
      <c r="BE70" s="60">
        <v>1.873092</v>
      </c>
    </row>
    <row r="71" spans="1:57" x14ac:dyDescent="0.35">
      <c r="A71" s="240"/>
      <c r="B71" s="240"/>
      <c r="C71" s="58" t="s">
        <v>247</v>
      </c>
      <c r="D71" s="59">
        <v>2.4678740000000001</v>
      </c>
      <c r="E71" s="60">
        <v>1.447899</v>
      </c>
      <c r="F71" s="59">
        <v>1.9432860000000001</v>
      </c>
      <c r="G71" s="60">
        <v>0.36854700000000001</v>
      </c>
      <c r="H71" s="59" t="s">
        <v>179</v>
      </c>
      <c r="I71" s="60" t="s">
        <v>179</v>
      </c>
      <c r="J71" s="59" t="s">
        <v>179</v>
      </c>
      <c r="K71" s="60">
        <v>2.6094879999999998</v>
      </c>
      <c r="L71" s="59" t="s">
        <v>179</v>
      </c>
      <c r="M71" s="60">
        <v>0.86741100000000004</v>
      </c>
      <c r="N71" s="59">
        <v>0.95892100000000002</v>
      </c>
      <c r="O71" s="60">
        <v>1.2217750000000001</v>
      </c>
      <c r="P71" s="59">
        <v>1.715967</v>
      </c>
      <c r="Q71" s="60" t="s">
        <v>179</v>
      </c>
      <c r="R71" s="59">
        <v>2.464763</v>
      </c>
      <c r="S71" s="60">
        <v>0.93950800000000001</v>
      </c>
      <c r="T71" s="59" t="s">
        <v>179</v>
      </c>
      <c r="U71" s="60">
        <v>-1.0118769999999999</v>
      </c>
      <c r="V71" s="59">
        <v>2.4124949999999998</v>
      </c>
      <c r="W71" s="60">
        <v>-2.8748670000000001</v>
      </c>
      <c r="X71" s="59" t="s">
        <v>179</v>
      </c>
      <c r="Y71" s="60" t="s">
        <v>179</v>
      </c>
      <c r="Z71" s="59">
        <v>2.3406560000000001</v>
      </c>
      <c r="AA71" s="60">
        <v>2.7990819999999998</v>
      </c>
      <c r="AB71" s="59">
        <v>0.86434500000000003</v>
      </c>
      <c r="AC71" s="60" t="s">
        <v>179</v>
      </c>
      <c r="AD71" s="59">
        <v>1.2897700000000001</v>
      </c>
      <c r="AE71" s="60" t="s">
        <v>179</v>
      </c>
      <c r="AF71" s="59">
        <v>1.6927099999999999</v>
      </c>
      <c r="AG71" s="60" t="s">
        <v>179</v>
      </c>
      <c r="AH71" s="59" t="s">
        <v>179</v>
      </c>
      <c r="AI71" s="60">
        <v>1.6480140000000001</v>
      </c>
      <c r="AJ71" s="59">
        <v>0.54184399999999999</v>
      </c>
      <c r="AK71" s="60">
        <v>3.526249</v>
      </c>
      <c r="AL71" s="59" t="s">
        <v>179</v>
      </c>
      <c r="AM71" s="60">
        <v>1.7706489999999999</v>
      </c>
      <c r="AN71" s="59">
        <v>1.088705</v>
      </c>
      <c r="AO71" s="60" t="s">
        <v>179</v>
      </c>
      <c r="AP71" s="59" t="s">
        <v>179</v>
      </c>
      <c r="AQ71" s="60">
        <v>1.099874</v>
      </c>
      <c r="AR71" s="59">
        <v>1.1495230000000001</v>
      </c>
      <c r="AS71" s="60">
        <v>1.084336</v>
      </c>
      <c r="AT71" s="59" t="s">
        <v>179</v>
      </c>
      <c r="AU71" s="60">
        <v>1.2267749999999999</v>
      </c>
      <c r="AV71" s="59" t="s">
        <v>179</v>
      </c>
      <c r="AW71" s="60" t="s">
        <v>179</v>
      </c>
      <c r="AX71" s="59" t="s">
        <v>179</v>
      </c>
      <c r="AY71" s="60" t="s">
        <v>179</v>
      </c>
      <c r="AZ71" s="59" t="s">
        <v>179</v>
      </c>
      <c r="BA71" s="60" t="s">
        <v>179</v>
      </c>
      <c r="BB71" s="59" t="s">
        <v>179</v>
      </c>
      <c r="BC71" s="60" t="s">
        <v>179</v>
      </c>
      <c r="BD71" s="59" t="s">
        <v>179</v>
      </c>
      <c r="BE71" s="60">
        <v>1.8098669999999999</v>
      </c>
    </row>
    <row r="72" spans="1:57" x14ac:dyDescent="0.35">
      <c r="A72" s="240"/>
      <c r="B72" s="240"/>
      <c r="C72" s="58" t="s">
        <v>248</v>
      </c>
      <c r="D72" s="59">
        <v>0.62000599999999995</v>
      </c>
      <c r="E72" s="60">
        <v>0.900528</v>
      </c>
      <c r="F72" s="59">
        <v>1.344338</v>
      </c>
      <c r="G72" s="60">
        <v>1.042062</v>
      </c>
      <c r="H72" s="59" t="s">
        <v>179</v>
      </c>
      <c r="I72" s="60" t="s">
        <v>179</v>
      </c>
      <c r="J72" s="59" t="s">
        <v>179</v>
      </c>
      <c r="K72" s="60">
        <v>1.9670669999999999</v>
      </c>
      <c r="L72" s="59" t="s">
        <v>179</v>
      </c>
      <c r="M72" s="60">
        <v>1.6049469999999999</v>
      </c>
      <c r="N72" s="59">
        <v>1.2262550000000001</v>
      </c>
      <c r="O72" s="60">
        <v>1.039094</v>
      </c>
      <c r="P72" s="59">
        <v>2.1576179999999998</v>
      </c>
      <c r="Q72" s="60" t="s">
        <v>179</v>
      </c>
      <c r="R72" s="59">
        <v>1.990518</v>
      </c>
      <c r="S72" s="60">
        <v>0.720306</v>
      </c>
      <c r="T72" s="59" t="s">
        <v>179</v>
      </c>
      <c r="U72" s="60">
        <v>-0.168904</v>
      </c>
      <c r="V72" s="59">
        <v>1.5443610000000001</v>
      </c>
      <c r="W72" s="60">
        <v>6.805402</v>
      </c>
      <c r="X72" s="59" t="s">
        <v>179</v>
      </c>
      <c r="Y72" s="60" t="s">
        <v>179</v>
      </c>
      <c r="Z72" s="59">
        <v>1.266756</v>
      </c>
      <c r="AA72" s="60">
        <v>2.1016300000000001</v>
      </c>
      <c r="AB72" s="59">
        <v>1.8894470000000001</v>
      </c>
      <c r="AC72" s="60" t="s">
        <v>179</v>
      </c>
      <c r="AD72" s="59">
        <v>1.36121</v>
      </c>
      <c r="AE72" s="60" t="s">
        <v>179</v>
      </c>
      <c r="AF72" s="59">
        <v>1.868849</v>
      </c>
      <c r="AG72" s="60" t="s">
        <v>179</v>
      </c>
      <c r="AH72" s="59" t="s">
        <v>179</v>
      </c>
      <c r="AI72" s="60">
        <v>0.75129299999999999</v>
      </c>
      <c r="AJ72" s="59">
        <v>1.9957499999999999</v>
      </c>
      <c r="AK72" s="60">
        <v>-0.54606100000000002</v>
      </c>
      <c r="AL72" s="59" t="s">
        <v>179</v>
      </c>
      <c r="AM72" s="60">
        <v>0.39764100000000002</v>
      </c>
      <c r="AN72" s="59">
        <v>1.5623009999999999</v>
      </c>
      <c r="AO72" s="60" t="s">
        <v>179</v>
      </c>
      <c r="AP72" s="59" t="s">
        <v>179</v>
      </c>
      <c r="AQ72" s="60">
        <v>1.1959200000000001</v>
      </c>
      <c r="AR72" s="59">
        <v>1.5599590000000001</v>
      </c>
      <c r="AS72" s="60">
        <v>0.81692100000000001</v>
      </c>
      <c r="AT72" s="59" t="s">
        <v>179</v>
      </c>
      <c r="AU72" s="60">
        <v>1.223824</v>
      </c>
      <c r="AV72" s="59" t="s">
        <v>179</v>
      </c>
      <c r="AW72" s="60" t="s">
        <v>179</v>
      </c>
      <c r="AX72" s="59" t="s">
        <v>179</v>
      </c>
      <c r="AY72" s="60" t="s">
        <v>179</v>
      </c>
      <c r="AZ72" s="59" t="s">
        <v>179</v>
      </c>
      <c r="BA72" s="60" t="s">
        <v>179</v>
      </c>
      <c r="BB72" s="59" t="s">
        <v>179</v>
      </c>
      <c r="BC72" s="60" t="s">
        <v>179</v>
      </c>
      <c r="BD72" s="59" t="s">
        <v>179</v>
      </c>
      <c r="BE72" s="60">
        <v>0.93956899999999999</v>
      </c>
    </row>
    <row r="73" spans="1:57" x14ac:dyDescent="0.35">
      <c r="A73" s="240"/>
      <c r="B73" s="240"/>
      <c r="C73" s="58" t="s">
        <v>249</v>
      </c>
      <c r="D73" s="59">
        <v>2.8433489999999999</v>
      </c>
      <c r="E73" s="60">
        <v>2.8543319999999999</v>
      </c>
      <c r="F73" s="59">
        <v>0.74716199999999999</v>
      </c>
      <c r="G73" s="60">
        <v>0.53989200000000004</v>
      </c>
      <c r="H73" s="59" t="s">
        <v>179</v>
      </c>
      <c r="I73" s="60" t="s">
        <v>179</v>
      </c>
      <c r="J73" s="59" t="s">
        <v>179</v>
      </c>
      <c r="K73" s="60">
        <v>1.364174</v>
      </c>
      <c r="L73" s="59" t="s">
        <v>179</v>
      </c>
      <c r="M73" s="60">
        <v>-0.64068999999999998</v>
      </c>
      <c r="N73" s="59">
        <v>0.90373899999999996</v>
      </c>
      <c r="O73" s="60">
        <v>1.360336</v>
      </c>
      <c r="P73" s="59">
        <v>2.5926130000000001</v>
      </c>
      <c r="Q73" s="60" t="s">
        <v>179</v>
      </c>
      <c r="R73" s="59">
        <v>1.526308</v>
      </c>
      <c r="S73" s="60">
        <v>0.49676799999999999</v>
      </c>
      <c r="T73" s="59" t="s">
        <v>179</v>
      </c>
      <c r="U73" s="60">
        <v>-0.41848299999999999</v>
      </c>
      <c r="V73" s="59">
        <v>1.2506630000000001</v>
      </c>
      <c r="W73" s="60">
        <v>4.0195460000000001</v>
      </c>
      <c r="X73" s="59" t="s">
        <v>179</v>
      </c>
      <c r="Y73" s="60" t="s">
        <v>179</v>
      </c>
      <c r="Z73" s="59">
        <v>0.198349</v>
      </c>
      <c r="AA73" s="60">
        <v>1.4224570000000001</v>
      </c>
      <c r="AB73" s="59">
        <v>1.04979</v>
      </c>
      <c r="AC73" s="60" t="s">
        <v>179</v>
      </c>
      <c r="AD73" s="59">
        <v>1.4296139999999999</v>
      </c>
      <c r="AE73" s="60" t="s">
        <v>179</v>
      </c>
      <c r="AF73" s="59">
        <v>2.0350350000000001</v>
      </c>
      <c r="AG73" s="60" t="s">
        <v>179</v>
      </c>
      <c r="AH73" s="59" t="s">
        <v>179</v>
      </c>
      <c r="AI73" s="60">
        <v>2.1741600000000001</v>
      </c>
      <c r="AJ73" s="59">
        <v>1.0701499999999999</v>
      </c>
      <c r="AK73" s="60">
        <v>-0.61158199999999996</v>
      </c>
      <c r="AL73" s="59" t="s">
        <v>179</v>
      </c>
      <c r="AM73" s="60">
        <v>1.5059709999999999</v>
      </c>
      <c r="AN73" s="59">
        <v>0.30889299999999997</v>
      </c>
      <c r="AO73" s="60" t="s">
        <v>179</v>
      </c>
      <c r="AP73" s="59" t="s">
        <v>179</v>
      </c>
      <c r="AQ73" s="60">
        <v>0.66261999999999999</v>
      </c>
      <c r="AR73" s="59">
        <v>0.40343400000000001</v>
      </c>
      <c r="AS73" s="60">
        <v>1.0093700000000001</v>
      </c>
      <c r="AT73" s="59" t="s">
        <v>179</v>
      </c>
      <c r="AU73" s="60">
        <v>0.81337700000000002</v>
      </c>
      <c r="AV73" s="59" t="s">
        <v>179</v>
      </c>
      <c r="AW73" s="60" t="s">
        <v>179</v>
      </c>
      <c r="AX73" s="59" t="s">
        <v>179</v>
      </c>
      <c r="AY73" s="60" t="s">
        <v>179</v>
      </c>
      <c r="AZ73" s="59" t="s">
        <v>179</v>
      </c>
      <c r="BA73" s="60" t="s">
        <v>179</v>
      </c>
      <c r="BB73" s="59" t="s">
        <v>179</v>
      </c>
      <c r="BC73" s="60" t="s">
        <v>179</v>
      </c>
      <c r="BD73" s="59" t="s">
        <v>179</v>
      </c>
      <c r="BE73" s="60">
        <v>2.9242729999999999</v>
      </c>
    </row>
    <row r="74" spans="1:57" x14ac:dyDescent="0.35">
      <c r="A74" s="240"/>
      <c r="B74" s="240"/>
      <c r="C74" s="58" t="s">
        <v>250</v>
      </c>
      <c r="D74" s="59">
        <v>0.83880999999999994</v>
      </c>
      <c r="E74" s="60">
        <v>-1.0317160000000001</v>
      </c>
      <c r="F74" s="59">
        <v>0.73346500000000003</v>
      </c>
      <c r="G74" s="60">
        <v>3.1479149999999998</v>
      </c>
      <c r="H74" s="59" t="s">
        <v>179</v>
      </c>
      <c r="I74" s="60" t="s">
        <v>179</v>
      </c>
      <c r="J74" s="59" t="s">
        <v>179</v>
      </c>
      <c r="K74" s="60">
        <v>0.78847100000000003</v>
      </c>
      <c r="L74" s="59" t="s">
        <v>179</v>
      </c>
      <c r="M74" s="60">
        <v>3.2262520000000001</v>
      </c>
      <c r="N74" s="59">
        <v>0.221995</v>
      </c>
      <c r="O74" s="60">
        <v>1.6365639999999999</v>
      </c>
      <c r="P74" s="59">
        <v>2.5082620000000002</v>
      </c>
      <c r="Q74" s="60" t="s">
        <v>179</v>
      </c>
      <c r="R74" s="59">
        <v>1.496513</v>
      </c>
      <c r="S74" s="60">
        <v>0.487566</v>
      </c>
      <c r="T74" s="59" t="s">
        <v>179</v>
      </c>
      <c r="U74" s="60">
        <v>1.350147</v>
      </c>
      <c r="V74" s="59">
        <v>0.81316200000000005</v>
      </c>
      <c r="W74" s="60">
        <v>1.2785740000000001</v>
      </c>
      <c r="X74" s="59" t="s">
        <v>179</v>
      </c>
      <c r="Y74" s="60" t="s">
        <v>179</v>
      </c>
      <c r="Z74" s="59">
        <v>0.191471</v>
      </c>
      <c r="AA74" s="60">
        <v>1.3904939999999999</v>
      </c>
      <c r="AB74" s="59">
        <v>2.8875649999999999</v>
      </c>
      <c r="AC74" s="60" t="s">
        <v>179</v>
      </c>
      <c r="AD74" s="59">
        <v>1.494926</v>
      </c>
      <c r="AE74" s="60" t="s">
        <v>179</v>
      </c>
      <c r="AF74" s="59">
        <v>2.1910150000000002</v>
      </c>
      <c r="AG74" s="60" t="s">
        <v>179</v>
      </c>
      <c r="AH74" s="59" t="s">
        <v>179</v>
      </c>
      <c r="AI74" s="60">
        <v>2.1281629999999998</v>
      </c>
      <c r="AJ74" s="59">
        <v>1.9709190000000001</v>
      </c>
      <c r="AK74" s="60">
        <v>2.4858690000000001</v>
      </c>
      <c r="AL74" s="59" t="s">
        <v>179</v>
      </c>
      <c r="AM74" s="60">
        <v>-0.27287299999999998</v>
      </c>
      <c r="AN74" s="59">
        <v>2.4197649999999999</v>
      </c>
      <c r="AO74" s="60" t="s">
        <v>179</v>
      </c>
      <c r="AP74" s="59" t="s">
        <v>179</v>
      </c>
      <c r="AQ74" s="60">
        <v>1.664547</v>
      </c>
      <c r="AR74" s="59">
        <v>2.4028230000000002</v>
      </c>
      <c r="AS74" s="60">
        <v>1.0789979999999999</v>
      </c>
      <c r="AT74" s="59" t="s">
        <v>179</v>
      </c>
      <c r="AU74" s="60">
        <v>1.630144</v>
      </c>
      <c r="AV74" s="59" t="s">
        <v>179</v>
      </c>
      <c r="AW74" s="60" t="s">
        <v>179</v>
      </c>
      <c r="AX74" s="59" t="s">
        <v>179</v>
      </c>
      <c r="AY74" s="60" t="s">
        <v>179</v>
      </c>
      <c r="AZ74" s="59" t="s">
        <v>179</v>
      </c>
      <c r="BA74" s="60" t="s">
        <v>179</v>
      </c>
      <c r="BB74" s="59" t="s">
        <v>179</v>
      </c>
      <c r="BC74" s="60" t="s">
        <v>179</v>
      </c>
      <c r="BD74" s="59" t="s">
        <v>179</v>
      </c>
      <c r="BE74" s="60">
        <v>1.9239980000000001</v>
      </c>
    </row>
    <row r="75" spans="1:57" x14ac:dyDescent="0.35">
      <c r="A75" s="240"/>
      <c r="B75" s="240"/>
      <c r="C75" s="58" t="s">
        <v>251</v>
      </c>
      <c r="D75" s="59">
        <v>1.568109</v>
      </c>
      <c r="E75" s="60">
        <v>0.52812899999999996</v>
      </c>
      <c r="F75" s="59">
        <v>0.72415099999999999</v>
      </c>
      <c r="G75" s="60">
        <v>0.95802100000000001</v>
      </c>
      <c r="H75" s="59" t="s">
        <v>179</v>
      </c>
      <c r="I75" s="60" t="s">
        <v>179</v>
      </c>
      <c r="J75" s="59" t="s">
        <v>179</v>
      </c>
      <c r="K75" s="60">
        <v>0.73890599999999995</v>
      </c>
      <c r="L75" s="59" t="s">
        <v>179</v>
      </c>
      <c r="M75" s="60">
        <v>1.3828990000000001</v>
      </c>
      <c r="N75" s="59">
        <v>2.4880949999999999</v>
      </c>
      <c r="O75" s="60">
        <v>1.578071</v>
      </c>
      <c r="P75" s="59">
        <v>2.425116</v>
      </c>
      <c r="Q75" s="60" t="s">
        <v>179</v>
      </c>
      <c r="R75" s="59">
        <v>1.456998</v>
      </c>
      <c r="S75" s="60">
        <v>0.48386899999999999</v>
      </c>
      <c r="T75" s="59" t="s">
        <v>179</v>
      </c>
      <c r="U75" s="60">
        <v>1.9938290000000001</v>
      </c>
      <c r="V75" s="59">
        <v>1.248848</v>
      </c>
      <c r="W75" s="60">
        <v>0.22609299999999999</v>
      </c>
      <c r="X75" s="59" t="s">
        <v>179</v>
      </c>
      <c r="Y75" s="60" t="s">
        <v>179</v>
      </c>
      <c r="Z75" s="59">
        <v>0.19423599999999999</v>
      </c>
      <c r="AA75" s="60">
        <v>1.3606469999999999</v>
      </c>
      <c r="AB75" s="59">
        <v>-1.022038</v>
      </c>
      <c r="AC75" s="60" t="s">
        <v>179</v>
      </c>
      <c r="AD75" s="59">
        <v>1.2412289999999999</v>
      </c>
      <c r="AE75" s="60" t="s">
        <v>179</v>
      </c>
      <c r="AF75" s="59">
        <v>1.7505409999999999</v>
      </c>
      <c r="AG75" s="60" t="s">
        <v>179</v>
      </c>
      <c r="AH75" s="59" t="s">
        <v>179</v>
      </c>
      <c r="AI75" s="60">
        <v>0.42662</v>
      </c>
      <c r="AJ75" s="59">
        <v>-0.73941299999999999</v>
      </c>
      <c r="AK75" s="60">
        <v>0.120877</v>
      </c>
      <c r="AL75" s="59" t="s">
        <v>179</v>
      </c>
      <c r="AM75" s="60">
        <v>8.0590999999999996E-2</v>
      </c>
      <c r="AN75" s="59">
        <v>1.263271</v>
      </c>
      <c r="AO75" s="60" t="s">
        <v>179</v>
      </c>
      <c r="AP75" s="59" t="s">
        <v>179</v>
      </c>
      <c r="AQ75" s="60">
        <v>1.3305549999999999</v>
      </c>
      <c r="AR75" s="59">
        <v>1.2467790000000001</v>
      </c>
      <c r="AS75" s="60">
        <v>1.0965100000000001</v>
      </c>
      <c r="AT75" s="59" t="s">
        <v>179</v>
      </c>
      <c r="AU75" s="60">
        <v>1.181999</v>
      </c>
      <c r="AV75" s="59" t="s">
        <v>179</v>
      </c>
      <c r="AW75" s="60" t="s">
        <v>179</v>
      </c>
      <c r="AX75" s="59" t="s">
        <v>179</v>
      </c>
      <c r="AY75" s="60" t="s">
        <v>179</v>
      </c>
      <c r="AZ75" s="59" t="s">
        <v>179</v>
      </c>
      <c r="BA75" s="60" t="s">
        <v>179</v>
      </c>
      <c r="BB75" s="59" t="s">
        <v>179</v>
      </c>
      <c r="BC75" s="60" t="s">
        <v>179</v>
      </c>
      <c r="BD75" s="59" t="s">
        <v>179</v>
      </c>
      <c r="BE75" s="60">
        <v>0.96739399999999998</v>
      </c>
    </row>
    <row r="76" spans="1:57" x14ac:dyDescent="0.35">
      <c r="A76" s="240"/>
      <c r="B76" s="240"/>
      <c r="C76" s="58" t="s">
        <v>252</v>
      </c>
      <c r="D76" s="59">
        <v>-0.29189300000000001</v>
      </c>
      <c r="E76" s="60">
        <v>2.0212880000000002</v>
      </c>
      <c r="F76" s="59">
        <v>0.736433</v>
      </c>
      <c r="G76" s="60">
        <v>1.3618159999999999</v>
      </c>
      <c r="H76" s="59" t="s">
        <v>179</v>
      </c>
      <c r="I76" s="60" t="s">
        <v>179</v>
      </c>
      <c r="J76" s="59" t="s">
        <v>179</v>
      </c>
      <c r="K76" s="60">
        <v>0.69038600000000006</v>
      </c>
      <c r="L76" s="59" t="s">
        <v>179</v>
      </c>
      <c r="M76" s="60">
        <v>1.2227840000000001</v>
      </c>
      <c r="N76" s="59">
        <v>1.4450190000000001</v>
      </c>
      <c r="O76" s="60">
        <v>0.66587600000000002</v>
      </c>
      <c r="P76" s="59">
        <v>1.9178310000000001</v>
      </c>
      <c r="Q76" s="60" t="s">
        <v>179</v>
      </c>
      <c r="R76" s="59">
        <v>2.1169850000000001</v>
      </c>
      <c r="S76" s="60">
        <v>0.22925699999999999</v>
      </c>
      <c r="T76" s="59" t="s">
        <v>179</v>
      </c>
      <c r="U76" s="60">
        <v>1.332058</v>
      </c>
      <c r="V76" s="59">
        <v>2.2659720000000001</v>
      </c>
      <c r="W76" s="60">
        <v>-0.79099200000000003</v>
      </c>
      <c r="X76" s="59" t="s">
        <v>179</v>
      </c>
      <c r="Y76" s="60" t="s">
        <v>179</v>
      </c>
      <c r="Z76" s="59">
        <v>0.27560600000000002</v>
      </c>
      <c r="AA76" s="60">
        <v>1.4759439999999999</v>
      </c>
      <c r="AB76" s="59">
        <v>0.899899</v>
      </c>
      <c r="AC76" s="60" t="s">
        <v>179</v>
      </c>
      <c r="AD76" s="59">
        <v>0.99720699999999995</v>
      </c>
      <c r="AE76" s="60" t="s">
        <v>179</v>
      </c>
      <c r="AF76" s="59">
        <v>1.3337270000000001</v>
      </c>
      <c r="AG76" s="60" t="s">
        <v>179</v>
      </c>
      <c r="AH76" s="59" t="s">
        <v>179</v>
      </c>
      <c r="AI76" s="60">
        <v>1.018033</v>
      </c>
      <c r="AJ76" s="59">
        <v>-0.102962</v>
      </c>
      <c r="AK76" s="60">
        <v>1.059563</v>
      </c>
      <c r="AL76" s="59" t="s">
        <v>179</v>
      </c>
      <c r="AM76" s="60">
        <v>0.83513499999999996</v>
      </c>
      <c r="AN76" s="59">
        <v>2.223268</v>
      </c>
      <c r="AO76" s="60" t="s">
        <v>179</v>
      </c>
      <c r="AP76" s="59" t="s">
        <v>179</v>
      </c>
      <c r="AQ76" s="60">
        <v>1.7221960000000001</v>
      </c>
      <c r="AR76" s="59">
        <v>2.1060650000000001</v>
      </c>
      <c r="AS76" s="60">
        <v>1.032845</v>
      </c>
      <c r="AT76" s="59" t="s">
        <v>179</v>
      </c>
      <c r="AU76" s="60">
        <v>1.575337</v>
      </c>
      <c r="AV76" s="59" t="s">
        <v>179</v>
      </c>
      <c r="AW76" s="60" t="s">
        <v>179</v>
      </c>
      <c r="AX76" s="59" t="s">
        <v>179</v>
      </c>
      <c r="AY76" s="60" t="s">
        <v>179</v>
      </c>
      <c r="AZ76" s="59" t="s">
        <v>179</v>
      </c>
      <c r="BA76" s="60" t="s">
        <v>179</v>
      </c>
      <c r="BB76" s="59" t="s">
        <v>179</v>
      </c>
      <c r="BC76" s="60" t="s">
        <v>179</v>
      </c>
      <c r="BD76" s="59" t="s">
        <v>179</v>
      </c>
      <c r="BE76" s="60">
        <v>-0.315747</v>
      </c>
    </row>
    <row r="77" spans="1:57" x14ac:dyDescent="0.35">
      <c r="A77" s="240"/>
      <c r="B77" s="240"/>
      <c r="C77" s="58" t="s">
        <v>253</v>
      </c>
      <c r="D77" s="59">
        <v>0.24193999999999999</v>
      </c>
      <c r="E77" s="60">
        <v>0.449598</v>
      </c>
      <c r="F77" s="59">
        <v>0.74509700000000001</v>
      </c>
      <c r="G77" s="60">
        <v>2.4595500000000001</v>
      </c>
      <c r="H77" s="59" t="s">
        <v>179</v>
      </c>
      <c r="I77" s="60" t="s">
        <v>179</v>
      </c>
      <c r="J77" s="59" t="s">
        <v>179</v>
      </c>
      <c r="K77" s="60">
        <v>0.64286900000000002</v>
      </c>
      <c r="L77" s="59" t="s">
        <v>179</v>
      </c>
      <c r="M77" s="60">
        <v>-0.701596</v>
      </c>
      <c r="N77" s="59">
        <v>1.3922140000000001</v>
      </c>
      <c r="O77" s="60">
        <v>0.59845199999999998</v>
      </c>
      <c r="P77" s="59">
        <v>1.3964129999999999</v>
      </c>
      <c r="Q77" s="60" t="s">
        <v>179</v>
      </c>
      <c r="R77" s="59">
        <v>2.7754780000000001</v>
      </c>
      <c r="S77" s="60">
        <v>-4.2736999999999997E-2</v>
      </c>
      <c r="T77" s="59" t="s">
        <v>179</v>
      </c>
      <c r="U77" s="60">
        <v>1.502345</v>
      </c>
      <c r="V77" s="59">
        <v>1.5539099999999999</v>
      </c>
      <c r="W77" s="60">
        <v>2.3323670000000001</v>
      </c>
      <c r="X77" s="59" t="s">
        <v>179</v>
      </c>
      <c r="Y77" s="60" t="s">
        <v>179</v>
      </c>
      <c r="Z77" s="59">
        <v>0.36058699999999999</v>
      </c>
      <c r="AA77" s="60">
        <v>1.5865769999999999</v>
      </c>
      <c r="AB77" s="59">
        <v>2.6730010000000002</v>
      </c>
      <c r="AC77" s="60" t="s">
        <v>179</v>
      </c>
      <c r="AD77" s="59">
        <v>0.76074900000000001</v>
      </c>
      <c r="AE77" s="60" t="s">
        <v>179</v>
      </c>
      <c r="AF77" s="59">
        <v>0.93459499999999995</v>
      </c>
      <c r="AG77" s="60" t="s">
        <v>179</v>
      </c>
      <c r="AH77" s="59" t="s">
        <v>179</v>
      </c>
      <c r="AI77" s="60">
        <v>2.9893909999999999</v>
      </c>
      <c r="AJ77" s="59">
        <v>1.9894289999999999</v>
      </c>
      <c r="AK77" s="60">
        <v>-0.26158399999999998</v>
      </c>
      <c r="AL77" s="59" t="s">
        <v>179</v>
      </c>
      <c r="AM77" s="60">
        <v>0.614402</v>
      </c>
      <c r="AN77" s="59">
        <v>2.3040430000000001</v>
      </c>
      <c r="AO77" s="60" t="s">
        <v>179</v>
      </c>
      <c r="AP77" s="59" t="s">
        <v>179</v>
      </c>
      <c r="AQ77" s="60">
        <v>1.715298</v>
      </c>
      <c r="AR77" s="59">
        <v>2.2663229999999999</v>
      </c>
      <c r="AS77" s="60">
        <v>1.2160439999999999</v>
      </c>
      <c r="AT77" s="59" t="s">
        <v>179</v>
      </c>
      <c r="AU77" s="60">
        <v>1.697646</v>
      </c>
      <c r="AV77" s="59" t="s">
        <v>179</v>
      </c>
      <c r="AW77" s="60" t="s">
        <v>179</v>
      </c>
      <c r="AX77" s="59" t="s">
        <v>179</v>
      </c>
      <c r="AY77" s="60" t="s">
        <v>179</v>
      </c>
      <c r="AZ77" s="59" t="s">
        <v>179</v>
      </c>
      <c r="BA77" s="60" t="s">
        <v>179</v>
      </c>
      <c r="BB77" s="59" t="s">
        <v>179</v>
      </c>
      <c r="BC77" s="60" t="s">
        <v>179</v>
      </c>
      <c r="BD77" s="59" t="s">
        <v>179</v>
      </c>
      <c r="BE77" s="60">
        <v>1.6633230000000001</v>
      </c>
    </row>
    <row r="78" spans="1:57" x14ac:dyDescent="0.35">
      <c r="A78" s="240"/>
      <c r="B78" s="240"/>
      <c r="C78" s="58" t="s">
        <v>254</v>
      </c>
      <c r="D78" s="59">
        <v>-0.28842099999999998</v>
      </c>
      <c r="E78" s="60">
        <v>3.196666</v>
      </c>
      <c r="F78" s="59">
        <v>0.73286600000000002</v>
      </c>
      <c r="G78" s="60">
        <v>1.9142220000000001</v>
      </c>
      <c r="H78" s="59" t="s">
        <v>179</v>
      </c>
      <c r="I78" s="60" t="s">
        <v>179</v>
      </c>
      <c r="J78" s="59" t="s">
        <v>179</v>
      </c>
      <c r="K78" s="60">
        <v>0.59623099999999996</v>
      </c>
      <c r="L78" s="59" t="s">
        <v>179</v>
      </c>
      <c r="M78" s="60">
        <v>-0.91294399999999998</v>
      </c>
      <c r="N78" s="59">
        <v>0.90220599999999995</v>
      </c>
      <c r="O78" s="60">
        <v>1.8159209999999999</v>
      </c>
      <c r="P78" s="59">
        <v>1.3569560000000001</v>
      </c>
      <c r="Q78" s="60" t="s">
        <v>179</v>
      </c>
      <c r="R78" s="59">
        <v>2.66527</v>
      </c>
      <c r="S78" s="60">
        <v>-3.8760999999999997E-2</v>
      </c>
      <c r="T78" s="59" t="s">
        <v>179</v>
      </c>
      <c r="U78" s="60">
        <v>0.96711599999999998</v>
      </c>
      <c r="V78" s="59">
        <v>2.676418</v>
      </c>
      <c r="W78" s="60">
        <v>6.1290659999999999</v>
      </c>
      <c r="X78" s="59" t="s">
        <v>179</v>
      </c>
      <c r="Y78" s="60" t="s">
        <v>179</v>
      </c>
      <c r="Z78" s="59">
        <v>0.35431299999999999</v>
      </c>
      <c r="AA78" s="60">
        <v>1.545695</v>
      </c>
      <c r="AB78" s="59">
        <v>-2.7211590000000001</v>
      </c>
      <c r="AC78" s="60" t="s">
        <v>179</v>
      </c>
      <c r="AD78" s="59">
        <v>0.53017099999999995</v>
      </c>
      <c r="AE78" s="60" t="s">
        <v>179</v>
      </c>
      <c r="AF78" s="59">
        <v>0.54783700000000002</v>
      </c>
      <c r="AG78" s="60" t="s">
        <v>179</v>
      </c>
      <c r="AH78" s="59" t="s">
        <v>179</v>
      </c>
      <c r="AI78" s="60">
        <v>-0.68051799999999996</v>
      </c>
      <c r="AJ78" s="59">
        <v>1.3833759999999999</v>
      </c>
      <c r="AK78" s="60">
        <v>-1.346317</v>
      </c>
      <c r="AL78" s="59" t="s">
        <v>179</v>
      </c>
      <c r="AM78" s="60">
        <v>0.169625</v>
      </c>
      <c r="AN78" s="59">
        <v>2.4342320000000002</v>
      </c>
      <c r="AO78" s="60" t="s">
        <v>179</v>
      </c>
      <c r="AP78" s="59" t="s">
        <v>179</v>
      </c>
      <c r="AQ78" s="60">
        <v>1.919378</v>
      </c>
      <c r="AR78" s="59">
        <v>2.3340770000000002</v>
      </c>
      <c r="AS78" s="60">
        <v>0.82779000000000003</v>
      </c>
      <c r="AT78" s="59" t="s">
        <v>179</v>
      </c>
      <c r="AU78" s="60">
        <v>1.6579680000000001</v>
      </c>
      <c r="AV78" s="59" t="s">
        <v>179</v>
      </c>
      <c r="AW78" s="60" t="s">
        <v>179</v>
      </c>
      <c r="AX78" s="59" t="s">
        <v>179</v>
      </c>
      <c r="AY78" s="60" t="s">
        <v>179</v>
      </c>
      <c r="AZ78" s="59" t="s">
        <v>179</v>
      </c>
      <c r="BA78" s="60" t="s">
        <v>179</v>
      </c>
      <c r="BB78" s="59" t="s">
        <v>179</v>
      </c>
      <c r="BC78" s="60" t="s">
        <v>179</v>
      </c>
      <c r="BD78" s="59" t="s">
        <v>179</v>
      </c>
      <c r="BE78" s="60">
        <v>1.4043380000000001</v>
      </c>
    </row>
    <row r="79" spans="1:57" x14ac:dyDescent="0.35">
      <c r="A79" s="240"/>
      <c r="B79" s="240"/>
      <c r="C79" s="58" t="s">
        <v>255</v>
      </c>
      <c r="D79" s="59">
        <v>1.3700289999999999</v>
      </c>
      <c r="E79" s="60">
        <v>-0.12343999999999999</v>
      </c>
      <c r="F79" s="59">
        <v>0.72223700000000002</v>
      </c>
      <c r="G79" s="60">
        <v>2.119983</v>
      </c>
      <c r="H79" s="59" t="s">
        <v>179</v>
      </c>
      <c r="I79" s="60" t="s">
        <v>179</v>
      </c>
      <c r="J79" s="59" t="s">
        <v>179</v>
      </c>
      <c r="K79" s="60">
        <v>0.68115899999999996</v>
      </c>
      <c r="L79" s="59" t="s">
        <v>179</v>
      </c>
      <c r="M79" s="60">
        <v>2.0591020000000002</v>
      </c>
      <c r="N79" s="59">
        <v>1.5125219999999999</v>
      </c>
      <c r="O79" s="60">
        <v>0.30748500000000001</v>
      </c>
      <c r="P79" s="59">
        <v>1.336468</v>
      </c>
      <c r="Q79" s="60" t="s">
        <v>179</v>
      </c>
      <c r="R79" s="59">
        <v>2.5876980000000001</v>
      </c>
      <c r="S79" s="60">
        <v>-4.2144000000000001E-2</v>
      </c>
      <c r="T79" s="59" t="s">
        <v>179</v>
      </c>
      <c r="U79" s="60">
        <v>1.424291</v>
      </c>
      <c r="V79" s="59">
        <v>3.9125830000000001</v>
      </c>
      <c r="W79" s="60">
        <v>6.1938389999999997</v>
      </c>
      <c r="X79" s="59" t="s">
        <v>179</v>
      </c>
      <c r="Y79" s="60" t="s">
        <v>179</v>
      </c>
      <c r="Z79" s="59">
        <v>0.35220699999999999</v>
      </c>
      <c r="AA79" s="60">
        <v>1.5129790000000001</v>
      </c>
      <c r="AB79" s="59">
        <v>2.9518390000000001</v>
      </c>
      <c r="AC79" s="60" t="s">
        <v>179</v>
      </c>
      <c r="AD79" s="59">
        <v>0.94599100000000003</v>
      </c>
      <c r="AE79" s="60" t="s">
        <v>179</v>
      </c>
      <c r="AF79" s="59">
        <v>0.89069500000000001</v>
      </c>
      <c r="AG79" s="60" t="s">
        <v>179</v>
      </c>
      <c r="AH79" s="59" t="s">
        <v>179</v>
      </c>
      <c r="AI79" s="60">
        <v>5.1675259999999996</v>
      </c>
      <c r="AJ79" s="59">
        <v>-0.65978199999999998</v>
      </c>
      <c r="AK79" s="60">
        <v>5.1304239999999997</v>
      </c>
      <c r="AL79" s="59" t="s">
        <v>179</v>
      </c>
      <c r="AM79" s="60">
        <v>0.59044600000000003</v>
      </c>
      <c r="AN79" s="59">
        <v>0.341617</v>
      </c>
      <c r="AO79" s="60" t="s">
        <v>179</v>
      </c>
      <c r="AP79" s="59" t="s">
        <v>179</v>
      </c>
      <c r="AQ79" s="60">
        <v>0.97982499999999995</v>
      </c>
      <c r="AR79" s="59">
        <v>0.55504799999999999</v>
      </c>
      <c r="AS79" s="60">
        <v>1.414542</v>
      </c>
      <c r="AT79" s="59" t="s">
        <v>179</v>
      </c>
      <c r="AU79" s="60">
        <v>1.261755</v>
      </c>
      <c r="AV79" s="59" t="s">
        <v>179</v>
      </c>
      <c r="AW79" s="60" t="s">
        <v>179</v>
      </c>
      <c r="AX79" s="59" t="s">
        <v>179</v>
      </c>
      <c r="AY79" s="60" t="s">
        <v>179</v>
      </c>
      <c r="AZ79" s="59" t="s">
        <v>179</v>
      </c>
      <c r="BA79" s="60" t="s">
        <v>179</v>
      </c>
      <c r="BB79" s="59" t="s">
        <v>179</v>
      </c>
      <c r="BC79" s="60" t="s">
        <v>179</v>
      </c>
      <c r="BD79" s="59" t="s">
        <v>179</v>
      </c>
      <c r="BE79" s="60">
        <v>1.0882419999999999</v>
      </c>
    </row>
    <row r="80" spans="1:57" x14ac:dyDescent="0.35">
      <c r="A80" s="240"/>
      <c r="B80" s="240"/>
      <c r="C80" s="58" t="s">
        <v>256</v>
      </c>
      <c r="D80" s="59">
        <v>2.8271929999999998</v>
      </c>
      <c r="E80" s="60">
        <v>0.27664</v>
      </c>
      <c r="F80" s="59">
        <v>0.86768400000000001</v>
      </c>
      <c r="G80" s="60">
        <v>-2.3976999999999998E-2</v>
      </c>
      <c r="H80" s="59" t="s">
        <v>179</v>
      </c>
      <c r="I80" s="60" t="s">
        <v>179</v>
      </c>
      <c r="J80" s="59" t="s">
        <v>179</v>
      </c>
      <c r="K80" s="60">
        <v>0.76439299999999999</v>
      </c>
      <c r="L80" s="59" t="s">
        <v>179</v>
      </c>
      <c r="M80" s="60">
        <v>1.073882</v>
      </c>
      <c r="N80" s="59">
        <v>1.140425</v>
      </c>
      <c r="O80" s="60">
        <v>0.12267699999999999</v>
      </c>
      <c r="P80" s="59">
        <v>1.342155</v>
      </c>
      <c r="Q80" s="60" t="s">
        <v>179</v>
      </c>
      <c r="R80" s="59">
        <v>1.0463359999999999</v>
      </c>
      <c r="S80" s="60">
        <v>0.73652399999999996</v>
      </c>
      <c r="T80" s="59" t="s">
        <v>179</v>
      </c>
      <c r="U80" s="60">
        <v>2.825008</v>
      </c>
      <c r="V80" s="59">
        <v>2.4314420000000001</v>
      </c>
      <c r="W80" s="60">
        <v>-1.728704</v>
      </c>
      <c r="X80" s="59" t="s">
        <v>179</v>
      </c>
      <c r="Y80" s="60" t="s">
        <v>179</v>
      </c>
      <c r="Z80" s="59">
        <v>0.118505</v>
      </c>
      <c r="AA80" s="60">
        <v>1.4535499999999999</v>
      </c>
      <c r="AB80" s="59">
        <v>2.0516489999999998</v>
      </c>
      <c r="AC80" s="60" t="s">
        <v>179</v>
      </c>
      <c r="AD80" s="59">
        <v>1.3517870000000001</v>
      </c>
      <c r="AE80" s="60" t="s">
        <v>179</v>
      </c>
      <c r="AF80" s="59">
        <v>1.225592</v>
      </c>
      <c r="AG80" s="60" t="s">
        <v>179</v>
      </c>
      <c r="AH80" s="59" t="s">
        <v>179</v>
      </c>
      <c r="AI80" s="60">
        <v>1.9836910000000001</v>
      </c>
      <c r="AJ80" s="59">
        <v>-2.5602849999999999</v>
      </c>
      <c r="AK80" s="60">
        <v>-1.2562260000000001</v>
      </c>
      <c r="AL80" s="59" t="s">
        <v>179</v>
      </c>
      <c r="AM80" s="60">
        <v>0.31064199999999997</v>
      </c>
      <c r="AN80" s="59">
        <v>0.84690500000000002</v>
      </c>
      <c r="AO80" s="60" t="s">
        <v>179</v>
      </c>
      <c r="AP80" s="59" t="s">
        <v>179</v>
      </c>
      <c r="AQ80" s="60">
        <v>1.009015</v>
      </c>
      <c r="AR80" s="59">
        <v>0.82191499999999995</v>
      </c>
      <c r="AS80" s="60">
        <v>0.918543</v>
      </c>
      <c r="AT80" s="59" t="s">
        <v>179</v>
      </c>
      <c r="AU80" s="60">
        <v>1.020772</v>
      </c>
      <c r="AV80" s="59" t="s">
        <v>179</v>
      </c>
      <c r="AW80" s="60" t="s">
        <v>179</v>
      </c>
      <c r="AX80" s="59" t="s">
        <v>179</v>
      </c>
      <c r="AY80" s="60" t="s">
        <v>179</v>
      </c>
      <c r="AZ80" s="59" t="s">
        <v>179</v>
      </c>
      <c r="BA80" s="60" t="s">
        <v>179</v>
      </c>
      <c r="BB80" s="59" t="s">
        <v>179</v>
      </c>
      <c r="BC80" s="60" t="s">
        <v>179</v>
      </c>
      <c r="BD80" s="59" t="s">
        <v>179</v>
      </c>
      <c r="BE80" s="60">
        <v>1.47329</v>
      </c>
    </row>
    <row r="81" spans="1:57" x14ac:dyDescent="0.35">
      <c r="A81" s="240"/>
      <c r="B81" s="240"/>
      <c r="C81" s="58" t="s">
        <v>257</v>
      </c>
      <c r="D81" s="59">
        <v>0.65485499999999996</v>
      </c>
      <c r="E81" s="60">
        <v>0.88997599999999999</v>
      </c>
      <c r="F81" s="59">
        <v>1.0150399999999999</v>
      </c>
      <c r="G81" s="60">
        <v>1.2233339999999999</v>
      </c>
      <c r="H81" s="59" t="s">
        <v>179</v>
      </c>
      <c r="I81" s="60" t="s">
        <v>179</v>
      </c>
      <c r="J81" s="59" t="s">
        <v>179</v>
      </c>
      <c r="K81" s="60">
        <v>0.84581300000000004</v>
      </c>
      <c r="L81" s="59" t="s">
        <v>179</v>
      </c>
      <c r="M81" s="60">
        <v>3.071027</v>
      </c>
      <c r="N81" s="59">
        <v>0.54594699999999996</v>
      </c>
      <c r="O81" s="60">
        <v>-1.5615399999999999</v>
      </c>
      <c r="P81" s="59">
        <v>1.3407690000000001</v>
      </c>
      <c r="Q81" s="60" t="s">
        <v>179</v>
      </c>
      <c r="R81" s="59">
        <v>-0.53818100000000002</v>
      </c>
      <c r="S81" s="60">
        <v>1.555855</v>
      </c>
      <c r="T81" s="59" t="s">
        <v>179</v>
      </c>
      <c r="U81" s="60">
        <v>0.47919200000000001</v>
      </c>
      <c r="V81" s="59">
        <v>1.9982770000000001</v>
      </c>
      <c r="W81" s="60">
        <v>1.331175</v>
      </c>
      <c r="X81" s="59" t="s">
        <v>179</v>
      </c>
      <c r="Y81" s="60" t="s">
        <v>179</v>
      </c>
      <c r="Z81" s="59">
        <v>-0.13147900000000001</v>
      </c>
      <c r="AA81" s="60">
        <v>1.3847579999999999</v>
      </c>
      <c r="AB81" s="59">
        <v>0.32850099999999999</v>
      </c>
      <c r="AC81" s="60" t="s">
        <v>179</v>
      </c>
      <c r="AD81" s="59">
        <v>1.742888</v>
      </c>
      <c r="AE81" s="60" t="s">
        <v>179</v>
      </c>
      <c r="AF81" s="59">
        <v>1.5493920000000001</v>
      </c>
      <c r="AG81" s="60" t="s">
        <v>179</v>
      </c>
      <c r="AH81" s="59" t="s">
        <v>179</v>
      </c>
      <c r="AI81" s="60">
        <v>0.270897</v>
      </c>
      <c r="AJ81" s="59">
        <v>5.0669719999999998</v>
      </c>
      <c r="AK81" s="60">
        <v>1.1506179999999999</v>
      </c>
      <c r="AL81" s="59" t="s">
        <v>179</v>
      </c>
      <c r="AM81" s="60">
        <v>-0.41797299999999998</v>
      </c>
      <c r="AN81" s="59">
        <v>0.82037199999999999</v>
      </c>
      <c r="AO81" s="60" t="s">
        <v>179</v>
      </c>
      <c r="AP81" s="59" t="s">
        <v>179</v>
      </c>
      <c r="AQ81" s="60">
        <v>0.49701200000000001</v>
      </c>
      <c r="AR81" s="59">
        <v>0.88985899999999996</v>
      </c>
      <c r="AS81" s="60">
        <v>0.10008599999999999</v>
      </c>
      <c r="AT81" s="59" t="s">
        <v>179</v>
      </c>
      <c r="AU81" s="60">
        <v>0.62389499999999998</v>
      </c>
      <c r="AV81" s="59" t="s">
        <v>179</v>
      </c>
      <c r="AW81" s="60" t="s">
        <v>179</v>
      </c>
      <c r="AX81" s="59" t="s">
        <v>179</v>
      </c>
      <c r="AY81" s="60" t="s">
        <v>179</v>
      </c>
      <c r="AZ81" s="59" t="s">
        <v>179</v>
      </c>
      <c r="BA81" s="60" t="s">
        <v>179</v>
      </c>
      <c r="BB81" s="59" t="s">
        <v>179</v>
      </c>
      <c r="BC81" s="60" t="s">
        <v>179</v>
      </c>
      <c r="BD81" s="59" t="s">
        <v>179</v>
      </c>
      <c r="BE81" s="60">
        <v>0.32904099999999997</v>
      </c>
    </row>
    <row r="82" spans="1:57" x14ac:dyDescent="0.35">
      <c r="A82" s="240"/>
      <c r="B82" s="240"/>
      <c r="C82" s="58" t="s">
        <v>258</v>
      </c>
      <c r="D82" s="59">
        <v>3.9024109999999999</v>
      </c>
      <c r="E82" s="60">
        <v>0.87689700000000004</v>
      </c>
      <c r="F82" s="59">
        <v>0.99531999999999998</v>
      </c>
      <c r="G82" s="60">
        <v>-0.21992</v>
      </c>
      <c r="H82" s="59" t="s">
        <v>179</v>
      </c>
      <c r="I82" s="60" t="s">
        <v>179</v>
      </c>
      <c r="J82" s="59" t="s">
        <v>179</v>
      </c>
      <c r="K82" s="60">
        <v>0.92514200000000002</v>
      </c>
      <c r="L82" s="59" t="s">
        <v>179</v>
      </c>
      <c r="M82" s="60">
        <v>-1.2988759999999999</v>
      </c>
      <c r="N82" s="59">
        <v>1.7136400000000001</v>
      </c>
      <c r="O82" s="60">
        <v>-0.49772899999999998</v>
      </c>
      <c r="P82" s="59">
        <v>1.3098320000000001</v>
      </c>
      <c r="Q82" s="60" t="s">
        <v>179</v>
      </c>
      <c r="R82" s="59">
        <v>-0.55778399999999995</v>
      </c>
      <c r="S82" s="60">
        <v>1.527447</v>
      </c>
      <c r="T82" s="59" t="s">
        <v>179</v>
      </c>
      <c r="U82" s="60">
        <v>1.9950699999999999</v>
      </c>
      <c r="V82" s="59">
        <v>2.6501779999999999</v>
      </c>
      <c r="W82" s="60">
        <v>3.3700420000000002</v>
      </c>
      <c r="X82" s="59" t="s">
        <v>179</v>
      </c>
      <c r="Y82" s="60" t="s">
        <v>179</v>
      </c>
      <c r="Z82" s="59">
        <v>-0.12891</v>
      </c>
      <c r="AA82" s="60">
        <v>1.353178</v>
      </c>
      <c r="AB82" s="59">
        <v>1.3641190000000001</v>
      </c>
      <c r="AC82" s="60" t="s">
        <v>179</v>
      </c>
      <c r="AD82" s="59">
        <v>2.1151529999999998</v>
      </c>
      <c r="AE82" s="60" t="s">
        <v>179</v>
      </c>
      <c r="AF82" s="59">
        <v>1.8592249999999999</v>
      </c>
      <c r="AG82" s="60" t="s">
        <v>179</v>
      </c>
      <c r="AH82" s="59" t="s">
        <v>179</v>
      </c>
      <c r="AI82" s="60">
        <v>0.27549299999999999</v>
      </c>
      <c r="AJ82" s="59">
        <v>1.060738</v>
      </c>
      <c r="AK82" s="60">
        <v>2.8051900000000001</v>
      </c>
      <c r="AL82" s="59" t="s">
        <v>179</v>
      </c>
      <c r="AM82" s="60">
        <v>1.3558460000000001</v>
      </c>
      <c r="AN82" s="59">
        <v>0.88558700000000001</v>
      </c>
      <c r="AO82" s="60" t="s">
        <v>179</v>
      </c>
      <c r="AP82" s="59" t="s">
        <v>179</v>
      </c>
      <c r="AQ82" s="60">
        <v>1.047153</v>
      </c>
      <c r="AR82" s="59">
        <v>0.83390200000000003</v>
      </c>
      <c r="AS82" s="60">
        <v>0.95128699999999999</v>
      </c>
      <c r="AT82" s="59" t="s">
        <v>179</v>
      </c>
      <c r="AU82" s="60">
        <v>1.0988960000000001</v>
      </c>
      <c r="AV82" s="59" t="s">
        <v>179</v>
      </c>
      <c r="AW82" s="60" t="s">
        <v>179</v>
      </c>
      <c r="AX82" s="59" t="s">
        <v>179</v>
      </c>
      <c r="AY82" s="60" t="s">
        <v>179</v>
      </c>
      <c r="AZ82" s="59" t="s">
        <v>179</v>
      </c>
      <c r="BA82" s="60" t="s">
        <v>179</v>
      </c>
      <c r="BB82" s="59" t="s">
        <v>179</v>
      </c>
      <c r="BC82" s="60" t="s">
        <v>179</v>
      </c>
      <c r="BD82" s="59" t="s">
        <v>179</v>
      </c>
      <c r="BE82" s="60">
        <v>3.635516</v>
      </c>
    </row>
    <row r="83" spans="1:57" x14ac:dyDescent="0.35">
      <c r="A83" s="240"/>
      <c r="B83" s="240"/>
      <c r="C83" s="58" t="s">
        <v>259</v>
      </c>
      <c r="D83" s="59">
        <v>-0.14099700000000001</v>
      </c>
      <c r="E83" s="60">
        <v>0.85619800000000001</v>
      </c>
      <c r="F83" s="59">
        <v>0.97875299999999998</v>
      </c>
      <c r="G83" s="60">
        <v>2.1041989999999999</v>
      </c>
      <c r="H83" s="59" t="s">
        <v>179</v>
      </c>
      <c r="I83" s="60" t="s">
        <v>179</v>
      </c>
      <c r="J83" s="59" t="s">
        <v>179</v>
      </c>
      <c r="K83" s="60">
        <v>0.87575700000000001</v>
      </c>
      <c r="L83" s="59" t="s">
        <v>179</v>
      </c>
      <c r="M83" s="60">
        <v>0.82948299999999997</v>
      </c>
      <c r="N83" s="59">
        <v>1.0945769999999999</v>
      </c>
      <c r="O83" s="60">
        <v>-0.312579</v>
      </c>
      <c r="P83" s="59">
        <v>1.284635</v>
      </c>
      <c r="Q83" s="60" t="s">
        <v>179</v>
      </c>
      <c r="R83" s="59">
        <v>-0.53566400000000003</v>
      </c>
      <c r="S83" s="60">
        <v>1.4845699999999999</v>
      </c>
      <c r="T83" s="59" t="s">
        <v>179</v>
      </c>
      <c r="U83" s="60">
        <v>2.1508660000000002</v>
      </c>
      <c r="V83" s="59">
        <v>2.6901540000000002</v>
      </c>
      <c r="W83" s="60">
        <v>2.0879569999999998</v>
      </c>
      <c r="X83" s="59" t="s">
        <v>179</v>
      </c>
      <c r="Y83" s="60" t="s">
        <v>179</v>
      </c>
      <c r="Z83" s="59">
        <v>-0.12973699999999999</v>
      </c>
      <c r="AA83" s="60">
        <v>1.325623</v>
      </c>
      <c r="AB83" s="59">
        <v>1.0225789999999999</v>
      </c>
      <c r="AC83" s="60" t="s">
        <v>179</v>
      </c>
      <c r="AD83" s="59">
        <v>1.548683</v>
      </c>
      <c r="AE83" s="60" t="s">
        <v>179</v>
      </c>
      <c r="AF83" s="59">
        <v>2.136933</v>
      </c>
      <c r="AG83" s="60" t="s">
        <v>179</v>
      </c>
      <c r="AH83" s="59" t="s">
        <v>179</v>
      </c>
      <c r="AI83" s="60">
        <v>1.201427</v>
      </c>
      <c r="AJ83" s="59">
        <v>0.33586700000000003</v>
      </c>
      <c r="AK83" s="60">
        <v>-0.97919800000000001</v>
      </c>
      <c r="AL83" s="59" t="s">
        <v>179</v>
      </c>
      <c r="AM83" s="60">
        <v>1.4079820000000001</v>
      </c>
      <c r="AN83" s="59">
        <v>6.1270999999999999E-2</v>
      </c>
      <c r="AO83" s="60" t="s">
        <v>179</v>
      </c>
      <c r="AP83" s="59" t="s">
        <v>179</v>
      </c>
      <c r="AQ83" s="60">
        <v>0.75678400000000001</v>
      </c>
      <c r="AR83" s="59">
        <v>0.30320200000000003</v>
      </c>
      <c r="AS83" s="60">
        <v>0.86735899999999999</v>
      </c>
      <c r="AT83" s="59" t="s">
        <v>179</v>
      </c>
      <c r="AU83" s="60">
        <v>0.75936199999999998</v>
      </c>
      <c r="AV83" s="59" t="s">
        <v>179</v>
      </c>
      <c r="AW83" s="60" t="s">
        <v>179</v>
      </c>
      <c r="AX83" s="59" t="s">
        <v>179</v>
      </c>
      <c r="AY83" s="60" t="s">
        <v>179</v>
      </c>
      <c r="AZ83" s="59" t="s">
        <v>179</v>
      </c>
      <c r="BA83" s="60" t="s">
        <v>179</v>
      </c>
      <c r="BB83" s="59" t="s">
        <v>179</v>
      </c>
      <c r="BC83" s="60" t="s">
        <v>179</v>
      </c>
      <c r="BD83" s="59" t="s">
        <v>179</v>
      </c>
      <c r="BE83" s="60">
        <v>0.15892600000000001</v>
      </c>
    </row>
    <row r="84" spans="1:57" x14ac:dyDescent="0.35">
      <c r="A84" s="240"/>
      <c r="B84" s="240"/>
      <c r="C84" s="58" t="s">
        <v>260</v>
      </c>
      <c r="D84" s="59">
        <v>1.880017</v>
      </c>
      <c r="E84" s="60">
        <v>-0.65888999999999998</v>
      </c>
      <c r="F84" s="59">
        <v>0.95427600000000001</v>
      </c>
      <c r="G84" s="60">
        <v>0.35778399999999999</v>
      </c>
      <c r="H84" s="59" t="s">
        <v>179</v>
      </c>
      <c r="I84" s="60" t="s">
        <v>179</v>
      </c>
      <c r="J84" s="59" t="s">
        <v>179</v>
      </c>
      <c r="K84" s="60">
        <v>0.82758299999999996</v>
      </c>
      <c r="L84" s="59" t="s">
        <v>179</v>
      </c>
      <c r="M84" s="60">
        <v>-0.603823</v>
      </c>
      <c r="N84" s="59">
        <v>0.95618999999999998</v>
      </c>
      <c r="O84" s="60">
        <v>2.4145919999999998</v>
      </c>
      <c r="P84" s="59">
        <v>1.4088510000000001</v>
      </c>
      <c r="Q84" s="60" t="s">
        <v>179</v>
      </c>
      <c r="R84" s="59">
        <v>-1.1801280000000001</v>
      </c>
      <c r="S84" s="60">
        <v>1.8583719999999999</v>
      </c>
      <c r="T84" s="59" t="s">
        <v>179</v>
      </c>
      <c r="U84" s="60">
        <v>1.5410550000000001</v>
      </c>
      <c r="V84" s="59">
        <v>3.4676429999999998</v>
      </c>
      <c r="W84" s="60">
        <v>4.1396249999999997</v>
      </c>
      <c r="X84" s="59" t="s">
        <v>179</v>
      </c>
      <c r="Y84" s="60" t="s">
        <v>179</v>
      </c>
      <c r="Z84" s="59">
        <v>0.35421000000000002</v>
      </c>
      <c r="AA84" s="60">
        <v>1.6467540000000001</v>
      </c>
      <c r="AB84" s="59">
        <v>1.6625700000000001</v>
      </c>
      <c r="AC84" s="60" t="s">
        <v>179</v>
      </c>
      <c r="AD84" s="59">
        <v>1.010316</v>
      </c>
      <c r="AE84" s="60" t="s">
        <v>179</v>
      </c>
      <c r="AF84" s="59">
        <v>2.3974299999999999</v>
      </c>
      <c r="AG84" s="60" t="s">
        <v>179</v>
      </c>
      <c r="AH84" s="59" t="s">
        <v>179</v>
      </c>
      <c r="AI84" s="60">
        <v>1.715238</v>
      </c>
      <c r="AJ84" s="59">
        <v>-1.597445</v>
      </c>
      <c r="AK84" s="60">
        <v>-1.163089</v>
      </c>
      <c r="AL84" s="59" t="s">
        <v>179</v>
      </c>
      <c r="AM84" s="60">
        <v>0.45786100000000002</v>
      </c>
      <c r="AN84" s="59">
        <v>0.946133</v>
      </c>
      <c r="AO84" s="60" t="s">
        <v>179</v>
      </c>
      <c r="AP84" s="59" t="s">
        <v>179</v>
      </c>
      <c r="AQ84" s="60">
        <v>1.3992789999999999</v>
      </c>
      <c r="AR84" s="59">
        <v>0.95036299999999996</v>
      </c>
      <c r="AS84" s="60">
        <v>1.214936</v>
      </c>
      <c r="AT84" s="59" t="s">
        <v>179</v>
      </c>
      <c r="AU84" s="60">
        <v>1.321615</v>
      </c>
      <c r="AV84" s="59" t="s">
        <v>179</v>
      </c>
      <c r="AW84" s="60" t="s">
        <v>179</v>
      </c>
      <c r="AX84" s="59" t="s">
        <v>179</v>
      </c>
      <c r="AY84" s="60" t="s">
        <v>179</v>
      </c>
      <c r="AZ84" s="59" t="s">
        <v>179</v>
      </c>
      <c r="BA84" s="60" t="s">
        <v>179</v>
      </c>
      <c r="BB84" s="59" t="s">
        <v>179</v>
      </c>
      <c r="BC84" s="60" t="s">
        <v>179</v>
      </c>
      <c r="BD84" s="59" t="s">
        <v>179</v>
      </c>
      <c r="BE84" s="60">
        <v>5.0283369999999996</v>
      </c>
    </row>
    <row r="85" spans="1:57" x14ac:dyDescent="0.35">
      <c r="A85" s="240"/>
      <c r="B85" s="240"/>
      <c r="C85" s="58" t="s">
        <v>261</v>
      </c>
      <c r="D85" s="59">
        <v>0.86755300000000002</v>
      </c>
      <c r="E85" s="60">
        <v>1.6101190000000001</v>
      </c>
      <c r="F85" s="59">
        <v>0.92340800000000001</v>
      </c>
      <c r="G85" s="60">
        <v>0.40463700000000002</v>
      </c>
      <c r="H85" s="59" t="s">
        <v>179</v>
      </c>
      <c r="I85" s="60" t="s">
        <v>179</v>
      </c>
      <c r="J85" s="59" t="s">
        <v>179</v>
      </c>
      <c r="K85" s="60">
        <v>0.78055300000000005</v>
      </c>
      <c r="L85" s="59" t="s">
        <v>179</v>
      </c>
      <c r="M85" s="60">
        <v>-0.60775800000000002</v>
      </c>
      <c r="N85" s="59">
        <v>0.97472700000000001</v>
      </c>
      <c r="O85" s="60">
        <v>1.28593</v>
      </c>
      <c r="P85" s="59">
        <v>1.529231</v>
      </c>
      <c r="Q85" s="60" t="s">
        <v>179</v>
      </c>
      <c r="R85" s="59">
        <v>-1.883273</v>
      </c>
      <c r="S85" s="60">
        <v>2.2296290000000001</v>
      </c>
      <c r="T85" s="59" t="s">
        <v>179</v>
      </c>
      <c r="U85" s="60">
        <v>1.9759530000000001</v>
      </c>
      <c r="V85" s="59">
        <v>1.9332499999999999</v>
      </c>
      <c r="W85" s="60">
        <v>0.66032100000000005</v>
      </c>
      <c r="X85" s="59" t="s">
        <v>179</v>
      </c>
      <c r="Y85" s="60" t="s">
        <v>179</v>
      </c>
      <c r="Z85" s="59">
        <v>0.86829199999999995</v>
      </c>
      <c r="AA85" s="60">
        <v>1.967176</v>
      </c>
      <c r="AB85" s="59">
        <v>0.91232199999999997</v>
      </c>
      <c r="AC85" s="60" t="s">
        <v>179</v>
      </c>
      <c r="AD85" s="59">
        <v>0.49064200000000002</v>
      </c>
      <c r="AE85" s="60" t="s">
        <v>179</v>
      </c>
      <c r="AF85" s="59">
        <v>2.6392799999999998</v>
      </c>
      <c r="AG85" s="60" t="s">
        <v>179</v>
      </c>
      <c r="AH85" s="59" t="s">
        <v>179</v>
      </c>
      <c r="AI85" s="60">
        <v>-0.71910300000000005</v>
      </c>
      <c r="AJ85" s="59">
        <v>2.3316110000000001</v>
      </c>
      <c r="AK85" s="60">
        <v>0.51321899999999998</v>
      </c>
      <c r="AL85" s="59" t="s">
        <v>179</v>
      </c>
      <c r="AM85" s="60">
        <v>0.49211300000000002</v>
      </c>
      <c r="AN85" s="59">
        <v>0.75402000000000002</v>
      </c>
      <c r="AO85" s="60" t="s">
        <v>179</v>
      </c>
      <c r="AP85" s="59" t="s">
        <v>179</v>
      </c>
      <c r="AQ85" s="60">
        <v>1.0351939999999999</v>
      </c>
      <c r="AR85" s="59">
        <v>0.81339499999999998</v>
      </c>
      <c r="AS85" s="60">
        <v>1.0791869999999999</v>
      </c>
      <c r="AT85" s="59" t="s">
        <v>179</v>
      </c>
      <c r="AU85" s="60">
        <v>1.0301</v>
      </c>
      <c r="AV85" s="59" t="s">
        <v>179</v>
      </c>
      <c r="AW85" s="60" t="s">
        <v>179</v>
      </c>
      <c r="AX85" s="59" t="s">
        <v>179</v>
      </c>
      <c r="AY85" s="60" t="s">
        <v>179</v>
      </c>
      <c r="AZ85" s="59" t="s">
        <v>179</v>
      </c>
      <c r="BA85" s="60" t="s">
        <v>179</v>
      </c>
      <c r="BB85" s="59" t="s">
        <v>179</v>
      </c>
      <c r="BC85" s="60" t="s">
        <v>179</v>
      </c>
      <c r="BD85" s="59" t="s">
        <v>179</v>
      </c>
      <c r="BE85" s="60">
        <v>-1.8157479999999999</v>
      </c>
    </row>
    <row r="86" spans="1:57" x14ac:dyDescent="0.35">
      <c r="A86" s="240"/>
      <c r="B86" s="240"/>
      <c r="C86" s="58" t="s">
        <v>262</v>
      </c>
      <c r="D86" s="59">
        <v>-0.89038399999999995</v>
      </c>
      <c r="E86" s="60">
        <v>1.264305</v>
      </c>
      <c r="F86" s="59">
        <v>0.90842900000000004</v>
      </c>
      <c r="G86" s="60">
        <v>0.82909200000000005</v>
      </c>
      <c r="H86" s="59" t="s">
        <v>179</v>
      </c>
      <c r="I86" s="60" t="s">
        <v>179</v>
      </c>
      <c r="J86" s="59" t="s">
        <v>179</v>
      </c>
      <c r="K86" s="60">
        <v>0.73458199999999996</v>
      </c>
      <c r="L86" s="59" t="s">
        <v>179</v>
      </c>
      <c r="M86" s="60">
        <v>1.016885</v>
      </c>
      <c r="N86" s="59">
        <v>2.909618</v>
      </c>
      <c r="O86" s="60">
        <v>1.170304</v>
      </c>
      <c r="P86" s="59">
        <v>1.4969079999999999</v>
      </c>
      <c r="Q86" s="60" t="s">
        <v>179</v>
      </c>
      <c r="R86" s="59">
        <v>-1.9013610000000001</v>
      </c>
      <c r="S86" s="60">
        <v>2.162925</v>
      </c>
      <c r="T86" s="59" t="s">
        <v>179</v>
      </c>
      <c r="U86" s="60">
        <v>0.24312700000000001</v>
      </c>
      <c r="V86" s="59">
        <v>2.3859729999999999</v>
      </c>
      <c r="W86" s="60">
        <v>6.3632520000000001</v>
      </c>
      <c r="X86" s="59" t="s">
        <v>179</v>
      </c>
      <c r="Y86" s="60" t="s">
        <v>179</v>
      </c>
      <c r="Z86" s="59">
        <v>0.86482599999999998</v>
      </c>
      <c r="AA86" s="60">
        <v>1.9129799999999999</v>
      </c>
      <c r="AB86" s="59">
        <v>3.30585</v>
      </c>
      <c r="AC86" s="60" t="s">
        <v>179</v>
      </c>
      <c r="AD86" s="59">
        <v>-1.8835000000000001E-2</v>
      </c>
      <c r="AE86" s="60" t="s">
        <v>179</v>
      </c>
      <c r="AF86" s="59">
        <v>2.861783</v>
      </c>
      <c r="AG86" s="60" t="s">
        <v>179</v>
      </c>
      <c r="AH86" s="59" t="s">
        <v>179</v>
      </c>
      <c r="AI86" s="60">
        <v>2.1339450000000002</v>
      </c>
      <c r="AJ86" s="59">
        <v>-1.684102</v>
      </c>
      <c r="AK86" s="60">
        <v>1.58853</v>
      </c>
      <c r="AL86" s="59" t="s">
        <v>179</v>
      </c>
      <c r="AM86" s="60">
        <v>3.6626620000000001</v>
      </c>
      <c r="AN86" s="59">
        <v>2.0394929999999998</v>
      </c>
      <c r="AO86" s="60" t="s">
        <v>179</v>
      </c>
      <c r="AP86" s="59" t="s">
        <v>179</v>
      </c>
      <c r="AQ86" s="60">
        <v>1.9866360000000001</v>
      </c>
      <c r="AR86" s="59">
        <v>1.938636</v>
      </c>
      <c r="AS86" s="60">
        <v>1.7951440000000001</v>
      </c>
      <c r="AT86" s="59" t="s">
        <v>179</v>
      </c>
      <c r="AU86" s="60">
        <v>1.882914</v>
      </c>
      <c r="AV86" s="59" t="s">
        <v>179</v>
      </c>
      <c r="AW86" s="60" t="s">
        <v>179</v>
      </c>
      <c r="AX86" s="59" t="s">
        <v>179</v>
      </c>
      <c r="AY86" s="60" t="s">
        <v>179</v>
      </c>
      <c r="AZ86" s="59" t="s">
        <v>179</v>
      </c>
      <c r="BA86" s="60" t="s">
        <v>179</v>
      </c>
      <c r="BB86" s="59" t="s">
        <v>179</v>
      </c>
      <c r="BC86" s="60" t="s">
        <v>179</v>
      </c>
      <c r="BD86" s="59" t="s">
        <v>179</v>
      </c>
      <c r="BE86" s="60">
        <v>1.641869</v>
      </c>
    </row>
    <row r="87" spans="1:57" x14ac:dyDescent="0.35">
      <c r="A87" s="240"/>
      <c r="B87" s="240"/>
      <c r="C87" s="58" t="s">
        <v>263</v>
      </c>
      <c r="D87" s="59">
        <v>3.8500580000000002</v>
      </c>
      <c r="E87" s="60">
        <v>1.1827000000000001</v>
      </c>
      <c r="F87" s="59">
        <v>0.89685999999999999</v>
      </c>
      <c r="G87" s="60">
        <v>2.717635</v>
      </c>
      <c r="H87" s="59" t="s">
        <v>179</v>
      </c>
      <c r="I87" s="60" t="s">
        <v>179</v>
      </c>
      <c r="J87" s="59" t="s">
        <v>179</v>
      </c>
      <c r="K87" s="60">
        <v>1.0821750000000001</v>
      </c>
      <c r="L87" s="59" t="s">
        <v>179</v>
      </c>
      <c r="M87" s="60">
        <v>1.6238919999999999</v>
      </c>
      <c r="N87" s="59">
        <v>-7.5809559999999996</v>
      </c>
      <c r="O87" s="60">
        <v>0.77727999999999997</v>
      </c>
      <c r="P87" s="59">
        <v>1.467886</v>
      </c>
      <c r="Q87" s="60" t="s">
        <v>179</v>
      </c>
      <c r="R87" s="59">
        <v>-1.9355370000000001</v>
      </c>
      <c r="S87" s="60">
        <v>2.1117180000000002</v>
      </c>
      <c r="T87" s="59" t="s">
        <v>179</v>
      </c>
      <c r="U87" s="60">
        <v>2.0946630000000002</v>
      </c>
      <c r="V87" s="59">
        <v>3.411931</v>
      </c>
      <c r="W87" s="60">
        <v>1.4718100000000001</v>
      </c>
      <c r="X87" s="59" t="s">
        <v>179</v>
      </c>
      <c r="Y87" s="60" t="s">
        <v>179</v>
      </c>
      <c r="Z87" s="59">
        <v>0.84428999999999998</v>
      </c>
      <c r="AA87" s="60">
        <v>1.872519</v>
      </c>
      <c r="AB87" s="59">
        <v>0.11042399999999999</v>
      </c>
      <c r="AC87" s="60" t="s">
        <v>179</v>
      </c>
      <c r="AD87" s="59">
        <v>0.39658100000000002</v>
      </c>
      <c r="AE87" s="60" t="s">
        <v>179</v>
      </c>
      <c r="AF87" s="59">
        <v>1.9413339999999999</v>
      </c>
      <c r="AG87" s="60" t="s">
        <v>179</v>
      </c>
      <c r="AH87" s="59" t="s">
        <v>179</v>
      </c>
      <c r="AI87" s="60">
        <v>3.0340229999999999</v>
      </c>
      <c r="AJ87" s="59">
        <v>5.495457</v>
      </c>
      <c r="AK87" s="60">
        <v>0.55338399999999999</v>
      </c>
      <c r="AL87" s="59" t="s">
        <v>179</v>
      </c>
      <c r="AM87" s="60">
        <v>-0.39258300000000002</v>
      </c>
      <c r="AN87" s="59">
        <v>1.670809</v>
      </c>
      <c r="AO87" s="60" t="s">
        <v>179</v>
      </c>
      <c r="AP87" s="59" t="s">
        <v>179</v>
      </c>
      <c r="AQ87" s="60">
        <v>0.93343299999999996</v>
      </c>
      <c r="AR87" s="59">
        <v>1.7637970000000001</v>
      </c>
      <c r="AS87" s="60">
        <v>-5.7282E-2</v>
      </c>
      <c r="AT87" s="59" t="s">
        <v>179</v>
      </c>
      <c r="AU87" s="60">
        <v>1.144719</v>
      </c>
      <c r="AV87" s="59" t="s">
        <v>179</v>
      </c>
      <c r="AW87" s="60" t="s">
        <v>179</v>
      </c>
      <c r="AX87" s="59" t="s">
        <v>179</v>
      </c>
      <c r="AY87" s="60" t="s">
        <v>179</v>
      </c>
      <c r="AZ87" s="59" t="s">
        <v>179</v>
      </c>
      <c r="BA87" s="60" t="s">
        <v>179</v>
      </c>
      <c r="BB87" s="59" t="s">
        <v>179</v>
      </c>
      <c r="BC87" s="60" t="s">
        <v>179</v>
      </c>
      <c r="BD87" s="59" t="s">
        <v>179</v>
      </c>
      <c r="BE87" s="60">
        <v>0.44336900000000001</v>
      </c>
    </row>
    <row r="88" spans="1:57" x14ac:dyDescent="0.35">
      <c r="A88" s="240"/>
      <c r="B88" s="240"/>
      <c r="C88" s="58" t="s">
        <v>264</v>
      </c>
      <c r="D88" s="59">
        <v>1.3212660000000001</v>
      </c>
      <c r="E88" s="60">
        <v>1.8113630000000001</v>
      </c>
      <c r="F88" s="59">
        <v>1.331804</v>
      </c>
      <c r="G88" s="60">
        <v>1.367721</v>
      </c>
      <c r="H88" s="59" t="s">
        <v>179</v>
      </c>
      <c r="I88" s="60" t="s">
        <v>179</v>
      </c>
      <c r="J88" s="59" t="s">
        <v>179</v>
      </c>
      <c r="K88" s="60">
        <v>1.4197610000000001</v>
      </c>
      <c r="L88" s="59" t="s">
        <v>179</v>
      </c>
      <c r="M88" s="60">
        <v>0.277279</v>
      </c>
      <c r="N88" s="59">
        <v>11.373243</v>
      </c>
      <c r="O88" s="60">
        <v>2.1951939999999999</v>
      </c>
      <c r="P88" s="59">
        <v>2.0898240000000001</v>
      </c>
      <c r="Q88" s="60" t="s">
        <v>179</v>
      </c>
      <c r="R88" s="59">
        <v>-0.59385699999999997</v>
      </c>
      <c r="S88" s="60">
        <v>1.810613</v>
      </c>
      <c r="T88" s="59" t="s">
        <v>179</v>
      </c>
      <c r="U88" s="60">
        <v>2.404436</v>
      </c>
      <c r="V88" s="59">
        <v>2.2639710000000002</v>
      </c>
      <c r="W88" s="60">
        <v>5.1321289999999999</v>
      </c>
      <c r="X88" s="59" t="s">
        <v>179</v>
      </c>
      <c r="Y88" s="60" t="s">
        <v>179</v>
      </c>
      <c r="Z88" s="59">
        <v>2.0240629999999999</v>
      </c>
      <c r="AA88" s="60">
        <v>1.5841339999999999</v>
      </c>
      <c r="AB88" s="59">
        <v>0.59663200000000005</v>
      </c>
      <c r="AC88" s="60" t="s">
        <v>179</v>
      </c>
      <c r="AD88" s="59">
        <v>0.80876300000000001</v>
      </c>
      <c r="AE88" s="60" t="s">
        <v>179</v>
      </c>
      <c r="AF88" s="59">
        <v>1.0794969999999999</v>
      </c>
      <c r="AG88" s="60" t="s">
        <v>179</v>
      </c>
      <c r="AH88" s="59" t="s">
        <v>179</v>
      </c>
      <c r="AI88" s="60">
        <v>0.80629700000000004</v>
      </c>
      <c r="AJ88" s="59">
        <v>0.72661100000000001</v>
      </c>
      <c r="AK88" s="60">
        <v>2.7617889999999998</v>
      </c>
      <c r="AL88" s="59" t="s">
        <v>179</v>
      </c>
      <c r="AM88" s="60">
        <v>1.98668</v>
      </c>
      <c r="AN88" s="59">
        <v>0.77497199999999999</v>
      </c>
      <c r="AO88" s="60" t="s">
        <v>179</v>
      </c>
      <c r="AP88" s="59" t="s">
        <v>179</v>
      </c>
      <c r="AQ88" s="60">
        <v>2.1547860000000001</v>
      </c>
      <c r="AR88" s="59">
        <v>0.87792099999999995</v>
      </c>
      <c r="AS88" s="60">
        <v>3.0728610000000001</v>
      </c>
      <c r="AT88" s="59" t="s">
        <v>179</v>
      </c>
      <c r="AU88" s="60">
        <v>2.0056630000000002</v>
      </c>
      <c r="AV88" s="59" t="s">
        <v>179</v>
      </c>
      <c r="AW88" s="60" t="s">
        <v>179</v>
      </c>
      <c r="AX88" s="59" t="s">
        <v>179</v>
      </c>
      <c r="AY88" s="60" t="s">
        <v>179</v>
      </c>
      <c r="AZ88" s="59" t="s">
        <v>179</v>
      </c>
      <c r="BA88" s="60" t="s">
        <v>179</v>
      </c>
      <c r="BB88" s="59" t="s">
        <v>179</v>
      </c>
      <c r="BC88" s="60" t="s">
        <v>179</v>
      </c>
      <c r="BD88" s="59" t="s">
        <v>179</v>
      </c>
      <c r="BE88" s="60">
        <v>1.0793269999999999</v>
      </c>
    </row>
    <row r="89" spans="1:57" x14ac:dyDescent="0.35">
      <c r="A89" s="240"/>
      <c r="B89" s="240"/>
      <c r="C89" s="58" t="s">
        <v>265</v>
      </c>
      <c r="D89" s="59">
        <v>3.7284869999999999</v>
      </c>
      <c r="E89" s="60">
        <v>0.89583500000000005</v>
      </c>
      <c r="F89" s="59">
        <v>1.7704489999999999</v>
      </c>
      <c r="G89" s="60">
        <v>1.380833</v>
      </c>
      <c r="H89" s="59" t="s">
        <v>179</v>
      </c>
      <c r="I89" s="60" t="s">
        <v>179</v>
      </c>
      <c r="J89" s="59" t="s">
        <v>179</v>
      </c>
      <c r="K89" s="60">
        <v>1.7441690000000001</v>
      </c>
      <c r="L89" s="59" t="s">
        <v>179</v>
      </c>
      <c r="M89" s="60">
        <v>1.87517</v>
      </c>
      <c r="N89" s="59">
        <v>1.0245899999999999</v>
      </c>
      <c r="O89" s="60">
        <v>1.5094339999999999</v>
      </c>
      <c r="P89" s="59">
        <v>2.7044760000000001</v>
      </c>
      <c r="Q89" s="60" t="s">
        <v>179</v>
      </c>
      <c r="R89" s="59">
        <v>0.85238599999999998</v>
      </c>
      <c r="S89" s="60">
        <v>1.513919</v>
      </c>
      <c r="T89" s="59" t="s">
        <v>179</v>
      </c>
      <c r="U89" s="60">
        <v>2.3409490000000002</v>
      </c>
      <c r="V89" s="59">
        <v>5.697546</v>
      </c>
      <c r="W89" s="60">
        <v>-1.7066300000000001</v>
      </c>
      <c r="X89" s="59" t="s">
        <v>179</v>
      </c>
      <c r="Y89" s="60" t="s">
        <v>179</v>
      </c>
      <c r="Z89" s="59">
        <v>3.1982780000000002</v>
      </c>
      <c r="AA89" s="60">
        <v>1.2979670000000001</v>
      </c>
      <c r="AB89" s="59">
        <v>3.3444739999999999</v>
      </c>
      <c r="AC89" s="60" t="s">
        <v>179</v>
      </c>
      <c r="AD89" s="59">
        <v>1.212764</v>
      </c>
      <c r="AE89" s="60" t="s">
        <v>179</v>
      </c>
      <c r="AF89" s="59">
        <v>0.25193500000000002</v>
      </c>
      <c r="AG89" s="60" t="s">
        <v>179</v>
      </c>
      <c r="AH89" s="59" t="s">
        <v>179</v>
      </c>
      <c r="AI89" s="60">
        <v>4.053407</v>
      </c>
      <c r="AJ89" s="59">
        <v>-0.54202300000000003</v>
      </c>
      <c r="AK89" s="60">
        <v>2.4320740000000001</v>
      </c>
      <c r="AL89" s="59" t="s">
        <v>179</v>
      </c>
      <c r="AM89" s="60">
        <v>0.38121500000000003</v>
      </c>
      <c r="AN89" s="59">
        <v>0.39330300000000001</v>
      </c>
      <c r="AO89" s="60" t="s">
        <v>179</v>
      </c>
      <c r="AP89" s="59" t="s">
        <v>179</v>
      </c>
      <c r="AQ89" s="60">
        <v>1.423699</v>
      </c>
      <c r="AR89" s="59">
        <v>0.53381500000000004</v>
      </c>
      <c r="AS89" s="60">
        <v>1.5978300000000001</v>
      </c>
      <c r="AT89" s="59" t="s">
        <v>179</v>
      </c>
      <c r="AU89" s="60">
        <v>1.5544480000000001</v>
      </c>
      <c r="AV89" s="59" t="s">
        <v>179</v>
      </c>
      <c r="AW89" s="60" t="s">
        <v>179</v>
      </c>
      <c r="AX89" s="59" t="s">
        <v>179</v>
      </c>
      <c r="AY89" s="60" t="s">
        <v>179</v>
      </c>
      <c r="AZ89" s="59" t="s">
        <v>179</v>
      </c>
      <c r="BA89" s="60" t="s">
        <v>179</v>
      </c>
      <c r="BB89" s="59" t="s">
        <v>179</v>
      </c>
      <c r="BC89" s="60" t="s">
        <v>179</v>
      </c>
      <c r="BD89" s="59" t="s">
        <v>179</v>
      </c>
      <c r="BE89" s="60">
        <v>1.8906130000000001</v>
      </c>
    </row>
    <row r="90" spans="1:57" x14ac:dyDescent="0.35">
      <c r="A90" s="240"/>
      <c r="B90" s="240"/>
      <c r="C90" s="58" t="s">
        <v>266</v>
      </c>
      <c r="D90" s="59">
        <v>-0.69308999999999998</v>
      </c>
      <c r="E90" s="60">
        <v>0.97363500000000003</v>
      </c>
      <c r="F90" s="59">
        <v>1.730254</v>
      </c>
      <c r="G90" s="60">
        <v>1.308093</v>
      </c>
      <c r="H90" s="59" t="s">
        <v>179</v>
      </c>
      <c r="I90" s="60" t="s">
        <v>179</v>
      </c>
      <c r="J90" s="59" t="s">
        <v>179</v>
      </c>
      <c r="K90" s="60">
        <v>2.05267</v>
      </c>
      <c r="L90" s="59" t="s">
        <v>179</v>
      </c>
      <c r="M90" s="60">
        <v>4.8897959999999996</v>
      </c>
      <c r="N90" s="59">
        <v>0.18374499999999999</v>
      </c>
      <c r="O90" s="60">
        <v>2.5164430000000002</v>
      </c>
      <c r="P90" s="59">
        <v>2.6165889999999998</v>
      </c>
      <c r="Q90" s="60" t="s">
        <v>179</v>
      </c>
      <c r="R90" s="59">
        <v>0.85085699999999997</v>
      </c>
      <c r="S90" s="60">
        <v>1.475881</v>
      </c>
      <c r="T90" s="59" t="s">
        <v>179</v>
      </c>
      <c r="U90" s="60">
        <v>1.566157</v>
      </c>
      <c r="V90" s="59">
        <v>0.87946100000000005</v>
      </c>
      <c r="W90" s="60">
        <v>5.1109869999999997</v>
      </c>
      <c r="X90" s="59" t="s">
        <v>179</v>
      </c>
      <c r="Y90" s="60" t="s">
        <v>179</v>
      </c>
      <c r="Z90" s="59">
        <v>3.0719080000000001</v>
      </c>
      <c r="AA90" s="60">
        <v>1.2738350000000001</v>
      </c>
      <c r="AB90" s="59">
        <v>0.36541200000000001</v>
      </c>
      <c r="AC90" s="60" t="s">
        <v>179</v>
      </c>
      <c r="AD90" s="59">
        <v>1.6037440000000001</v>
      </c>
      <c r="AE90" s="60" t="s">
        <v>179</v>
      </c>
      <c r="AF90" s="59">
        <v>-0.59196300000000002</v>
      </c>
      <c r="AG90" s="60" t="s">
        <v>179</v>
      </c>
      <c r="AH90" s="59" t="s">
        <v>179</v>
      </c>
      <c r="AI90" s="60">
        <v>3.5480139999999998</v>
      </c>
      <c r="AJ90" s="59">
        <v>-0.43319200000000002</v>
      </c>
      <c r="AK90" s="60">
        <v>-2.3935149999999998</v>
      </c>
      <c r="AL90" s="59" t="s">
        <v>179</v>
      </c>
      <c r="AM90" s="60">
        <v>-0.22786000000000001</v>
      </c>
      <c r="AN90" s="59">
        <v>1.5651079999999999</v>
      </c>
      <c r="AO90" s="60" t="s">
        <v>179</v>
      </c>
      <c r="AP90" s="59" t="s">
        <v>179</v>
      </c>
      <c r="AQ90" s="60">
        <v>1.3239829999999999</v>
      </c>
      <c r="AR90" s="59">
        <v>1.524111</v>
      </c>
      <c r="AS90" s="60">
        <v>1.228694</v>
      </c>
      <c r="AT90" s="59" t="s">
        <v>179</v>
      </c>
      <c r="AU90" s="60">
        <v>1.314697</v>
      </c>
      <c r="AV90" s="59" t="s">
        <v>179</v>
      </c>
      <c r="AW90" s="60" t="s">
        <v>179</v>
      </c>
      <c r="AX90" s="59" t="s">
        <v>179</v>
      </c>
      <c r="AY90" s="60" t="s">
        <v>179</v>
      </c>
      <c r="AZ90" s="59" t="s">
        <v>179</v>
      </c>
      <c r="BA90" s="60" t="s">
        <v>179</v>
      </c>
      <c r="BB90" s="59" t="s">
        <v>179</v>
      </c>
      <c r="BC90" s="60" t="s">
        <v>179</v>
      </c>
      <c r="BD90" s="59" t="s">
        <v>179</v>
      </c>
      <c r="BE90" s="60">
        <v>0.71868799999999999</v>
      </c>
    </row>
    <row r="91" spans="1:57" x14ac:dyDescent="0.35">
      <c r="A91" s="240"/>
      <c r="B91" s="240"/>
      <c r="C91" s="58" t="s">
        <v>267</v>
      </c>
      <c r="D91" s="59">
        <v>1.9819929999999999</v>
      </c>
      <c r="E91" s="60">
        <v>1.8923449999999999</v>
      </c>
      <c r="F91" s="59">
        <v>1.682229</v>
      </c>
      <c r="G91" s="60">
        <v>0.49284499999999998</v>
      </c>
      <c r="H91" s="59" t="s">
        <v>179</v>
      </c>
      <c r="I91" s="60" t="s">
        <v>179</v>
      </c>
      <c r="J91" s="59" t="s">
        <v>179</v>
      </c>
      <c r="K91" s="60">
        <v>1.547739</v>
      </c>
      <c r="L91" s="59" t="s">
        <v>179</v>
      </c>
      <c r="M91" s="60">
        <v>0.94234899999999999</v>
      </c>
      <c r="N91" s="59">
        <v>2.4530370000000001</v>
      </c>
      <c r="O91" s="60">
        <v>1.283088</v>
      </c>
      <c r="P91" s="59">
        <v>2.5243470000000001</v>
      </c>
      <c r="Q91" s="60" t="s">
        <v>179</v>
      </c>
      <c r="R91" s="59">
        <v>0.82455100000000003</v>
      </c>
      <c r="S91" s="60">
        <v>1.445659</v>
      </c>
      <c r="T91" s="59" t="s">
        <v>179</v>
      </c>
      <c r="U91" s="60">
        <v>1.8057510000000001</v>
      </c>
      <c r="V91" s="59">
        <v>2.9116580000000001</v>
      </c>
      <c r="W91" s="60">
        <v>3.4524110000000001</v>
      </c>
      <c r="X91" s="59" t="s">
        <v>179</v>
      </c>
      <c r="Y91" s="60" t="s">
        <v>179</v>
      </c>
      <c r="Z91" s="59">
        <v>2.9578980000000001</v>
      </c>
      <c r="AA91" s="60">
        <v>1.244561</v>
      </c>
      <c r="AB91" s="59">
        <v>1.565815</v>
      </c>
      <c r="AC91" s="60" t="s">
        <v>179</v>
      </c>
      <c r="AD91" s="59">
        <v>1.2008890000000001</v>
      </c>
      <c r="AE91" s="60" t="s">
        <v>179</v>
      </c>
      <c r="AF91" s="59">
        <v>-0.183559</v>
      </c>
      <c r="AG91" s="60" t="s">
        <v>179</v>
      </c>
      <c r="AH91" s="59" t="s">
        <v>179</v>
      </c>
      <c r="AI91" s="60">
        <v>-0.33785999999999999</v>
      </c>
      <c r="AJ91" s="59">
        <v>2.6426029999999998</v>
      </c>
      <c r="AK91" s="60">
        <v>3.5186000000000002</v>
      </c>
      <c r="AL91" s="59" t="s">
        <v>179</v>
      </c>
      <c r="AM91" s="60">
        <v>0.77928399999999998</v>
      </c>
      <c r="AN91" s="59">
        <v>0.30400700000000003</v>
      </c>
      <c r="AO91" s="60" t="s">
        <v>179</v>
      </c>
      <c r="AP91" s="59" t="s">
        <v>179</v>
      </c>
      <c r="AQ91" s="60">
        <v>1.0924199999999999</v>
      </c>
      <c r="AR91" s="59">
        <v>0.38676899999999997</v>
      </c>
      <c r="AS91" s="60">
        <v>1.47177</v>
      </c>
      <c r="AT91" s="59" t="s">
        <v>179</v>
      </c>
      <c r="AU91" s="60">
        <v>1.171451</v>
      </c>
      <c r="AV91" s="59" t="s">
        <v>179</v>
      </c>
      <c r="AW91" s="60" t="s">
        <v>179</v>
      </c>
      <c r="AX91" s="59" t="s">
        <v>179</v>
      </c>
      <c r="AY91" s="60" t="s">
        <v>179</v>
      </c>
      <c r="AZ91" s="59" t="s">
        <v>179</v>
      </c>
      <c r="BA91" s="60" t="s">
        <v>179</v>
      </c>
      <c r="BB91" s="59" t="s">
        <v>179</v>
      </c>
      <c r="BC91" s="60" t="s">
        <v>179</v>
      </c>
      <c r="BD91" s="59" t="s">
        <v>179</v>
      </c>
      <c r="BE91" s="60">
        <v>-8.4331000000000003E-2</v>
      </c>
    </row>
    <row r="92" spans="1:57" x14ac:dyDescent="0.35">
      <c r="A92" s="240"/>
      <c r="B92" s="240"/>
      <c r="C92" s="58" t="s">
        <v>268</v>
      </c>
      <c r="D92" s="59">
        <v>1.6541250000000001</v>
      </c>
      <c r="E92" s="60">
        <v>2.4060260000000002</v>
      </c>
      <c r="F92" s="59">
        <v>1.672652</v>
      </c>
      <c r="G92" s="60">
        <v>1.073699</v>
      </c>
      <c r="H92" s="59" t="s">
        <v>179</v>
      </c>
      <c r="I92" s="60" t="s">
        <v>179</v>
      </c>
      <c r="J92" s="59" t="s">
        <v>179</v>
      </c>
      <c r="K92" s="60">
        <v>1.0675539999999999</v>
      </c>
      <c r="L92" s="59" t="s">
        <v>179</v>
      </c>
      <c r="M92" s="60">
        <v>2.772065</v>
      </c>
      <c r="N92" s="59">
        <v>0.945384</v>
      </c>
      <c r="O92" s="60">
        <v>2.1482610000000002</v>
      </c>
      <c r="P92" s="59">
        <v>2.234753</v>
      </c>
      <c r="Q92" s="60" t="s">
        <v>179</v>
      </c>
      <c r="R92" s="59">
        <v>1.2391129999999999</v>
      </c>
      <c r="S92" s="60">
        <v>0.99370000000000003</v>
      </c>
      <c r="T92" s="59" t="s">
        <v>179</v>
      </c>
      <c r="U92" s="60">
        <v>0.23915900000000001</v>
      </c>
      <c r="V92" s="59">
        <v>2.395416</v>
      </c>
      <c r="W92" s="60">
        <v>8.0614620000000006</v>
      </c>
      <c r="X92" s="59" t="s">
        <v>179</v>
      </c>
      <c r="Y92" s="60" t="s">
        <v>179</v>
      </c>
      <c r="Z92" s="59">
        <v>1.483481</v>
      </c>
      <c r="AA92" s="60">
        <v>1.554238</v>
      </c>
      <c r="AB92" s="59">
        <v>2.3258329999999998</v>
      </c>
      <c r="AC92" s="60" t="s">
        <v>179</v>
      </c>
      <c r="AD92" s="59">
        <v>0.81360699999999997</v>
      </c>
      <c r="AE92" s="60" t="s">
        <v>179</v>
      </c>
      <c r="AF92" s="59">
        <v>1.9477469999999999</v>
      </c>
      <c r="AG92" s="60" t="s">
        <v>179</v>
      </c>
      <c r="AH92" s="59" t="s">
        <v>179</v>
      </c>
      <c r="AI92" s="60">
        <v>1.865453</v>
      </c>
      <c r="AJ92" s="59">
        <v>3.838759</v>
      </c>
      <c r="AK92" s="60">
        <v>4.1585570000000001</v>
      </c>
      <c r="AL92" s="59" t="s">
        <v>179</v>
      </c>
      <c r="AM92" s="60">
        <v>0.556446</v>
      </c>
      <c r="AN92" s="59">
        <v>0.66051199999999999</v>
      </c>
      <c r="AO92" s="60" t="s">
        <v>179</v>
      </c>
      <c r="AP92" s="59" t="s">
        <v>179</v>
      </c>
      <c r="AQ92" s="60">
        <v>1.070085</v>
      </c>
      <c r="AR92" s="59">
        <v>0.75762300000000005</v>
      </c>
      <c r="AS92" s="60">
        <v>1.4783219999999999</v>
      </c>
      <c r="AT92" s="59" t="s">
        <v>179</v>
      </c>
      <c r="AU92" s="60">
        <v>1.3039829999999999</v>
      </c>
      <c r="AV92" s="59" t="s">
        <v>179</v>
      </c>
      <c r="AW92" s="60" t="s">
        <v>179</v>
      </c>
      <c r="AX92" s="59" t="s">
        <v>179</v>
      </c>
      <c r="AY92" s="60" t="s">
        <v>179</v>
      </c>
      <c r="AZ92" s="59" t="s">
        <v>179</v>
      </c>
      <c r="BA92" s="60" t="s">
        <v>179</v>
      </c>
      <c r="BB92" s="59" t="s">
        <v>179</v>
      </c>
      <c r="BC92" s="60" t="s">
        <v>179</v>
      </c>
      <c r="BD92" s="59" t="s">
        <v>179</v>
      </c>
      <c r="BE92" s="60">
        <v>4.5667660000000003</v>
      </c>
    </row>
    <row r="93" spans="1:57" x14ac:dyDescent="0.35">
      <c r="A93" s="240"/>
      <c r="B93" s="240"/>
      <c r="C93" s="58" t="s">
        <v>269</v>
      </c>
      <c r="D93" s="59">
        <v>2.304322</v>
      </c>
      <c r="E93" s="60">
        <v>1.017809</v>
      </c>
      <c r="F93" s="59">
        <v>1.654096</v>
      </c>
      <c r="G93" s="60">
        <v>1.4313400000000001</v>
      </c>
      <c r="H93" s="59" t="s">
        <v>179</v>
      </c>
      <c r="I93" s="60" t="s">
        <v>179</v>
      </c>
      <c r="J93" s="59" t="s">
        <v>179</v>
      </c>
      <c r="K93" s="60">
        <v>0.60450499999999996</v>
      </c>
      <c r="L93" s="59" t="s">
        <v>179</v>
      </c>
      <c r="M93" s="60">
        <v>1.4877670000000001</v>
      </c>
      <c r="N93" s="59">
        <v>0.79025199999999995</v>
      </c>
      <c r="O93" s="60">
        <v>1.536743</v>
      </c>
      <c r="P93" s="59">
        <v>1.9335469999999999</v>
      </c>
      <c r="Q93" s="60" t="s">
        <v>179</v>
      </c>
      <c r="R93" s="59">
        <v>1.6627419999999999</v>
      </c>
      <c r="S93" s="60">
        <v>0.51954100000000003</v>
      </c>
      <c r="T93" s="59" t="s">
        <v>179</v>
      </c>
      <c r="U93" s="60">
        <v>-2.0213380000000001</v>
      </c>
      <c r="V93" s="59">
        <v>3.9030130000000001</v>
      </c>
      <c r="W93" s="60">
        <v>2.0109599999999999</v>
      </c>
      <c r="X93" s="59" t="s">
        <v>179</v>
      </c>
      <c r="Y93" s="60" t="s">
        <v>179</v>
      </c>
      <c r="Z93" s="59">
        <v>-1.6202999999999999E-2</v>
      </c>
      <c r="AA93" s="60">
        <v>1.864179</v>
      </c>
      <c r="AB93" s="59">
        <v>3.002685</v>
      </c>
      <c r="AC93" s="60" t="s">
        <v>179</v>
      </c>
      <c r="AD93" s="59">
        <v>0.43696299999999999</v>
      </c>
      <c r="AE93" s="60" t="s">
        <v>179</v>
      </c>
      <c r="AF93" s="59">
        <v>2.637683</v>
      </c>
      <c r="AG93" s="60" t="s">
        <v>179</v>
      </c>
      <c r="AH93" s="59" t="s">
        <v>179</v>
      </c>
      <c r="AI93" s="60">
        <v>1.119478</v>
      </c>
      <c r="AJ93" s="59">
        <v>0.71857400000000005</v>
      </c>
      <c r="AK93" s="60">
        <v>-0.223326</v>
      </c>
      <c r="AL93" s="59" t="s">
        <v>179</v>
      </c>
      <c r="AM93" s="60">
        <v>0.48570099999999999</v>
      </c>
      <c r="AN93" s="59">
        <v>-0.48768499999999998</v>
      </c>
      <c r="AO93" s="60" t="s">
        <v>179</v>
      </c>
      <c r="AP93" s="59" t="s">
        <v>179</v>
      </c>
      <c r="AQ93" s="60">
        <v>0.48475200000000002</v>
      </c>
      <c r="AR93" s="59">
        <v>-0.16661999999999999</v>
      </c>
      <c r="AS93" s="60">
        <v>0.68627499999999997</v>
      </c>
      <c r="AT93" s="59" t="s">
        <v>179</v>
      </c>
      <c r="AU93" s="60">
        <v>0.69055500000000003</v>
      </c>
      <c r="AV93" s="59" t="s">
        <v>179</v>
      </c>
      <c r="AW93" s="60" t="s">
        <v>179</v>
      </c>
      <c r="AX93" s="59" t="s">
        <v>179</v>
      </c>
      <c r="AY93" s="60" t="s">
        <v>179</v>
      </c>
      <c r="AZ93" s="59" t="s">
        <v>179</v>
      </c>
      <c r="BA93" s="60" t="s">
        <v>179</v>
      </c>
      <c r="BB93" s="59" t="s">
        <v>179</v>
      </c>
      <c r="BC93" s="60" t="s">
        <v>179</v>
      </c>
      <c r="BD93" s="59" t="s">
        <v>179</v>
      </c>
      <c r="BE93" s="60">
        <v>-1.349817</v>
      </c>
    </row>
    <row r="94" spans="1:57" x14ac:dyDescent="0.35">
      <c r="A94" s="240"/>
      <c r="B94" s="240"/>
      <c r="C94" s="58" t="s">
        <v>270</v>
      </c>
      <c r="D94" s="59">
        <v>2.0776949999999998</v>
      </c>
      <c r="E94" s="60">
        <v>1.88764</v>
      </c>
      <c r="F94" s="59">
        <v>1.606117</v>
      </c>
      <c r="G94" s="60">
        <v>0.64617400000000003</v>
      </c>
      <c r="H94" s="59" t="s">
        <v>179</v>
      </c>
      <c r="I94" s="60" t="s">
        <v>179</v>
      </c>
      <c r="J94" s="59" t="s">
        <v>179</v>
      </c>
      <c r="K94" s="60">
        <v>0.15185100000000001</v>
      </c>
      <c r="L94" s="59" t="s">
        <v>179</v>
      </c>
      <c r="M94" s="60">
        <v>0.86833899999999997</v>
      </c>
      <c r="N94" s="59">
        <v>1.9113739999999999</v>
      </c>
      <c r="O94" s="60">
        <v>-1.5956619999999999</v>
      </c>
      <c r="P94" s="59">
        <v>0.98927299999999996</v>
      </c>
      <c r="Q94" s="60" t="s">
        <v>179</v>
      </c>
      <c r="R94" s="59">
        <v>-2.711694</v>
      </c>
      <c r="S94" s="60">
        <v>1.700898</v>
      </c>
      <c r="T94" s="59" t="s">
        <v>179</v>
      </c>
      <c r="U94" s="60">
        <v>5.9964579999999996</v>
      </c>
      <c r="V94" s="59">
        <v>3.0640740000000002</v>
      </c>
      <c r="W94" s="60">
        <v>-1.69438</v>
      </c>
      <c r="X94" s="59" t="s">
        <v>179</v>
      </c>
      <c r="Y94" s="60" t="s">
        <v>179</v>
      </c>
      <c r="Z94" s="59">
        <v>0.57022899999999999</v>
      </c>
      <c r="AA94" s="60">
        <v>1.80921</v>
      </c>
      <c r="AB94" s="59">
        <v>-1.492127</v>
      </c>
      <c r="AC94" s="60" t="s">
        <v>179</v>
      </c>
      <c r="AD94" s="59">
        <v>6.6650000000000001E-2</v>
      </c>
      <c r="AE94" s="60" t="s">
        <v>179</v>
      </c>
      <c r="AF94" s="59">
        <v>2.9174709999999999</v>
      </c>
      <c r="AG94" s="60" t="s">
        <v>179</v>
      </c>
      <c r="AH94" s="59" t="s">
        <v>179</v>
      </c>
      <c r="AI94" s="60">
        <v>1.8696649999999999</v>
      </c>
      <c r="AJ94" s="59">
        <v>1.335154</v>
      </c>
      <c r="AK94" s="60">
        <v>1.9961420000000001</v>
      </c>
      <c r="AL94" s="59" t="s">
        <v>179</v>
      </c>
      <c r="AM94" s="60">
        <v>-0.63971599999999995</v>
      </c>
      <c r="AN94" s="59">
        <v>-0.14848500000000001</v>
      </c>
      <c r="AO94" s="60" t="s">
        <v>179</v>
      </c>
      <c r="AP94" s="59" t="s">
        <v>179</v>
      </c>
      <c r="AQ94" s="60">
        <v>0.72760499999999995</v>
      </c>
      <c r="AR94" s="59">
        <v>6.1089999999999998E-2</v>
      </c>
      <c r="AS94" s="60">
        <v>1.014135</v>
      </c>
      <c r="AT94" s="59" t="s">
        <v>179</v>
      </c>
      <c r="AU94" s="60">
        <v>0.82636799999999999</v>
      </c>
      <c r="AV94" s="59" t="s">
        <v>179</v>
      </c>
      <c r="AW94" s="60" t="s">
        <v>179</v>
      </c>
      <c r="AX94" s="59" t="s">
        <v>179</v>
      </c>
      <c r="AY94" s="60" t="s">
        <v>179</v>
      </c>
      <c r="AZ94" s="59" t="s">
        <v>179</v>
      </c>
      <c r="BA94" s="60" t="s">
        <v>179</v>
      </c>
      <c r="BB94" s="59" t="s">
        <v>179</v>
      </c>
      <c r="BC94" s="60" t="s">
        <v>179</v>
      </c>
      <c r="BD94" s="59" t="s">
        <v>179</v>
      </c>
      <c r="BE94" s="60">
        <v>2.1524909999999999</v>
      </c>
    </row>
    <row r="95" spans="1:57" x14ac:dyDescent="0.35">
      <c r="A95" s="240"/>
      <c r="B95" s="240"/>
      <c r="C95" s="58" t="s">
        <v>271</v>
      </c>
      <c r="D95" s="59">
        <v>2.012149</v>
      </c>
      <c r="E95" s="60">
        <v>2.5910389999999999</v>
      </c>
      <c r="F95" s="59">
        <v>1.5753490000000001</v>
      </c>
      <c r="G95" s="60">
        <v>-4.058E-3</v>
      </c>
      <c r="H95" s="59" t="s">
        <v>179</v>
      </c>
      <c r="I95" s="60" t="s">
        <v>179</v>
      </c>
      <c r="J95" s="59" t="s">
        <v>179</v>
      </c>
      <c r="K95" s="60">
        <v>0.258884</v>
      </c>
      <c r="L95" s="59" t="s">
        <v>179</v>
      </c>
      <c r="M95" s="60">
        <v>3.4618530000000001</v>
      </c>
      <c r="N95" s="59">
        <v>1.262038</v>
      </c>
      <c r="O95" s="60">
        <v>3.9758179999999999</v>
      </c>
      <c r="P95" s="59">
        <v>3.6899169999999999</v>
      </c>
      <c r="Q95" s="60" t="s">
        <v>179</v>
      </c>
      <c r="R95" s="59">
        <v>6.1509689999999999</v>
      </c>
      <c r="S95" s="60">
        <v>-0.59019500000000003</v>
      </c>
      <c r="T95" s="59" t="s">
        <v>179</v>
      </c>
      <c r="U95" s="60">
        <v>0.72998700000000005</v>
      </c>
      <c r="V95" s="59">
        <v>1.2126459999999999</v>
      </c>
      <c r="W95" s="60">
        <v>4.0211110000000003</v>
      </c>
      <c r="X95" s="59" t="s">
        <v>179</v>
      </c>
      <c r="Y95" s="60" t="s">
        <v>179</v>
      </c>
      <c r="Z95" s="59">
        <v>-0.50226300000000001</v>
      </c>
      <c r="AA95" s="60">
        <v>1.7683139999999999</v>
      </c>
      <c r="AB95" s="59">
        <v>2.7293270000000001</v>
      </c>
      <c r="AC95" s="60" t="s">
        <v>179</v>
      </c>
      <c r="AD95" s="59">
        <v>0.38257600000000003</v>
      </c>
      <c r="AE95" s="60" t="s">
        <v>179</v>
      </c>
      <c r="AF95" s="59">
        <v>2.9933260000000002</v>
      </c>
      <c r="AG95" s="60" t="s">
        <v>179</v>
      </c>
      <c r="AH95" s="59" t="s">
        <v>179</v>
      </c>
      <c r="AI95" s="60">
        <v>0.15886400000000001</v>
      </c>
      <c r="AJ95" s="59">
        <v>0.76995800000000003</v>
      </c>
      <c r="AK95" s="60">
        <v>1.1864410000000001</v>
      </c>
      <c r="AL95" s="59" t="s">
        <v>179</v>
      </c>
      <c r="AM95" s="60">
        <v>2.3708740000000001</v>
      </c>
      <c r="AN95" s="59">
        <v>0.14191999999999999</v>
      </c>
      <c r="AO95" s="60" t="s">
        <v>179</v>
      </c>
      <c r="AP95" s="59" t="s">
        <v>179</v>
      </c>
      <c r="AQ95" s="60">
        <v>1.0939570000000001</v>
      </c>
      <c r="AR95" s="59">
        <v>0.25514199999999998</v>
      </c>
      <c r="AS95" s="60">
        <v>2.0200520000000002</v>
      </c>
      <c r="AT95" s="59" t="s">
        <v>179</v>
      </c>
      <c r="AU95" s="60">
        <v>1.1976420000000001</v>
      </c>
      <c r="AV95" s="59" t="s">
        <v>179</v>
      </c>
      <c r="AW95" s="60" t="s">
        <v>179</v>
      </c>
      <c r="AX95" s="59" t="s">
        <v>179</v>
      </c>
      <c r="AY95" s="60" t="s">
        <v>179</v>
      </c>
      <c r="AZ95" s="59" t="s">
        <v>179</v>
      </c>
      <c r="BA95" s="60" t="s">
        <v>179</v>
      </c>
      <c r="BB95" s="59" t="s">
        <v>179</v>
      </c>
      <c r="BC95" s="60" t="s">
        <v>179</v>
      </c>
      <c r="BD95" s="59" t="s">
        <v>179</v>
      </c>
      <c r="BE95" s="60">
        <v>2.0405880000000001</v>
      </c>
    </row>
    <row r="96" spans="1:57" x14ac:dyDescent="0.35">
      <c r="A96" s="240"/>
      <c r="B96" s="240"/>
      <c r="C96" s="58" t="s">
        <v>272</v>
      </c>
      <c r="D96" s="59">
        <v>-0.20791499999999999</v>
      </c>
      <c r="E96" s="60">
        <v>1.93573</v>
      </c>
      <c r="F96" s="59">
        <v>1.176552</v>
      </c>
      <c r="G96" s="60">
        <v>1.032505</v>
      </c>
      <c r="H96" s="59" t="s">
        <v>179</v>
      </c>
      <c r="I96" s="60" t="s">
        <v>179</v>
      </c>
      <c r="J96" s="59" t="s">
        <v>179</v>
      </c>
      <c r="K96" s="60">
        <v>0.36521999999999999</v>
      </c>
      <c r="L96" s="59" t="s">
        <v>179</v>
      </c>
      <c r="M96" s="60">
        <v>1.8677330000000001</v>
      </c>
      <c r="N96" s="59">
        <v>1.3772390000000001</v>
      </c>
      <c r="O96" s="60">
        <v>1.8678360000000001</v>
      </c>
      <c r="P96" s="59">
        <v>1.8919840000000001</v>
      </c>
      <c r="Q96" s="60" t="s">
        <v>179</v>
      </c>
      <c r="R96" s="59">
        <v>4.8179230000000004</v>
      </c>
      <c r="S96" s="60">
        <v>1.9109999999999999E-2</v>
      </c>
      <c r="T96" s="59" t="s">
        <v>179</v>
      </c>
      <c r="U96" s="60">
        <v>2.006338</v>
      </c>
      <c r="V96" s="59">
        <v>2.6807970000000001</v>
      </c>
      <c r="W96" s="60">
        <v>0.61861900000000003</v>
      </c>
      <c r="X96" s="59" t="s">
        <v>179</v>
      </c>
      <c r="Y96" s="60" t="s">
        <v>179</v>
      </c>
      <c r="Z96" s="59">
        <v>-5.7051999999999999E-2</v>
      </c>
      <c r="AA96" s="60">
        <v>1.243409</v>
      </c>
      <c r="AB96" s="59">
        <v>1.530089</v>
      </c>
      <c r="AC96" s="60" t="s">
        <v>179</v>
      </c>
      <c r="AD96" s="59">
        <v>0.695855</v>
      </c>
      <c r="AE96" s="60" t="s">
        <v>179</v>
      </c>
      <c r="AF96" s="59">
        <v>0.64610699999999999</v>
      </c>
      <c r="AG96" s="60" t="s">
        <v>179</v>
      </c>
      <c r="AH96" s="59" t="s">
        <v>179</v>
      </c>
      <c r="AI96" s="60">
        <v>0.51108299999999995</v>
      </c>
      <c r="AJ96" s="59">
        <v>2.9206829999999999</v>
      </c>
      <c r="AK96" s="60">
        <v>1.3967689999999999</v>
      </c>
      <c r="AL96" s="59" t="s">
        <v>179</v>
      </c>
      <c r="AM96" s="60">
        <v>0.99696499999999999</v>
      </c>
      <c r="AN96" s="59">
        <v>0.92157500000000003</v>
      </c>
      <c r="AO96" s="60" t="s">
        <v>179</v>
      </c>
      <c r="AP96" s="59" t="s">
        <v>179</v>
      </c>
      <c r="AQ96" s="60">
        <v>1.423996</v>
      </c>
      <c r="AR96" s="59">
        <v>0.95530700000000002</v>
      </c>
      <c r="AS96" s="60">
        <v>1.488248</v>
      </c>
      <c r="AT96" s="59" t="s">
        <v>179</v>
      </c>
      <c r="AU96" s="60">
        <v>1.355874</v>
      </c>
      <c r="AV96" s="59" t="s">
        <v>179</v>
      </c>
      <c r="AW96" s="60" t="s">
        <v>179</v>
      </c>
      <c r="AX96" s="59" t="s">
        <v>179</v>
      </c>
      <c r="AY96" s="60" t="s">
        <v>179</v>
      </c>
      <c r="AZ96" s="59" t="s">
        <v>179</v>
      </c>
      <c r="BA96" s="60" t="s">
        <v>179</v>
      </c>
      <c r="BB96" s="59" t="s">
        <v>179</v>
      </c>
      <c r="BC96" s="60" t="s">
        <v>179</v>
      </c>
      <c r="BD96" s="59" t="s">
        <v>179</v>
      </c>
      <c r="BE96" s="60">
        <v>-1.154461</v>
      </c>
    </row>
    <row r="97" spans="1:57" x14ac:dyDescent="0.35">
      <c r="A97" s="240"/>
      <c r="B97" s="240"/>
      <c r="C97" s="58" t="s">
        <v>273</v>
      </c>
      <c r="D97" s="59">
        <v>0.47792200000000001</v>
      </c>
      <c r="E97" s="60">
        <v>1.242164</v>
      </c>
      <c r="F97" s="59">
        <v>0.75863000000000003</v>
      </c>
      <c r="G97" s="60">
        <v>0.17829999999999999</v>
      </c>
      <c r="H97" s="59" t="s">
        <v>179</v>
      </c>
      <c r="I97" s="60" t="s">
        <v>179</v>
      </c>
      <c r="J97" s="59" t="s">
        <v>179</v>
      </c>
      <c r="K97" s="60">
        <v>0.47050700000000001</v>
      </c>
      <c r="L97" s="59" t="s">
        <v>179</v>
      </c>
      <c r="M97" s="60">
        <v>1.012939</v>
      </c>
      <c r="N97" s="59">
        <v>1.5701860000000001</v>
      </c>
      <c r="O97" s="60">
        <v>0.847607</v>
      </c>
      <c r="P97" s="59">
        <v>-0.56579999999999997</v>
      </c>
      <c r="Q97" s="60" t="s">
        <v>179</v>
      </c>
      <c r="R97" s="59">
        <v>3.756189</v>
      </c>
      <c r="S97" s="60">
        <v>0.55268200000000001</v>
      </c>
      <c r="T97" s="59" t="s">
        <v>179</v>
      </c>
      <c r="U97" s="60">
        <v>0.111821</v>
      </c>
      <c r="V97" s="59">
        <v>-0.32200800000000002</v>
      </c>
      <c r="W97" s="60">
        <v>7.7044639999999998</v>
      </c>
      <c r="X97" s="59" t="s">
        <v>179</v>
      </c>
      <c r="Y97" s="60" t="s">
        <v>179</v>
      </c>
      <c r="Z97" s="59">
        <v>0.35755900000000002</v>
      </c>
      <c r="AA97" s="60">
        <v>0.69679000000000002</v>
      </c>
      <c r="AB97" s="59">
        <v>2.0753180000000002</v>
      </c>
      <c r="AC97" s="60" t="s">
        <v>179</v>
      </c>
      <c r="AD97" s="59">
        <v>1.003665</v>
      </c>
      <c r="AE97" s="60" t="s">
        <v>179</v>
      </c>
      <c r="AF97" s="59">
        <v>1.7724979999999999</v>
      </c>
      <c r="AG97" s="60" t="s">
        <v>179</v>
      </c>
      <c r="AH97" s="59" t="s">
        <v>179</v>
      </c>
      <c r="AI97" s="60">
        <v>0.78902799999999995</v>
      </c>
      <c r="AJ97" s="59">
        <v>0.46252100000000002</v>
      </c>
      <c r="AK97" s="60">
        <v>0.404999</v>
      </c>
      <c r="AL97" s="59" t="s">
        <v>179</v>
      </c>
      <c r="AM97" s="60">
        <v>0.86769099999999999</v>
      </c>
      <c r="AN97" s="59">
        <v>-1.071644</v>
      </c>
      <c r="AO97" s="60" t="s">
        <v>179</v>
      </c>
      <c r="AP97" s="59" t="s">
        <v>179</v>
      </c>
      <c r="AQ97" s="60">
        <v>-0.19356599999999999</v>
      </c>
      <c r="AR97" s="59">
        <v>-0.83567199999999997</v>
      </c>
      <c r="AS97" s="60">
        <v>0.87348499999999996</v>
      </c>
      <c r="AT97" s="59" t="s">
        <v>179</v>
      </c>
      <c r="AU97" s="60">
        <v>7.1177000000000004E-2</v>
      </c>
      <c r="AV97" s="59" t="s">
        <v>179</v>
      </c>
      <c r="AW97" s="60" t="s">
        <v>179</v>
      </c>
      <c r="AX97" s="59" t="s">
        <v>179</v>
      </c>
      <c r="AY97" s="60" t="s">
        <v>179</v>
      </c>
      <c r="AZ97" s="59" t="s">
        <v>179</v>
      </c>
      <c r="BA97" s="60" t="s">
        <v>179</v>
      </c>
      <c r="BB97" s="59" t="s">
        <v>179</v>
      </c>
      <c r="BC97" s="60" t="s">
        <v>179</v>
      </c>
      <c r="BD97" s="59" t="s">
        <v>179</v>
      </c>
      <c r="BE97" s="60">
        <v>3.5184989999999998</v>
      </c>
    </row>
    <row r="98" spans="1:57" x14ac:dyDescent="0.35">
      <c r="A98" s="240"/>
      <c r="B98" s="240"/>
      <c r="C98" s="58" t="s">
        <v>274</v>
      </c>
      <c r="D98" s="59">
        <v>1.2086760000000001</v>
      </c>
      <c r="E98" s="60">
        <v>0.17111599999999999</v>
      </c>
      <c r="F98" s="59">
        <v>0.74286200000000002</v>
      </c>
      <c r="G98" s="60">
        <v>-0.57369499999999995</v>
      </c>
      <c r="H98" s="59" t="s">
        <v>179</v>
      </c>
      <c r="I98" s="60" t="s">
        <v>179</v>
      </c>
      <c r="J98" s="59" t="s">
        <v>179</v>
      </c>
      <c r="K98" s="60">
        <v>0.57441900000000001</v>
      </c>
      <c r="L98" s="59" t="s">
        <v>179</v>
      </c>
      <c r="M98" s="60">
        <v>-4.6504490000000001</v>
      </c>
      <c r="N98" s="59">
        <v>0.129083</v>
      </c>
      <c r="O98" s="60">
        <v>-1.921103</v>
      </c>
      <c r="P98" s="59">
        <v>2.6174900000000001</v>
      </c>
      <c r="Q98" s="60" t="s">
        <v>179</v>
      </c>
      <c r="R98" s="59">
        <v>2.8625250000000002</v>
      </c>
      <c r="S98" s="60">
        <v>0.98966399999999999</v>
      </c>
      <c r="T98" s="59" t="s">
        <v>179</v>
      </c>
      <c r="U98" s="60">
        <v>-0.52304099999999998</v>
      </c>
      <c r="V98" s="59">
        <v>0.910972</v>
      </c>
      <c r="W98" s="60">
        <v>0.56098499999999996</v>
      </c>
      <c r="X98" s="59" t="s">
        <v>179</v>
      </c>
      <c r="Y98" s="60" t="s">
        <v>179</v>
      </c>
      <c r="Z98" s="59">
        <v>0.72943000000000002</v>
      </c>
      <c r="AA98" s="60">
        <v>0.68551499999999999</v>
      </c>
      <c r="AB98" s="59">
        <v>0.48835600000000001</v>
      </c>
      <c r="AC98" s="60" t="s">
        <v>179</v>
      </c>
      <c r="AD98" s="59">
        <v>1.3032029999999999</v>
      </c>
      <c r="AE98" s="60" t="s">
        <v>179</v>
      </c>
      <c r="AF98" s="59">
        <v>-2.2925999999999998E-2</v>
      </c>
      <c r="AG98" s="60" t="s">
        <v>179</v>
      </c>
      <c r="AH98" s="59" t="s">
        <v>179</v>
      </c>
      <c r="AI98" s="60">
        <v>0.780918</v>
      </c>
      <c r="AJ98" s="59">
        <v>-1.0890089999999999</v>
      </c>
      <c r="AK98" s="60">
        <v>1.1145609999999999</v>
      </c>
      <c r="AL98" s="59" t="s">
        <v>179</v>
      </c>
      <c r="AM98" s="60">
        <v>-0.57109799999999999</v>
      </c>
      <c r="AN98" s="59">
        <v>2.7159909999999998</v>
      </c>
      <c r="AO98" s="60" t="s">
        <v>179</v>
      </c>
      <c r="AP98" s="59" t="s">
        <v>179</v>
      </c>
      <c r="AQ98" s="60">
        <v>0.95926800000000001</v>
      </c>
      <c r="AR98" s="59">
        <v>2.296224</v>
      </c>
      <c r="AS98" s="60">
        <v>-0.39482899999999999</v>
      </c>
      <c r="AT98" s="59" t="s">
        <v>179</v>
      </c>
      <c r="AU98" s="60">
        <v>0.892432</v>
      </c>
      <c r="AV98" s="59" t="s">
        <v>179</v>
      </c>
      <c r="AW98" s="60" t="s">
        <v>179</v>
      </c>
      <c r="AX98" s="59" t="s">
        <v>179</v>
      </c>
      <c r="AY98" s="60" t="s">
        <v>179</v>
      </c>
      <c r="AZ98" s="59" t="s">
        <v>179</v>
      </c>
      <c r="BA98" s="60" t="s">
        <v>179</v>
      </c>
      <c r="BB98" s="59" t="s">
        <v>179</v>
      </c>
      <c r="BC98" s="60" t="s">
        <v>179</v>
      </c>
      <c r="BD98" s="59" t="s">
        <v>179</v>
      </c>
      <c r="BE98" s="60">
        <v>1.481128</v>
      </c>
    </row>
    <row r="99" spans="1:57" x14ac:dyDescent="0.35">
      <c r="A99" s="240"/>
      <c r="B99" s="240"/>
      <c r="C99" s="58" t="s">
        <v>275</v>
      </c>
      <c r="D99" s="59">
        <v>0.43222699999999997</v>
      </c>
      <c r="E99" s="60">
        <v>2.154849</v>
      </c>
      <c r="F99" s="59">
        <v>0.73507800000000001</v>
      </c>
      <c r="G99" s="60">
        <v>2.9006289999999999</v>
      </c>
      <c r="H99" s="59" t="s">
        <v>179</v>
      </c>
      <c r="I99" s="60" t="s">
        <v>179</v>
      </c>
      <c r="J99" s="59" t="s">
        <v>179</v>
      </c>
      <c r="K99" s="60">
        <v>0.81653500000000001</v>
      </c>
      <c r="L99" s="59" t="s">
        <v>179</v>
      </c>
      <c r="M99" s="60">
        <v>6.0944929999999999</v>
      </c>
      <c r="N99" s="59">
        <v>1.821987</v>
      </c>
      <c r="O99" s="60">
        <v>2.0986410000000002</v>
      </c>
      <c r="P99" s="59">
        <v>2.3163200000000002</v>
      </c>
      <c r="Q99" s="60" t="s">
        <v>179</v>
      </c>
      <c r="R99" s="59">
        <v>2.2600760000000002</v>
      </c>
      <c r="S99" s="60">
        <v>1.2927649999999999</v>
      </c>
      <c r="T99" s="59" t="s">
        <v>179</v>
      </c>
      <c r="U99" s="60">
        <v>0.42199199999999998</v>
      </c>
      <c r="V99" s="59">
        <v>1.6131260000000001</v>
      </c>
      <c r="W99" s="60">
        <v>3.2574230000000002</v>
      </c>
      <c r="X99" s="59" t="s">
        <v>179</v>
      </c>
      <c r="Y99" s="60" t="s">
        <v>179</v>
      </c>
      <c r="Z99" s="59">
        <v>1.022278</v>
      </c>
      <c r="AA99" s="60">
        <v>0.67591599999999996</v>
      </c>
      <c r="AB99" s="59">
        <v>0.85825099999999999</v>
      </c>
      <c r="AC99" s="60" t="s">
        <v>179</v>
      </c>
      <c r="AD99" s="59">
        <v>1.320492</v>
      </c>
      <c r="AE99" s="60" t="s">
        <v>179</v>
      </c>
      <c r="AF99" s="59">
        <v>3.9647320000000001</v>
      </c>
      <c r="AG99" s="60" t="s">
        <v>179</v>
      </c>
      <c r="AH99" s="59" t="s">
        <v>179</v>
      </c>
      <c r="AI99" s="60">
        <v>1.950593</v>
      </c>
      <c r="AJ99" s="59">
        <v>-1.175994</v>
      </c>
      <c r="AK99" s="60">
        <v>1.5904259999999999</v>
      </c>
      <c r="AL99" s="59" t="s">
        <v>179</v>
      </c>
      <c r="AM99" s="60">
        <v>1.778524</v>
      </c>
      <c r="AN99" s="59">
        <v>0.54111200000000004</v>
      </c>
      <c r="AO99" s="60" t="s">
        <v>179</v>
      </c>
      <c r="AP99" s="59" t="s">
        <v>179</v>
      </c>
      <c r="AQ99" s="60">
        <v>1.1834739999999999</v>
      </c>
      <c r="AR99" s="59">
        <v>0.73207599999999995</v>
      </c>
      <c r="AS99" s="60">
        <v>1.5716399999999999</v>
      </c>
      <c r="AT99" s="59" t="s">
        <v>179</v>
      </c>
      <c r="AU99" s="60">
        <v>1.216116</v>
      </c>
      <c r="AV99" s="59" t="s">
        <v>179</v>
      </c>
      <c r="AW99" s="60" t="s">
        <v>179</v>
      </c>
      <c r="AX99" s="59" t="s">
        <v>179</v>
      </c>
      <c r="AY99" s="60" t="s">
        <v>179</v>
      </c>
      <c r="AZ99" s="59" t="s">
        <v>179</v>
      </c>
      <c r="BA99" s="60" t="s">
        <v>179</v>
      </c>
      <c r="BB99" s="59" t="s">
        <v>179</v>
      </c>
      <c r="BC99" s="60" t="s">
        <v>179</v>
      </c>
      <c r="BD99" s="59" t="s">
        <v>179</v>
      </c>
      <c r="BE99" s="60">
        <v>-0.81523000000000001</v>
      </c>
    </row>
    <row r="100" spans="1:57" x14ac:dyDescent="0.35">
      <c r="A100" s="240"/>
      <c r="B100" s="240"/>
      <c r="C100" s="58" t="s">
        <v>276</v>
      </c>
      <c r="D100" s="59">
        <v>3.1423079999999999</v>
      </c>
      <c r="E100" s="60">
        <v>1.6039890000000001</v>
      </c>
      <c r="F100" s="59">
        <v>1.041139</v>
      </c>
      <c r="G100" s="60">
        <v>2.780357</v>
      </c>
      <c r="H100" s="59" t="s">
        <v>179</v>
      </c>
      <c r="I100" s="60" t="s">
        <v>179</v>
      </c>
      <c r="J100" s="59" t="s">
        <v>179</v>
      </c>
      <c r="K100" s="60">
        <v>1.0533129999999999</v>
      </c>
      <c r="L100" s="59" t="s">
        <v>179</v>
      </c>
      <c r="M100" s="60">
        <v>-2.5946E-2</v>
      </c>
      <c r="N100" s="59">
        <v>1.630601</v>
      </c>
      <c r="O100" s="60">
        <v>1.730037</v>
      </c>
      <c r="P100" s="59">
        <v>4.660787</v>
      </c>
      <c r="Q100" s="60" t="s">
        <v>179</v>
      </c>
      <c r="R100" s="59">
        <v>1.8321689999999999</v>
      </c>
      <c r="S100" s="60">
        <v>1.5325770000000001</v>
      </c>
      <c r="T100" s="59" t="s">
        <v>179</v>
      </c>
      <c r="U100" s="60">
        <v>1.4647760000000001</v>
      </c>
      <c r="V100" s="59">
        <v>1.2184429999999999</v>
      </c>
      <c r="W100" s="60">
        <v>0.19323399999999999</v>
      </c>
      <c r="X100" s="59" t="s">
        <v>179</v>
      </c>
      <c r="Y100" s="60" t="s">
        <v>179</v>
      </c>
      <c r="Z100" s="59">
        <v>1.295415</v>
      </c>
      <c r="AA100" s="60">
        <v>1.492963</v>
      </c>
      <c r="AB100" s="59">
        <v>0.67431300000000005</v>
      </c>
      <c r="AC100" s="60" t="s">
        <v>179</v>
      </c>
      <c r="AD100" s="59">
        <v>1.336919</v>
      </c>
      <c r="AE100" s="60" t="s">
        <v>179</v>
      </c>
      <c r="AF100" s="59">
        <v>0.58097699999999997</v>
      </c>
      <c r="AG100" s="60" t="s">
        <v>179</v>
      </c>
      <c r="AH100" s="59" t="s">
        <v>179</v>
      </c>
      <c r="AI100" s="60">
        <v>1.8399019999999999</v>
      </c>
      <c r="AJ100" s="59">
        <v>1.827542</v>
      </c>
      <c r="AK100" s="60">
        <v>0.61742699999999995</v>
      </c>
      <c r="AL100" s="59" t="s">
        <v>179</v>
      </c>
      <c r="AM100" s="60">
        <v>1.759962</v>
      </c>
      <c r="AN100" s="59">
        <v>0.82298499999999997</v>
      </c>
      <c r="AO100" s="60" t="s">
        <v>179</v>
      </c>
      <c r="AP100" s="59" t="s">
        <v>179</v>
      </c>
      <c r="AQ100" s="60">
        <v>1.2722020000000001</v>
      </c>
      <c r="AR100" s="59">
        <v>1.030624</v>
      </c>
      <c r="AS100" s="60">
        <v>1.599823</v>
      </c>
      <c r="AT100" s="59" t="s">
        <v>179</v>
      </c>
      <c r="AU100" s="60">
        <v>1.3386210000000001</v>
      </c>
      <c r="AV100" s="59" t="s">
        <v>179</v>
      </c>
      <c r="AW100" s="60" t="s">
        <v>179</v>
      </c>
      <c r="AX100" s="59" t="s">
        <v>179</v>
      </c>
      <c r="AY100" s="60" t="s">
        <v>179</v>
      </c>
      <c r="AZ100" s="59" t="s">
        <v>179</v>
      </c>
      <c r="BA100" s="60" t="s">
        <v>179</v>
      </c>
      <c r="BB100" s="59" t="s">
        <v>179</v>
      </c>
      <c r="BC100" s="60" t="s">
        <v>179</v>
      </c>
      <c r="BD100" s="59" t="s">
        <v>179</v>
      </c>
      <c r="BE100" s="60">
        <v>1.302659</v>
      </c>
    </row>
    <row r="101" spans="1:57" x14ac:dyDescent="0.35">
      <c r="A101" s="240"/>
      <c r="B101" s="240"/>
      <c r="C101" s="58" t="s">
        <v>277</v>
      </c>
      <c r="D101" s="59">
        <v>-0.32270100000000002</v>
      </c>
      <c r="E101" s="60">
        <v>-0.36443500000000001</v>
      </c>
      <c r="F101" s="59">
        <v>1.3546260000000001</v>
      </c>
      <c r="G101" s="60">
        <v>1.105731</v>
      </c>
      <c r="H101" s="59" t="s">
        <v>179</v>
      </c>
      <c r="I101" s="60" t="s">
        <v>179</v>
      </c>
      <c r="J101" s="59" t="s">
        <v>179</v>
      </c>
      <c r="K101" s="60">
        <v>1.2832060000000001</v>
      </c>
      <c r="L101" s="59" t="s">
        <v>179</v>
      </c>
      <c r="M101" s="60">
        <v>-0.61189400000000005</v>
      </c>
      <c r="N101" s="59">
        <v>0.85678100000000001</v>
      </c>
      <c r="O101" s="60">
        <v>-8.4182000000000007E-2</v>
      </c>
      <c r="P101" s="59">
        <v>-1.812362</v>
      </c>
      <c r="Q101" s="60" t="s">
        <v>179</v>
      </c>
      <c r="R101" s="59">
        <v>1.534907</v>
      </c>
      <c r="S101" s="60">
        <v>1.6695500000000001</v>
      </c>
      <c r="T101" s="59" t="s">
        <v>179</v>
      </c>
      <c r="U101" s="60">
        <v>0.56453500000000001</v>
      </c>
      <c r="V101" s="59">
        <v>0.91105000000000003</v>
      </c>
      <c r="W101" s="60">
        <v>0.75101399999999996</v>
      </c>
      <c r="X101" s="59" t="s">
        <v>179</v>
      </c>
      <c r="Y101" s="60" t="s">
        <v>179</v>
      </c>
      <c r="Z101" s="59">
        <v>1.515131</v>
      </c>
      <c r="AA101" s="60">
        <v>2.3302499999999999</v>
      </c>
      <c r="AB101" s="59">
        <v>-1.106228</v>
      </c>
      <c r="AC101" s="60" t="s">
        <v>179</v>
      </c>
      <c r="AD101" s="59">
        <v>1.3524750000000001</v>
      </c>
      <c r="AE101" s="60" t="s">
        <v>179</v>
      </c>
      <c r="AF101" s="59">
        <v>3.4214540000000002</v>
      </c>
      <c r="AG101" s="60" t="s">
        <v>179</v>
      </c>
      <c r="AH101" s="59" t="s">
        <v>179</v>
      </c>
      <c r="AI101" s="60">
        <v>2.0135589999999999</v>
      </c>
      <c r="AJ101" s="59">
        <v>-0.98052399999999995</v>
      </c>
      <c r="AK101" s="60">
        <v>0.749718</v>
      </c>
      <c r="AL101" s="59" t="s">
        <v>179</v>
      </c>
      <c r="AM101" s="60">
        <v>0.37489</v>
      </c>
      <c r="AN101" s="59">
        <v>0.23577899999999999</v>
      </c>
      <c r="AO101" s="60" t="s">
        <v>179</v>
      </c>
      <c r="AP101" s="59" t="s">
        <v>179</v>
      </c>
      <c r="AQ101" s="60">
        <v>0.41413100000000003</v>
      </c>
      <c r="AR101" s="59">
        <v>0.47815200000000002</v>
      </c>
      <c r="AS101" s="60">
        <v>0.50542299999999996</v>
      </c>
      <c r="AT101" s="59" t="s">
        <v>179</v>
      </c>
      <c r="AU101" s="60">
        <v>0.52765899999999999</v>
      </c>
      <c r="AV101" s="59" t="s">
        <v>179</v>
      </c>
      <c r="AW101" s="60" t="s">
        <v>179</v>
      </c>
      <c r="AX101" s="59" t="s">
        <v>179</v>
      </c>
      <c r="AY101" s="60" t="s">
        <v>179</v>
      </c>
      <c r="AZ101" s="59" t="s">
        <v>179</v>
      </c>
      <c r="BA101" s="60" t="s">
        <v>179</v>
      </c>
      <c r="BB101" s="59" t="s">
        <v>179</v>
      </c>
      <c r="BC101" s="60" t="s">
        <v>179</v>
      </c>
      <c r="BD101" s="59" t="s">
        <v>179</v>
      </c>
      <c r="BE101" s="60">
        <v>0.71876200000000001</v>
      </c>
    </row>
    <row r="102" spans="1:57" x14ac:dyDescent="0.35">
      <c r="A102" s="240"/>
      <c r="B102" s="240"/>
      <c r="C102" s="58" t="s">
        <v>278</v>
      </c>
      <c r="D102" s="59">
        <v>-1.213176</v>
      </c>
      <c r="E102" s="60">
        <v>3.2570679999999999</v>
      </c>
      <c r="F102" s="59">
        <v>1.3281099999999999</v>
      </c>
      <c r="G102" s="60">
        <v>-0.34940700000000002</v>
      </c>
      <c r="H102" s="59" t="s">
        <v>179</v>
      </c>
      <c r="I102" s="60" t="s">
        <v>179</v>
      </c>
      <c r="J102" s="59" t="s">
        <v>179</v>
      </c>
      <c r="K102" s="60">
        <v>1.5047509999999999</v>
      </c>
      <c r="L102" s="59" t="s">
        <v>179</v>
      </c>
      <c r="M102" s="60">
        <v>4.909211</v>
      </c>
      <c r="N102" s="59">
        <v>1.309796</v>
      </c>
      <c r="O102" s="60">
        <v>0.101103</v>
      </c>
      <c r="P102" s="59">
        <v>5.0628060000000001</v>
      </c>
      <c r="Q102" s="60" t="s">
        <v>179</v>
      </c>
      <c r="R102" s="59">
        <v>1.3481620000000001</v>
      </c>
      <c r="S102" s="60">
        <v>1.6876880000000001</v>
      </c>
      <c r="T102" s="59" t="s">
        <v>179</v>
      </c>
      <c r="U102" s="60">
        <v>1.104811</v>
      </c>
      <c r="V102" s="59">
        <v>3.2580149999999999</v>
      </c>
      <c r="W102" s="60">
        <v>1.437411</v>
      </c>
      <c r="X102" s="59" t="s">
        <v>179</v>
      </c>
      <c r="Y102" s="60" t="s">
        <v>179</v>
      </c>
      <c r="Z102" s="59">
        <v>1.6649320000000001</v>
      </c>
      <c r="AA102" s="60">
        <v>2.264729</v>
      </c>
      <c r="AB102" s="59">
        <v>2.850949</v>
      </c>
      <c r="AC102" s="60" t="s">
        <v>179</v>
      </c>
      <c r="AD102" s="59">
        <v>1.3671770000000001</v>
      </c>
      <c r="AE102" s="60" t="s">
        <v>179</v>
      </c>
      <c r="AF102" s="59">
        <v>-5.2891000000000001E-2</v>
      </c>
      <c r="AG102" s="60" t="s">
        <v>179</v>
      </c>
      <c r="AH102" s="59" t="s">
        <v>179</v>
      </c>
      <c r="AI102" s="60">
        <v>1.622512</v>
      </c>
      <c r="AJ102" s="59">
        <v>0.473547</v>
      </c>
      <c r="AK102" s="60">
        <v>0.917431</v>
      </c>
      <c r="AL102" s="59" t="s">
        <v>179</v>
      </c>
      <c r="AM102" s="60">
        <v>0.14385500000000001</v>
      </c>
      <c r="AN102" s="59">
        <v>1.8389530000000001</v>
      </c>
      <c r="AO102" s="60" t="s">
        <v>179</v>
      </c>
      <c r="AP102" s="59" t="s">
        <v>179</v>
      </c>
      <c r="AQ102" s="60">
        <v>1.4788479999999999</v>
      </c>
      <c r="AR102" s="59">
        <v>1.700442</v>
      </c>
      <c r="AS102" s="60">
        <v>1.0679829999999999</v>
      </c>
      <c r="AT102" s="59" t="s">
        <v>179</v>
      </c>
      <c r="AU102" s="60">
        <v>1.5338400000000001</v>
      </c>
      <c r="AV102" s="59" t="s">
        <v>179</v>
      </c>
      <c r="AW102" s="60" t="s">
        <v>179</v>
      </c>
      <c r="AX102" s="59" t="s">
        <v>179</v>
      </c>
      <c r="AY102" s="60" t="s">
        <v>179</v>
      </c>
      <c r="AZ102" s="59" t="s">
        <v>179</v>
      </c>
      <c r="BA102" s="60" t="s">
        <v>179</v>
      </c>
      <c r="BB102" s="59" t="s">
        <v>179</v>
      </c>
      <c r="BC102" s="60" t="s">
        <v>179</v>
      </c>
      <c r="BD102" s="59" t="s">
        <v>179</v>
      </c>
      <c r="BE102" s="60">
        <v>-0.58952000000000004</v>
      </c>
    </row>
    <row r="103" spans="1:57" x14ac:dyDescent="0.35">
      <c r="A103" s="240"/>
      <c r="B103" s="240"/>
      <c r="C103" s="58" t="s">
        <v>279</v>
      </c>
      <c r="D103" s="59">
        <v>2.2394310000000002</v>
      </c>
      <c r="E103" s="60">
        <v>-3.7419000000000001E-2</v>
      </c>
      <c r="F103" s="59">
        <v>1.304745</v>
      </c>
      <c r="G103" s="60">
        <v>2.8300640000000001</v>
      </c>
      <c r="H103" s="59" t="s">
        <v>179</v>
      </c>
      <c r="I103" s="60" t="s">
        <v>179</v>
      </c>
      <c r="J103" s="59" t="s">
        <v>179</v>
      </c>
      <c r="K103" s="60">
        <v>1.3894439999999999</v>
      </c>
      <c r="L103" s="59" t="s">
        <v>179</v>
      </c>
      <c r="M103" s="60">
        <v>-3.9025999999999998E-2</v>
      </c>
      <c r="N103" s="59">
        <v>0.38417699999999999</v>
      </c>
      <c r="O103" s="60">
        <v>1.6329990000000001</v>
      </c>
      <c r="P103" s="59">
        <v>2.984394</v>
      </c>
      <c r="Q103" s="60" t="s">
        <v>179</v>
      </c>
      <c r="R103" s="59">
        <v>1.312889</v>
      </c>
      <c r="S103" s="60">
        <v>1.629578</v>
      </c>
      <c r="T103" s="59" t="s">
        <v>179</v>
      </c>
      <c r="U103" s="60">
        <v>-4.5308000000000001E-2</v>
      </c>
      <c r="V103" s="59">
        <v>1.8819939999999999</v>
      </c>
      <c r="W103" s="60">
        <v>2.9555039999999999</v>
      </c>
      <c r="X103" s="59" t="s">
        <v>179</v>
      </c>
      <c r="Y103" s="60" t="s">
        <v>179</v>
      </c>
      <c r="Z103" s="59">
        <v>1.767207</v>
      </c>
      <c r="AA103" s="60">
        <v>2.2027600000000001</v>
      </c>
      <c r="AB103" s="59">
        <v>0.46024500000000002</v>
      </c>
      <c r="AC103" s="60" t="s">
        <v>179</v>
      </c>
      <c r="AD103" s="59">
        <v>1.2217009999999999</v>
      </c>
      <c r="AE103" s="60" t="s">
        <v>179</v>
      </c>
      <c r="AF103" s="59">
        <v>1.9422759999999999</v>
      </c>
      <c r="AG103" s="60" t="s">
        <v>179</v>
      </c>
      <c r="AH103" s="59" t="s">
        <v>179</v>
      </c>
      <c r="AI103" s="60">
        <v>2.3628360000000002</v>
      </c>
      <c r="AJ103" s="59">
        <v>0.18998899999999999</v>
      </c>
      <c r="AK103" s="60">
        <v>0.285354</v>
      </c>
      <c r="AL103" s="59" t="s">
        <v>179</v>
      </c>
      <c r="AM103" s="60">
        <v>2.6511100000000001</v>
      </c>
      <c r="AN103" s="59">
        <v>2.2697600000000002</v>
      </c>
      <c r="AO103" s="60" t="s">
        <v>179</v>
      </c>
      <c r="AP103" s="59" t="s">
        <v>179</v>
      </c>
      <c r="AQ103" s="60">
        <v>1.849661</v>
      </c>
      <c r="AR103" s="59">
        <v>2.307836</v>
      </c>
      <c r="AS103" s="60">
        <v>1.274831</v>
      </c>
      <c r="AT103" s="59" t="s">
        <v>179</v>
      </c>
      <c r="AU103" s="60">
        <v>1.7988869999999999</v>
      </c>
      <c r="AV103" s="59" t="s">
        <v>179</v>
      </c>
      <c r="AW103" s="60" t="s">
        <v>179</v>
      </c>
      <c r="AX103" s="59" t="s">
        <v>179</v>
      </c>
      <c r="AY103" s="60" t="s">
        <v>179</v>
      </c>
      <c r="AZ103" s="59" t="s">
        <v>179</v>
      </c>
      <c r="BA103" s="60" t="s">
        <v>179</v>
      </c>
      <c r="BB103" s="59" t="s">
        <v>179</v>
      </c>
      <c r="BC103" s="60" t="s">
        <v>179</v>
      </c>
      <c r="BD103" s="59" t="s">
        <v>179</v>
      </c>
      <c r="BE103" s="60">
        <v>1.04617</v>
      </c>
    </row>
    <row r="104" spans="1:57" x14ac:dyDescent="0.35">
      <c r="A104" s="240"/>
      <c r="B104" s="240"/>
      <c r="C104" s="58" t="s">
        <v>280</v>
      </c>
      <c r="D104" s="59">
        <v>-0.50752699999999995</v>
      </c>
      <c r="E104" s="60">
        <v>1.3527070000000001</v>
      </c>
      <c r="F104" s="59">
        <v>1.448761</v>
      </c>
      <c r="G104" s="60">
        <v>0.27873799999999999</v>
      </c>
      <c r="H104" s="59" t="s">
        <v>179</v>
      </c>
      <c r="I104" s="60" t="s">
        <v>179</v>
      </c>
      <c r="J104" s="59" t="s">
        <v>179</v>
      </c>
      <c r="K104" s="60">
        <v>1.278678</v>
      </c>
      <c r="L104" s="59" t="s">
        <v>179</v>
      </c>
      <c r="M104" s="60">
        <v>2.1430440000000002</v>
      </c>
      <c r="N104" s="59">
        <v>0.88795999999999997</v>
      </c>
      <c r="O104" s="60">
        <v>2.335604</v>
      </c>
      <c r="P104" s="59">
        <v>-0.62256299999999998</v>
      </c>
      <c r="Q104" s="60" t="s">
        <v>179</v>
      </c>
      <c r="R104" s="59">
        <v>1.3981440000000001</v>
      </c>
      <c r="S104" s="60">
        <v>1.5041279999999999</v>
      </c>
      <c r="T104" s="59" t="s">
        <v>179</v>
      </c>
      <c r="U104" s="60">
        <v>1.348168</v>
      </c>
      <c r="V104" s="59">
        <v>2.134528</v>
      </c>
      <c r="W104" s="60">
        <v>1.6482270000000001</v>
      </c>
      <c r="X104" s="59" t="s">
        <v>179</v>
      </c>
      <c r="Y104" s="60" t="s">
        <v>179</v>
      </c>
      <c r="Z104" s="59">
        <v>1.8437680000000001</v>
      </c>
      <c r="AA104" s="60">
        <v>2.1892939999999999</v>
      </c>
      <c r="AB104" s="59">
        <v>0.151999</v>
      </c>
      <c r="AC104" s="60" t="s">
        <v>179</v>
      </c>
      <c r="AD104" s="59">
        <v>1.0813999999999999</v>
      </c>
      <c r="AE104" s="60" t="s">
        <v>179</v>
      </c>
      <c r="AF104" s="59">
        <v>4.9003839999999999</v>
      </c>
      <c r="AG104" s="60" t="s">
        <v>179</v>
      </c>
      <c r="AH104" s="59" t="s">
        <v>179</v>
      </c>
      <c r="AI104" s="60">
        <v>2.1968839999999998</v>
      </c>
      <c r="AJ104" s="59">
        <v>2.8489650000000002</v>
      </c>
      <c r="AK104" s="60">
        <v>0.84103399999999995</v>
      </c>
      <c r="AL104" s="59" t="s">
        <v>179</v>
      </c>
      <c r="AM104" s="60">
        <v>0.282468</v>
      </c>
      <c r="AN104" s="59">
        <v>0.94439099999999998</v>
      </c>
      <c r="AO104" s="60" t="s">
        <v>179</v>
      </c>
      <c r="AP104" s="59" t="s">
        <v>179</v>
      </c>
      <c r="AQ104" s="60">
        <v>1.237098</v>
      </c>
      <c r="AR104" s="59">
        <v>0.99761699999999998</v>
      </c>
      <c r="AS104" s="60">
        <v>1.393362</v>
      </c>
      <c r="AT104" s="59" t="s">
        <v>179</v>
      </c>
      <c r="AU104" s="60">
        <v>1.2816749999999999</v>
      </c>
      <c r="AV104" s="59" t="s">
        <v>179</v>
      </c>
      <c r="AW104" s="60" t="s">
        <v>179</v>
      </c>
      <c r="AX104" s="59" t="s">
        <v>179</v>
      </c>
      <c r="AY104" s="60" t="s">
        <v>179</v>
      </c>
      <c r="AZ104" s="59" t="s">
        <v>179</v>
      </c>
      <c r="BA104" s="60" t="s">
        <v>179</v>
      </c>
      <c r="BB104" s="59" t="s">
        <v>179</v>
      </c>
      <c r="BC104" s="60" t="s">
        <v>179</v>
      </c>
      <c r="BD104" s="59" t="s">
        <v>179</v>
      </c>
      <c r="BE104" s="60">
        <v>6.1773000000000002E-2</v>
      </c>
    </row>
    <row r="105" spans="1:57" x14ac:dyDescent="0.35">
      <c r="A105" s="240"/>
      <c r="B105" s="240"/>
      <c r="C105" s="58" t="s">
        <v>281</v>
      </c>
      <c r="D105" s="59">
        <v>1.0540080000000001</v>
      </c>
      <c r="E105" s="60">
        <v>4.5113120000000002</v>
      </c>
      <c r="F105" s="59">
        <v>1.5932740000000001</v>
      </c>
      <c r="G105" s="60">
        <v>2.3693879999999998</v>
      </c>
      <c r="H105" s="59" t="s">
        <v>179</v>
      </c>
      <c r="I105" s="60" t="s">
        <v>179</v>
      </c>
      <c r="J105" s="59" t="s">
        <v>179</v>
      </c>
      <c r="K105" s="60">
        <v>1.1719839999999999</v>
      </c>
      <c r="L105" s="59" t="s">
        <v>179</v>
      </c>
      <c r="M105" s="60">
        <v>2.0660120000000002</v>
      </c>
      <c r="N105" s="59">
        <v>1.660236</v>
      </c>
      <c r="O105" s="60">
        <v>1.5538959999999999</v>
      </c>
      <c r="P105" s="59">
        <v>5.5868909999999996</v>
      </c>
      <c r="Q105" s="60" t="s">
        <v>179</v>
      </c>
      <c r="R105" s="59">
        <v>1.5424720000000001</v>
      </c>
      <c r="S105" s="60">
        <v>1.3380810000000001</v>
      </c>
      <c r="T105" s="59" t="s">
        <v>179</v>
      </c>
      <c r="U105" s="60">
        <v>0.47525299999999998</v>
      </c>
      <c r="V105" s="59">
        <v>2.5156800000000001</v>
      </c>
      <c r="W105" s="60">
        <v>4.2513139999999998</v>
      </c>
      <c r="X105" s="59" t="s">
        <v>179</v>
      </c>
      <c r="Y105" s="60" t="s">
        <v>179</v>
      </c>
      <c r="Z105" s="59">
        <v>1.91726</v>
      </c>
      <c r="AA105" s="60">
        <v>2.1766269999999999</v>
      </c>
      <c r="AB105" s="59">
        <v>1.2433920000000001</v>
      </c>
      <c r="AC105" s="60" t="s">
        <v>179</v>
      </c>
      <c r="AD105" s="59">
        <v>0.94567000000000001</v>
      </c>
      <c r="AE105" s="60" t="s">
        <v>179</v>
      </c>
      <c r="AF105" s="59">
        <v>0.54074599999999995</v>
      </c>
      <c r="AG105" s="60" t="s">
        <v>179</v>
      </c>
      <c r="AH105" s="59" t="s">
        <v>179</v>
      </c>
      <c r="AI105" s="60">
        <v>1.9810239999999999</v>
      </c>
      <c r="AJ105" s="59">
        <v>1.7045809999999999</v>
      </c>
      <c r="AK105" s="60">
        <v>1.7654259999999999</v>
      </c>
      <c r="AL105" s="59" t="s">
        <v>179</v>
      </c>
      <c r="AM105" s="60">
        <v>1.568581</v>
      </c>
      <c r="AN105" s="59">
        <v>1.674461</v>
      </c>
      <c r="AO105" s="60" t="s">
        <v>179</v>
      </c>
      <c r="AP105" s="59" t="s">
        <v>179</v>
      </c>
      <c r="AQ105" s="60">
        <v>1.7062079999999999</v>
      </c>
      <c r="AR105" s="59">
        <v>1.771671</v>
      </c>
      <c r="AS105" s="60">
        <v>1.5293650000000001</v>
      </c>
      <c r="AT105" s="59" t="s">
        <v>179</v>
      </c>
      <c r="AU105" s="60">
        <v>1.7538100000000001</v>
      </c>
      <c r="AV105" s="59" t="s">
        <v>179</v>
      </c>
      <c r="AW105" s="60" t="s">
        <v>179</v>
      </c>
      <c r="AX105" s="59" t="s">
        <v>179</v>
      </c>
      <c r="AY105" s="60" t="s">
        <v>179</v>
      </c>
      <c r="AZ105" s="59" t="s">
        <v>179</v>
      </c>
      <c r="BA105" s="60" t="s">
        <v>179</v>
      </c>
      <c r="BB105" s="59" t="s">
        <v>179</v>
      </c>
      <c r="BC105" s="60" t="s">
        <v>179</v>
      </c>
      <c r="BD105" s="59" t="s">
        <v>179</v>
      </c>
      <c r="BE105" s="60">
        <v>1.770999</v>
      </c>
    </row>
    <row r="106" spans="1:57" x14ac:dyDescent="0.35">
      <c r="A106" s="240"/>
      <c r="B106" s="240"/>
      <c r="C106" s="58" t="s">
        <v>282</v>
      </c>
      <c r="D106" s="59">
        <v>2.5822539999999998</v>
      </c>
      <c r="E106" s="60">
        <v>-1.4171309999999999</v>
      </c>
      <c r="F106" s="59">
        <v>1.5577430000000001</v>
      </c>
      <c r="G106" s="60">
        <v>2.6113279999999999</v>
      </c>
      <c r="H106" s="59" t="s">
        <v>179</v>
      </c>
      <c r="I106" s="60" t="s">
        <v>179</v>
      </c>
      <c r="J106" s="59" t="s">
        <v>179</v>
      </c>
      <c r="K106" s="60">
        <v>1.068889</v>
      </c>
      <c r="L106" s="59" t="s">
        <v>179</v>
      </c>
      <c r="M106" s="60">
        <v>3.5747960000000001</v>
      </c>
      <c r="N106" s="59">
        <v>1.9922820000000001</v>
      </c>
      <c r="O106" s="60">
        <v>1.3827240000000001</v>
      </c>
      <c r="P106" s="59">
        <v>0.35683399999999998</v>
      </c>
      <c r="Q106" s="60" t="s">
        <v>179</v>
      </c>
      <c r="R106" s="59">
        <v>1.6713960000000001</v>
      </c>
      <c r="S106" s="60">
        <v>1.151516</v>
      </c>
      <c r="T106" s="59" t="s">
        <v>179</v>
      </c>
      <c r="U106" s="60">
        <v>0.90149599999999996</v>
      </c>
      <c r="V106" s="59">
        <v>3.3446750000000001</v>
      </c>
      <c r="W106" s="60">
        <v>3.30741</v>
      </c>
      <c r="X106" s="59" t="s">
        <v>179</v>
      </c>
      <c r="Y106" s="60" t="s">
        <v>179</v>
      </c>
      <c r="Z106" s="59">
        <v>2.0017589999999998</v>
      </c>
      <c r="AA106" s="60">
        <v>2.1134770000000001</v>
      </c>
      <c r="AB106" s="59">
        <v>3.158903</v>
      </c>
      <c r="AC106" s="60" t="s">
        <v>179</v>
      </c>
      <c r="AD106" s="59">
        <v>0.81376300000000001</v>
      </c>
      <c r="AE106" s="60" t="s">
        <v>179</v>
      </c>
      <c r="AF106" s="59">
        <v>3.9965670000000002</v>
      </c>
      <c r="AG106" s="60" t="s">
        <v>179</v>
      </c>
      <c r="AH106" s="59" t="s">
        <v>179</v>
      </c>
      <c r="AI106" s="60">
        <v>1.8406549999999999</v>
      </c>
      <c r="AJ106" s="59">
        <v>0.66499900000000001</v>
      </c>
      <c r="AK106" s="60">
        <v>0.49811100000000003</v>
      </c>
      <c r="AL106" s="59" t="s">
        <v>179</v>
      </c>
      <c r="AM106" s="60">
        <v>4.9765420000000002</v>
      </c>
      <c r="AN106" s="59">
        <v>2.4748130000000002</v>
      </c>
      <c r="AO106" s="60" t="s">
        <v>179</v>
      </c>
      <c r="AP106" s="59" t="s">
        <v>179</v>
      </c>
      <c r="AQ106" s="60">
        <v>2.5171770000000002</v>
      </c>
      <c r="AR106" s="59">
        <v>2.4544160000000002</v>
      </c>
      <c r="AS106" s="60">
        <v>1.9230449999999999</v>
      </c>
      <c r="AT106" s="59" t="s">
        <v>179</v>
      </c>
      <c r="AU106" s="60">
        <v>2.328163</v>
      </c>
      <c r="AV106" s="59" t="s">
        <v>179</v>
      </c>
      <c r="AW106" s="60" t="s">
        <v>179</v>
      </c>
      <c r="AX106" s="59" t="s">
        <v>179</v>
      </c>
      <c r="AY106" s="60" t="s">
        <v>179</v>
      </c>
      <c r="AZ106" s="59" t="s">
        <v>179</v>
      </c>
      <c r="BA106" s="60" t="s">
        <v>179</v>
      </c>
      <c r="BB106" s="59" t="s">
        <v>179</v>
      </c>
      <c r="BC106" s="60" t="s">
        <v>179</v>
      </c>
      <c r="BD106" s="59" t="s">
        <v>179</v>
      </c>
      <c r="BE106" s="60">
        <v>1.2896780000000001</v>
      </c>
    </row>
    <row r="107" spans="1:57" x14ac:dyDescent="0.35">
      <c r="A107" s="240"/>
      <c r="B107" s="240"/>
      <c r="C107" s="58" t="s">
        <v>283</v>
      </c>
      <c r="D107" s="59">
        <v>0.19215699999999999</v>
      </c>
      <c r="E107" s="60">
        <v>2.0471680000000001</v>
      </c>
      <c r="F107" s="59">
        <v>1.5190710000000001</v>
      </c>
      <c r="G107" s="60">
        <v>1.084605</v>
      </c>
      <c r="H107" s="59" t="s">
        <v>179</v>
      </c>
      <c r="I107" s="60" t="s">
        <v>179</v>
      </c>
      <c r="J107" s="59" t="s">
        <v>179</v>
      </c>
      <c r="K107" s="60">
        <v>0.68815000000000004</v>
      </c>
      <c r="L107" s="59" t="s">
        <v>179</v>
      </c>
      <c r="M107" s="60">
        <v>-3.086633</v>
      </c>
      <c r="N107" s="59">
        <v>1.080382</v>
      </c>
      <c r="O107" s="60">
        <v>0.73887700000000001</v>
      </c>
      <c r="P107" s="59">
        <v>3.463076</v>
      </c>
      <c r="Q107" s="60" t="s">
        <v>179</v>
      </c>
      <c r="R107" s="59">
        <v>1.7819590000000001</v>
      </c>
      <c r="S107" s="60">
        <v>0.97685500000000003</v>
      </c>
      <c r="T107" s="59" t="s">
        <v>179</v>
      </c>
      <c r="U107" s="60">
        <v>2.9966810000000002</v>
      </c>
      <c r="V107" s="59">
        <v>0.91447599999999996</v>
      </c>
      <c r="W107" s="60">
        <v>4.2022149999999998</v>
      </c>
      <c r="X107" s="59" t="s">
        <v>179</v>
      </c>
      <c r="Y107" s="60" t="s">
        <v>179</v>
      </c>
      <c r="Z107" s="59">
        <v>2.1062090000000002</v>
      </c>
      <c r="AA107" s="60">
        <v>2.0521569999999998</v>
      </c>
      <c r="AB107" s="59">
        <v>-0.32880700000000002</v>
      </c>
      <c r="AC107" s="60" t="s">
        <v>179</v>
      </c>
      <c r="AD107" s="59">
        <v>0.99967200000000001</v>
      </c>
      <c r="AE107" s="60" t="s">
        <v>179</v>
      </c>
      <c r="AF107" s="59">
        <v>2.1144620000000001</v>
      </c>
      <c r="AG107" s="60" t="s">
        <v>179</v>
      </c>
      <c r="AH107" s="59" t="s">
        <v>179</v>
      </c>
      <c r="AI107" s="60">
        <v>1.782786</v>
      </c>
      <c r="AJ107" s="59">
        <v>3.6353999999999997E-2</v>
      </c>
      <c r="AK107" s="60">
        <v>-8.7897000000000003E-2</v>
      </c>
      <c r="AL107" s="59" t="s">
        <v>179</v>
      </c>
      <c r="AM107" s="60">
        <v>0.12845200000000001</v>
      </c>
      <c r="AN107" s="59">
        <v>1.088651</v>
      </c>
      <c r="AO107" s="60" t="s">
        <v>179</v>
      </c>
      <c r="AP107" s="59" t="s">
        <v>179</v>
      </c>
      <c r="AQ107" s="60">
        <v>1.081315</v>
      </c>
      <c r="AR107" s="59">
        <v>1.1709849999999999</v>
      </c>
      <c r="AS107" s="60">
        <v>1.066317</v>
      </c>
      <c r="AT107" s="59" t="s">
        <v>179</v>
      </c>
      <c r="AU107" s="60">
        <v>1.1023620000000001</v>
      </c>
      <c r="AV107" s="59" t="s">
        <v>179</v>
      </c>
      <c r="AW107" s="60" t="s">
        <v>179</v>
      </c>
      <c r="AX107" s="59" t="s">
        <v>179</v>
      </c>
      <c r="AY107" s="60" t="s">
        <v>179</v>
      </c>
      <c r="AZ107" s="59" t="s">
        <v>179</v>
      </c>
      <c r="BA107" s="60" t="s">
        <v>179</v>
      </c>
      <c r="BB107" s="59" t="s">
        <v>179</v>
      </c>
      <c r="BC107" s="60" t="s">
        <v>179</v>
      </c>
      <c r="BD107" s="59" t="s">
        <v>179</v>
      </c>
      <c r="BE107" s="60">
        <v>-0.44474799999999998</v>
      </c>
    </row>
    <row r="108" spans="1:57" x14ac:dyDescent="0.35">
      <c r="A108" s="240"/>
      <c r="B108" s="240"/>
      <c r="C108" s="58" t="s">
        <v>284</v>
      </c>
      <c r="D108" s="59">
        <v>1.0048029999999999</v>
      </c>
      <c r="E108" s="60">
        <v>0.39800999999999997</v>
      </c>
      <c r="F108" s="59">
        <v>1.426949</v>
      </c>
      <c r="G108" s="60">
        <v>0.362014</v>
      </c>
      <c r="H108" s="59" t="s">
        <v>179</v>
      </c>
      <c r="I108" s="60" t="s">
        <v>179</v>
      </c>
      <c r="J108" s="59" t="s">
        <v>179</v>
      </c>
      <c r="K108" s="60">
        <v>0.31652000000000002</v>
      </c>
      <c r="L108" s="59" t="s">
        <v>179</v>
      </c>
      <c r="M108" s="60">
        <v>4.4375179999999999</v>
      </c>
      <c r="N108" s="59">
        <v>0.85884499999999997</v>
      </c>
      <c r="O108" s="60">
        <v>0.32771299999999998</v>
      </c>
      <c r="P108" s="59">
        <v>0.59378600000000004</v>
      </c>
      <c r="Q108" s="60" t="s">
        <v>179</v>
      </c>
      <c r="R108" s="59">
        <v>1.918032</v>
      </c>
      <c r="S108" s="60">
        <v>0.82658699999999996</v>
      </c>
      <c r="T108" s="59" t="s">
        <v>179</v>
      </c>
      <c r="U108" s="60">
        <v>3.1817829999999998</v>
      </c>
      <c r="V108" s="59">
        <v>0.29168100000000002</v>
      </c>
      <c r="W108" s="60">
        <v>5.0902419999999999</v>
      </c>
      <c r="X108" s="59" t="s">
        <v>179</v>
      </c>
      <c r="Y108" s="60" t="s">
        <v>179</v>
      </c>
      <c r="Z108" s="59">
        <v>2.2646570000000001</v>
      </c>
      <c r="AA108" s="60">
        <v>1.7539579999999999</v>
      </c>
      <c r="AB108" s="59">
        <v>-0.72573200000000004</v>
      </c>
      <c r="AC108" s="60" t="s">
        <v>179</v>
      </c>
      <c r="AD108" s="59">
        <v>1.180301</v>
      </c>
      <c r="AE108" s="60" t="s">
        <v>179</v>
      </c>
      <c r="AF108" s="59">
        <v>2.9849939999999999</v>
      </c>
      <c r="AG108" s="60" t="s">
        <v>179</v>
      </c>
      <c r="AH108" s="59" t="s">
        <v>179</v>
      </c>
      <c r="AI108" s="60">
        <v>1.651654</v>
      </c>
      <c r="AJ108" s="59">
        <v>0.78154000000000001</v>
      </c>
      <c r="AK108" s="60">
        <v>0.92373099999999997</v>
      </c>
      <c r="AL108" s="59" t="s">
        <v>179</v>
      </c>
      <c r="AM108" s="60">
        <v>-0.94836100000000001</v>
      </c>
      <c r="AN108" s="59">
        <v>-0.52590300000000001</v>
      </c>
      <c r="AO108" s="60" t="s">
        <v>179</v>
      </c>
      <c r="AP108" s="59" t="s">
        <v>179</v>
      </c>
      <c r="AQ108" s="60">
        <v>0.103216</v>
      </c>
      <c r="AR108" s="59">
        <v>-0.25897300000000001</v>
      </c>
      <c r="AS108" s="60">
        <v>0.85763999999999996</v>
      </c>
      <c r="AT108" s="59" t="s">
        <v>179</v>
      </c>
      <c r="AU108" s="60">
        <v>0.36660599999999999</v>
      </c>
      <c r="AV108" s="59" t="s">
        <v>179</v>
      </c>
      <c r="AW108" s="60" t="s">
        <v>179</v>
      </c>
      <c r="AX108" s="59" t="s">
        <v>179</v>
      </c>
      <c r="AY108" s="60" t="s">
        <v>179</v>
      </c>
      <c r="AZ108" s="59" t="s">
        <v>179</v>
      </c>
      <c r="BA108" s="60" t="s">
        <v>179</v>
      </c>
      <c r="BB108" s="59" t="s">
        <v>179</v>
      </c>
      <c r="BC108" s="60" t="s">
        <v>179</v>
      </c>
      <c r="BD108" s="59" t="s">
        <v>179</v>
      </c>
      <c r="BE108" s="60">
        <v>2.8921260000000002</v>
      </c>
    </row>
    <row r="109" spans="1:57" x14ac:dyDescent="0.35">
      <c r="A109" s="240"/>
      <c r="B109" s="240"/>
      <c r="C109" s="58" t="s">
        <v>285</v>
      </c>
      <c r="D109" s="59">
        <v>2.4940349999999998</v>
      </c>
      <c r="E109" s="60">
        <v>2.1149170000000002</v>
      </c>
      <c r="F109" s="59">
        <v>1.324668</v>
      </c>
      <c r="G109" s="60">
        <v>1.868824</v>
      </c>
      <c r="H109" s="59" t="s">
        <v>179</v>
      </c>
      <c r="I109" s="60" t="s">
        <v>179</v>
      </c>
      <c r="J109" s="59" t="s">
        <v>179</v>
      </c>
      <c r="K109" s="60">
        <v>-5.0230999999999998E-2</v>
      </c>
      <c r="L109" s="59" t="s">
        <v>179</v>
      </c>
      <c r="M109" s="60">
        <v>1.8793850000000001</v>
      </c>
      <c r="N109" s="59">
        <v>1.278319</v>
      </c>
      <c r="O109" s="60">
        <v>0.24886900000000001</v>
      </c>
      <c r="P109" s="59">
        <v>0.40025899999999998</v>
      </c>
      <c r="Q109" s="60" t="s">
        <v>179</v>
      </c>
      <c r="R109" s="59">
        <v>1.916533</v>
      </c>
      <c r="S109" s="60">
        <v>0.76077099999999998</v>
      </c>
      <c r="T109" s="59" t="s">
        <v>179</v>
      </c>
      <c r="U109" s="60">
        <v>2.4426160000000001</v>
      </c>
      <c r="V109" s="59">
        <v>1.2357359999999999</v>
      </c>
      <c r="W109" s="60">
        <v>1.4471799999999999</v>
      </c>
      <c r="X109" s="59" t="s">
        <v>179</v>
      </c>
      <c r="Y109" s="60" t="s">
        <v>179</v>
      </c>
      <c r="Z109" s="59">
        <v>2.1674289999999998</v>
      </c>
      <c r="AA109" s="60">
        <v>1.4420379999999999</v>
      </c>
      <c r="AB109" s="59">
        <v>3.903124</v>
      </c>
      <c r="AC109" s="60" t="s">
        <v>179</v>
      </c>
      <c r="AD109" s="59">
        <v>1.354833</v>
      </c>
      <c r="AE109" s="60" t="s">
        <v>179</v>
      </c>
      <c r="AF109" s="59">
        <v>1.593791</v>
      </c>
      <c r="AG109" s="60" t="s">
        <v>179</v>
      </c>
      <c r="AH109" s="59" t="s">
        <v>179</v>
      </c>
      <c r="AI109" s="60">
        <v>1.6454249999999999</v>
      </c>
      <c r="AJ109" s="59">
        <v>1.3654839999999999</v>
      </c>
      <c r="AK109" s="60">
        <v>1.7627550000000001</v>
      </c>
      <c r="AL109" s="59" t="s">
        <v>179</v>
      </c>
      <c r="AM109" s="60">
        <v>-0.43106800000000001</v>
      </c>
      <c r="AN109" s="59">
        <v>0.94922499999999999</v>
      </c>
      <c r="AO109" s="60" t="s">
        <v>179</v>
      </c>
      <c r="AP109" s="59" t="s">
        <v>179</v>
      </c>
      <c r="AQ109" s="60">
        <v>0.97139699999999995</v>
      </c>
      <c r="AR109" s="59">
        <v>1.06532</v>
      </c>
      <c r="AS109" s="60">
        <v>1.109664</v>
      </c>
      <c r="AT109" s="59" t="s">
        <v>179</v>
      </c>
      <c r="AU109" s="60">
        <v>1.135942</v>
      </c>
      <c r="AV109" s="59" t="s">
        <v>179</v>
      </c>
      <c r="AW109" s="60" t="s">
        <v>179</v>
      </c>
      <c r="AX109" s="59" t="s">
        <v>179</v>
      </c>
      <c r="AY109" s="60" t="s">
        <v>179</v>
      </c>
      <c r="AZ109" s="59" t="s">
        <v>179</v>
      </c>
      <c r="BA109" s="60" t="s">
        <v>179</v>
      </c>
      <c r="BB109" s="59" t="s">
        <v>179</v>
      </c>
      <c r="BC109" s="60" t="s">
        <v>179</v>
      </c>
      <c r="BD109" s="59" t="s">
        <v>179</v>
      </c>
      <c r="BE109" s="60">
        <v>1.926215</v>
      </c>
    </row>
    <row r="110" spans="1:57" x14ac:dyDescent="0.35">
      <c r="A110" s="240"/>
      <c r="B110" s="240"/>
      <c r="C110" s="58" t="s">
        <v>286</v>
      </c>
      <c r="D110" s="59">
        <v>1.9331000000000001E-2</v>
      </c>
      <c r="E110" s="60">
        <v>2.0166849999999998</v>
      </c>
      <c r="F110" s="59">
        <v>1.282729</v>
      </c>
      <c r="G110" s="60">
        <v>0.74140099999999998</v>
      </c>
      <c r="H110" s="59" t="s">
        <v>179</v>
      </c>
      <c r="I110" s="60" t="s">
        <v>179</v>
      </c>
      <c r="J110" s="59" t="s">
        <v>179</v>
      </c>
      <c r="K110" s="60">
        <v>-0.41619299999999998</v>
      </c>
      <c r="L110" s="59" t="s">
        <v>179</v>
      </c>
      <c r="M110" s="60">
        <v>-0.58189800000000003</v>
      </c>
      <c r="N110" s="59">
        <v>0.959287</v>
      </c>
      <c r="O110" s="60">
        <v>0.84569000000000005</v>
      </c>
      <c r="P110" s="59">
        <v>-2.0134500000000002</v>
      </c>
      <c r="Q110" s="60" t="s">
        <v>179</v>
      </c>
      <c r="R110" s="59">
        <v>1.640139</v>
      </c>
      <c r="S110" s="60">
        <v>0.86161399999999999</v>
      </c>
      <c r="T110" s="59" t="s">
        <v>179</v>
      </c>
      <c r="U110" s="60">
        <v>0.81099600000000005</v>
      </c>
      <c r="V110" s="59">
        <v>-3.4359820000000001</v>
      </c>
      <c r="W110" s="60">
        <v>4.1752339999999997</v>
      </c>
      <c r="X110" s="59" t="s">
        <v>179</v>
      </c>
      <c r="Y110" s="60" t="s">
        <v>179</v>
      </c>
      <c r="Z110" s="59">
        <v>1.538049</v>
      </c>
      <c r="AA110" s="60">
        <v>1.4033450000000001</v>
      </c>
      <c r="AB110" s="59">
        <v>0.57500499999999999</v>
      </c>
      <c r="AC110" s="60" t="s">
        <v>179</v>
      </c>
      <c r="AD110" s="59">
        <v>1.5225299999999999</v>
      </c>
      <c r="AE110" s="60" t="s">
        <v>179</v>
      </c>
      <c r="AF110" s="59">
        <v>0.54724499999999998</v>
      </c>
      <c r="AG110" s="60" t="s">
        <v>179</v>
      </c>
      <c r="AH110" s="59" t="s">
        <v>179</v>
      </c>
      <c r="AI110" s="60">
        <v>1.6983250000000001</v>
      </c>
      <c r="AJ110" s="59">
        <v>-0.53207400000000005</v>
      </c>
      <c r="AK110" s="60">
        <v>1.460966</v>
      </c>
      <c r="AL110" s="59" t="s">
        <v>179</v>
      </c>
      <c r="AM110" s="60">
        <v>-2.7384819999999999</v>
      </c>
      <c r="AN110" s="59">
        <v>-0.859765</v>
      </c>
      <c r="AO110" s="60" t="s">
        <v>179</v>
      </c>
      <c r="AP110" s="59" t="s">
        <v>179</v>
      </c>
      <c r="AQ110" s="60">
        <v>-0.83394100000000004</v>
      </c>
      <c r="AR110" s="59">
        <v>-0.53184600000000004</v>
      </c>
      <c r="AS110" s="60">
        <v>0.338723</v>
      </c>
      <c r="AT110" s="59" t="s">
        <v>179</v>
      </c>
      <c r="AU110" s="60">
        <v>-0.42721599999999998</v>
      </c>
      <c r="AV110" s="59" t="s">
        <v>179</v>
      </c>
      <c r="AW110" s="60" t="s">
        <v>179</v>
      </c>
      <c r="AX110" s="59" t="s">
        <v>179</v>
      </c>
      <c r="AY110" s="60" t="s">
        <v>179</v>
      </c>
      <c r="AZ110" s="59" t="s">
        <v>179</v>
      </c>
      <c r="BA110" s="60" t="s">
        <v>179</v>
      </c>
      <c r="BB110" s="59" t="s">
        <v>179</v>
      </c>
      <c r="BC110" s="60" t="s">
        <v>179</v>
      </c>
      <c r="BD110" s="59" t="s">
        <v>179</v>
      </c>
      <c r="BE110" s="60">
        <v>1.8685750000000001</v>
      </c>
    </row>
    <row r="111" spans="1:57" x14ac:dyDescent="0.35">
      <c r="A111" s="240"/>
      <c r="B111" s="240"/>
      <c r="C111" s="58" t="s">
        <v>287</v>
      </c>
      <c r="D111" s="59">
        <v>-2.017331</v>
      </c>
      <c r="E111" s="60">
        <v>-0.42136600000000002</v>
      </c>
      <c r="F111" s="59">
        <v>1.269725</v>
      </c>
      <c r="G111" s="60">
        <v>1.094287</v>
      </c>
      <c r="H111" s="59" t="s">
        <v>179</v>
      </c>
      <c r="I111" s="60" t="s">
        <v>179</v>
      </c>
      <c r="J111" s="59" t="s">
        <v>179</v>
      </c>
      <c r="K111" s="60">
        <v>-0.49019000000000001</v>
      </c>
      <c r="L111" s="59" t="s">
        <v>179</v>
      </c>
      <c r="M111" s="60">
        <v>0.30862000000000001</v>
      </c>
      <c r="N111" s="59">
        <v>0.50064299999999995</v>
      </c>
      <c r="O111" s="60">
        <v>-7.6938000000000006E-2</v>
      </c>
      <c r="P111" s="59">
        <v>-5.264456</v>
      </c>
      <c r="Q111" s="60" t="s">
        <v>179</v>
      </c>
      <c r="R111" s="59">
        <v>1.177278</v>
      </c>
      <c r="S111" s="60">
        <v>1.126914</v>
      </c>
      <c r="T111" s="59" t="s">
        <v>179</v>
      </c>
      <c r="U111" s="60">
        <v>0.95506400000000002</v>
      </c>
      <c r="V111" s="59">
        <v>0.72030300000000003</v>
      </c>
      <c r="W111" s="60">
        <v>-0.26355400000000001</v>
      </c>
      <c r="X111" s="59" t="s">
        <v>179</v>
      </c>
      <c r="Y111" s="60" t="s">
        <v>179</v>
      </c>
      <c r="Z111" s="59">
        <v>0.52656400000000003</v>
      </c>
      <c r="AA111" s="60">
        <v>1.3789370000000001</v>
      </c>
      <c r="AB111" s="59">
        <v>1.146852</v>
      </c>
      <c r="AC111" s="60" t="s">
        <v>179</v>
      </c>
      <c r="AD111" s="59">
        <v>1.292527</v>
      </c>
      <c r="AE111" s="60" t="s">
        <v>179</v>
      </c>
      <c r="AF111" s="59">
        <v>-2.0335640000000001</v>
      </c>
      <c r="AG111" s="60" t="s">
        <v>179</v>
      </c>
      <c r="AH111" s="59" t="s">
        <v>179</v>
      </c>
      <c r="AI111" s="60">
        <v>1.26359</v>
      </c>
      <c r="AJ111" s="59">
        <v>1.7026330000000001</v>
      </c>
      <c r="AK111" s="60">
        <v>0.30252600000000002</v>
      </c>
      <c r="AL111" s="59" t="s">
        <v>179</v>
      </c>
      <c r="AM111" s="60">
        <v>1.439335</v>
      </c>
      <c r="AN111" s="59">
        <v>0.237677</v>
      </c>
      <c r="AO111" s="60" t="s">
        <v>179</v>
      </c>
      <c r="AP111" s="59" t="s">
        <v>179</v>
      </c>
      <c r="AQ111" s="60">
        <v>0.48327100000000001</v>
      </c>
      <c r="AR111" s="59">
        <v>0.40979399999999999</v>
      </c>
      <c r="AS111" s="60">
        <v>0.55677200000000004</v>
      </c>
      <c r="AT111" s="59" t="s">
        <v>179</v>
      </c>
      <c r="AU111" s="60">
        <v>0.46487800000000001</v>
      </c>
      <c r="AV111" s="59" t="s">
        <v>179</v>
      </c>
      <c r="AW111" s="60" t="s">
        <v>179</v>
      </c>
      <c r="AX111" s="59" t="s">
        <v>179</v>
      </c>
      <c r="AY111" s="60" t="s">
        <v>179</v>
      </c>
      <c r="AZ111" s="59" t="s">
        <v>179</v>
      </c>
      <c r="BA111" s="60" t="s">
        <v>179</v>
      </c>
      <c r="BB111" s="59" t="s">
        <v>179</v>
      </c>
      <c r="BC111" s="60" t="s">
        <v>179</v>
      </c>
      <c r="BD111" s="59" t="s">
        <v>179</v>
      </c>
      <c r="BE111" s="60">
        <v>1.374417</v>
      </c>
    </row>
    <row r="112" spans="1:57" x14ac:dyDescent="0.35">
      <c r="A112" s="240"/>
      <c r="B112" s="240"/>
      <c r="C112" s="58" t="s">
        <v>288</v>
      </c>
      <c r="D112" s="59">
        <v>1.2007989999999999</v>
      </c>
      <c r="E112" s="60">
        <v>0.46623799999999999</v>
      </c>
      <c r="F112" s="59">
        <v>0.16585</v>
      </c>
      <c r="G112" s="60">
        <v>-8.7894E-2</v>
      </c>
      <c r="H112" s="59" t="s">
        <v>179</v>
      </c>
      <c r="I112" s="60" t="s">
        <v>179</v>
      </c>
      <c r="J112" s="59" t="s">
        <v>179</v>
      </c>
      <c r="K112" s="60">
        <v>-0.56518500000000005</v>
      </c>
      <c r="L112" s="59" t="s">
        <v>179</v>
      </c>
      <c r="M112" s="60">
        <v>1.2354480000000001</v>
      </c>
      <c r="N112" s="59">
        <v>0.94345100000000004</v>
      </c>
      <c r="O112" s="60">
        <v>3.9999999999999998E-6</v>
      </c>
      <c r="P112" s="59">
        <v>-6.5113659999999998</v>
      </c>
      <c r="Q112" s="60" t="s">
        <v>179</v>
      </c>
      <c r="R112" s="59">
        <v>0.52671500000000004</v>
      </c>
      <c r="S112" s="60">
        <v>1.5628820000000001</v>
      </c>
      <c r="T112" s="59" t="s">
        <v>179</v>
      </c>
      <c r="U112" s="60">
        <v>0.166712</v>
      </c>
      <c r="V112" s="59">
        <v>1.27966</v>
      </c>
      <c r="W112" s="60">
        <v>1.5607660000000001</v>
      </c>
      <c r="X112" s="59" t="s">
        <v>179</v>
      </c>
      <c r="Y112" s="60" t="s">
        <v>179</v>
      </c>
      <c r="Z112" s="59">
        <v>-0.91741700000000004</v>
      </c>
      <c r="AA112" s="60">
        <v>1.420328</v>
      </c>
      <c r="AB112" s="59">
        <v>0.78797899999999998</v>
      </c>
      <c r="AC112" s="60" t="s">
        <v>179</v>
      </c>
      <c r="AD112" s="59">
        <v>1.0715060000000001</v>
      </c>
      <c r="AE112" s="60" t="s">
        <v>179</v>
      </c>
      <c r="AF112" s="59">
        <v>-1.6588350000000001</v>
      </c>
      <c r="AG112" s="60" t="s">
        <v>179</v>
      </c>
      <c r="AH112" s="59" t="s">
        <v>179</v>
      </c>
      <c r="AI112" s="60">
        <v>0.70568600000000004</v>
      </c>
      <c r="AJ112" s="59">
        <v>1.4086700000000001</v>
      </c>
      <c r="AK112" s="60">
        <v>-2.4245969999999999</v>
      </c>
      <c r="AL112" s="59" t="s">
        <v>179</v>
      </c>
      <c r="AM112" s="60">
        <v>0.64179399999999998</v>
      </c>
      <c r="AN112" s="59">
        <v>-0.94513400000000003</v>
      </c>
      <c r="AO112" s="60" t="s">
        <v>179</v>
      </c>
      <c r="AP112" s="59" t="s">
        <v>179</v>
      </c>
      <c r="AQ112" s="60">
        <v>-8.6626999999999996E-2</v>
      </c>
      <c r="AR112" s="59">
        <v>-0.65985300000000002</v>
      </c>
      <c r="AS112" s="60">
        <v>0.24998699999999999</v>
      </c>
      <c r="AT112" s="59" t="s">
        <v>179</v>
      </c>
      <c r="AU112" s="60">
        <v>1.9702999999999998E-2</v>
      </c>
      <c r="AV112" s="59" t="s">
        <v>179</v>
      </c>
      <c r="AW112" s="60" t="s">
        <v>179</v>
      </c>
      <c r="AX112" s="59" t="s">
        <v>179</v>
      </c>
      <c r="AY112" s="60" t="s">
        <v>179</v>
      </c>
      <c r="AZ112" s="59" t="s">
        <v>179</v>
      </c>
      <c r="BA112" s="60" t="s">
        <v>179</v>
      </c>
      <c r="BB112" s="59" t="s">
        <v>179</v>
      </c>
      <c r="BC112" s="60" t="s">
        <v>179</v>
      </c>
      <c r="BD112" s="59" t="s">
        <v>179</v>
      </c>
      <c r="BE112" s="60">
        <v>1.1325670000000001</v>
      </c>
    </row>
    <row r="113" spans="1:57" x14ac:dyDescent="0.35">
      <c r="A113" s="240"/>
      <c r="B113" s="240"/>
      <c r="C113" s="58" t="s">
        <v>289</v>
      </c>
      <c r="D113" s="59">
        <v>9.4209000000000001E-2</v>
      </c>
      <c r="E113" s="60">
        <v>-1.224199</v>
      </c>
      <c r="F113" s="59">
        <v>-1.000723</v>
      </c>
      <c r="G113" s="60">
        <v>-0.463837</v>
      </c>
      <c r="H113" s="59" t="s">
        <v>179</v>
      </c>
      <c r="I113" s="60" t="s">
        <v>179</v>
      </c>
      <c r="J113" s="59" t="s">
        <v>179</v>
      </c>
      <c r="K113" s="60">
        <v>-0.64142399999999999</v>
      </c>
      <c r="L113" s="59" t="s">
        <v>179</v>
      </c>
      <c r="M113" s="60">
        <v>2.3032E-2</v>
      </c>
      <c r="N113" s="59">
        <v>-1.5101830000000001</v>
      </c>
      <c r="O113" s="60">
        <v>-1.262707</v>
      </c>
      <c r="P113" s="59">
        <v>5.2340960000000001</v>
      </c>
      <c r="Q113" s="60" t="s">
        <v>179</v>
      </c>
      <c r="R113" s="59">
        <v>-5.5508000000000002E-2</v>
      </c>
      <c r="S113" s="60">
        <v>1.8779600000000001</v>
      </c>
      <c r="T113" s="59" t="s">
        <v>179</v>
      </c>
      <c r="U113" s="60">
        <v>-2.0903749999999999</v>
      </c>
      <c r="V113" s="59">
        <v>-0.54234899999999997</v>
      </c>
      <c r="W113" s="60">
        <v>-0.34101500000000001</v>
      </c>
      <c r="X113" s="59" t="s">
        <v>179</v>
      </c>
      <c r="Y113" s="60" t="s">
        <v>179</v>
      </c>
      <c r="Z113" s="59">
        <v>-2.2158370000000001</v>
      </c>
      <c r="AA113" s="60">
        <v>1.4552940000000001</v>
      </c>
      <c r="AB113" s="59">
        <v>-1.3854</v>
      </c>
      <c r="AC113" s="60" t="s">
        <v>179</v>
      </c>
      <c r="AD113" s="59">
        <v>0.85781099999999999</v>
      </c>
      <c r="AE113" s="60" t="s">
        <v>179</v>
      </c>
      <c r="AF113" s="59">
        <v>-0.77274600000000004</v>
      </c>
      <c r="AG113" s="60" t="s">
        <v>179</v>
      </c>
      <c r="AH113" s="59" t="s">
        <v>179</v>
      </c>
      <c r="AI113" s="60">
        <v>6.6164000000000001E-2</v>
      </c>
      <c r="AJ113" s="59">
        <v>1.360992</v>
      </c>
      <c r="AK113" s="60">
        <v>-3.5727120000000001</v>
      </c>
      <c r="AL113" s="59" t="s">
        <v>179</v>
      </c>
      <c r="AM113" s="60">
        <v>-1.4449620000000001</v>
      </c>
      <c r="AN113" s="59">
        <v>-0.38814100000000001</v>
      </c>
      <c r="AO113" s="60" t="s">
        <v>179</v>
      </c>
      <c r="AP113" s="59" t="s">
        <v>179</v>
      </c>
      <c r="AQ113" s="60">
        <v>-0.84879700000000002</v>
      </c>
      <c r="AR113" s="59">
        <v>-0.22267600000000001</v>
      </c>
      <c r="AS113" s="60">
        <v>-1.014356</v>
      </c>
      <c r="AT113" s="59" t="s">
        <v>179</v>
      </c>
      <c r="AU113" s="60">
        <v>-0.610869</v>
      </c>
      <c r="AV113" s="59" t="s">
        <v>179</v>
      </c>
      <c r="AW113" s="60" t="s">
        <v>179</v>
      </c>
      <c r="AX113" s="59" t="s">
        <v>179</v>
      </c>
      <c r="AY113" s="60" t="s">
        <v>179</v>
      </c>
      <c r="AZ113" s="59" t="s">
        <v>179</v>
      </c>
      <c r="BA113" s="60" t="s">
        <v>179</v>
      </c>
      <c r="BB113" s="59" t="s">
        <v>179</v>
      </c>
      <c r="BC113" s="60" t="s">
        <v>179</v>
      </c>
      <c r="BD113" s="59" t="s">
        <v>179</v>
      </c>
      <c r="BE113" s="60">
        <v>-0.94391400000000003</v>
      </c>
    </row>
    <row r="114" spans="1:57" x14ac:dyDescent="0.35">
      <c r="A114" s="240"/>
      <c r="B114" s="240"/>
      <c r="C114" s="58" t="s">
        <v>290</v>
      </c>
      <c r="D114" s="59">
        <v>0.39595599999999997</v>
      </c>
      <c r="E114" s="60">
        <v>0.139126</v>
      </c>
      <c r="F114" s="59">
        <v>-1.000149</v>
      </c>
      <c r="G114" s="60">
        <v>-0.62839400000000001</v>
      </c>
      <c r="H114" s="59" t="s">
        <v>179</v>
      </c>
      <c r="I114" s="60" t="s">
        <v>179</v>
      </c>
      <c r="J114" s="59" t="s">
        <v>179</v>
      </c>
      <c r="K114" s="60">
        <v>-0.71904500000000005</v>
      </c>
      <c r="L114" s="59" t="s">
        <v>179</v>
      </c>
      <c r="M114" s="60">
        <v>1.603502</v>
      </c>
      <c r="N114" s="59">
        <v>-0.44990400000000003</v>
      </c>
      <c r="O114" s="60">
        <v>-0.57700499999999999</v>
      </c>
      <c r="P114" s="59">
        <v>7.9434719999999999</v>
      </c>
      <c r="Q114" s="60" t="s">
        <v>179</v>
      </c>
      <c r="R114" s="59">
        <v>-0.27449600000000002</v>
      </c>
      <c r="S114" s="60">
        <v>1.782216</v>
      </c>
      <c r="T114" s="59" t="s">
        <v>179</v>
      </c>
      <c r="U114" s="60">
        <v>-1.739606</v>
      </c>
      <c r="V114" s="59">
        <v>0.130853</v>
      </c>
      <c r="W114" s="60">
        <v>1.414647</v>
      </c>
      <c r="X114" s="59" t="s">
        <v>179</v>
      </c>
      <c r="Y114" s="60" t="s">
        <v>179</v>
      </c>
      <c r="Z114" s="59">
        <v>-2.6900110000000002</v>
      </c>
      <c r="AA114" s="60">
        <v>1.418086</v>
      </c>
      <c r="AB114" s="59">
        <v>-1.9635039999999999</v>
      </c>
      <c r="AC114" s="60" t="s">
        <v>179</v>
      </c>
      <c r="AD114" s="59">
        <v>0.64987799999999996</v>
      </c>
      <c r="AE114" s="60" t="s">
        <v>179</v>
      </c>
      <c r="AF114" s="59">
        <v>-1.987541</v>
      </c>
      <c r="AG114" s="60" t="s">
        <v>179</v>
      </c>
      <c r="AH114" s="59" t="s">
        <v>179</v>
      </c>
      <c r="AI114" s="60">
        <v>-0.50191600000000003</v>
      </c>
      <c r="AJ114" s="59">
        <v>0.63873100000000005</v>
      </c>
      <c r="AK114" s="60">
        <v>-2.1271309999999999</v>
      </c>
      <c r="AL114" s="59" t="s">
        <v>179</v>
      </c>
      <c r="AM114" s="60">
        <v>5.8184E-2</v>
      </c>
      <c r="AN114" s="59">
        <v>-1.217301</v>
      </c>
      <c r="AO114" s="60" t="s">
        <v>179</v>
      </c>
      <c r="AP114" s="59" t="s">
        <v>179</v>
      </c>
      <c r="AQ114" s="60">
        <v>-0.78544199999999997</v>
      </c>
      <c r="AR114" s="59">
        <v>-0.91986500000000004</v>
      </c>
      <c r="AS114" s="60">
        <v>-0.39444699999999999</v>
      </c>
      <c r="AT114" s="59" t="s">
        <v>179</v>
      </c>
      <c r="AU114" s="60">
        <v>-0.52437699999999998</v>
      </c>
      <c r="AV114" s="59" t="s">
        <v>179</v>
      </c>
      <c r="AW114" s="60" t="s">
        <v>179</v>
      </c>
      <c r="AX114" s="59" t="s">
        <v>179</v>
      </c>
      <c r="AY114" s="60" t="s">
        <v>179</v>
      </c>
      <c r="AZ114" s="59" t="s">
        <v>179</v>
      </c>
      <c r="BA114" s="60" t="s">
        <v>179</v>
      </c>
      <c r="BB114" s="59" t="s">
        <v>179</v>
      </c>
      <c r="BC114" s="60" t="s">
        <v>179</v>
      </c>
      <c r="BD114" s="59" t="s">
        <v>179</v>
      </c>
      <c r="BE114" s="60">
        <v>-0.40046599999999999</v>
      </c>
    </row>
    <row r="115" spans="1:57" x14ac:dyDescent="0.35">
      <c r="A115" s="240"/>
      <c r="B115" s="240"/>
      <c r="C115" s="58" t="s">
        <v>291</v>
      </c>
      <c r="D115" s="59">
        <v>3.1575799999999998</v>
      </c>
      <c r="E115" s="60">
        <v>-1.030184</v>
      </c>
      <c r="F115" s="59">
        <v>-1.004707</v>
      </c>
      <c r="G115" s="60">
        <v>1.2996399999999999</v>
      </c>
      <c r="H115" s="59" t="s">
        <v>179</v>
      </c>
      <c r="I115" s="60" t="s">
        <v>179</v>
      </c>
      <c r="J115" s="59" t="s">
        <v>179</v>
      </c>
      <c r="K115" s="60">
        <v>9.2146000000000006E-2</v>
      </c>
      <c r="L115" s="59" t="s">
        <v>179</v>
      </c>
      <c r="M115" s="60">
        <v>-0.71006599999999997</v>
      </c>
      <c r="N115" s="59">
        <v>0.25274999999999997</v>
      </c>
      <c r="O115" s="60">
        <v>-0.50195500000000004</v>
      </c>
      <c r="P115" s="59">
        <v>-1.008966</v>
      </c>
      <c r="Q115" s="60" t="s">
        <v>179</v>
      </c>
      <c r="R115" s="59">
        <v>-0.105422</v>
      </c>
      <c r="S115" s="60">
        <v>1.347475</v>
      </c>
      <c r="T115" s="59" t="s">
        <v>179</v>
      </c>
      <c r="U115" s="60">
        <v>-5.1610000000000003E-2</v>
      </c>
      <c r="V115" s="59">
        <v>2.2201420000000001</v>
      </c>
      <c r="W115" s="60">
        <v>4.7080169999999999</v>
      </c>
      <c r="X115" s="59" t="s">
        <v>179</v>
      </c>
      <c r="Y115" s="60" t="s">
        <v>179</v>
      </c>
      <c r="Z115" s="59">
        <v>-2.2685140000000001</v>
      </c>
      <c r="AA115" s="60">
        <v>1.391313</v>
      </c>
      <c r="AB115" s="59">
        <v>1.3709929999999999</v>
      </c>
      <c r="AC115" s="60" t="s">
        <v>179</v>
      </c>
      <c r="AD115" s="59">
        <v>1.0451839999999999</v>
      </c>
      <c r="AE115" s="60" t="s">
        <v>179</v>
      </c>
      <c r="AF115" s="59">
        <v>-1.4921</v>
      </c>
      <c r="AG115" s="60" t="s">
        <v>179</v>
      </c>
      <c r="AH115" s="59" t="s">
        <v>179</v>
      </c>
      <c r="AI115" s="60">
        <v>-8.3068000000000003E-2</v>
      </c>
      <c r="AJ115" s="59">
        <v>-1.154453</v>
      </c>
      <c r="AK115" s="60">
        <v>-1.071447</v>
      </c>
      <c r="AL115" s="59" t="s">
        <v>179</v>
      </c>
      <c r="AM115" s="60">
        <v>-1.642253</v>
      </c>
      <c r="AN115" s="59">
        <v>0.71454399999999996</v>
      </c>
      <c r="AO115" s="60" t="s">
        <v>179</v>
      </c>
      <c r="AP115" s="59" t="s">
        <v>179</v>
      </c>
      <c r="AQ115" s="60">
        <v>0.51017999999999997</v>
      </c>
      <c r="AR115" s="59">
        <v>0.82789699999999999</v>
      </c>
      <c r="AS115" s="60">
        <v>-0.341783</v>
      </c>
      <c r="AT115" s="59" t="s">
        <v>179</v>
      </c>
      <c r="AU115" s="60">
        <v>0.53128299999999995</v>
      </c>
      <c r="AV115" s="59" t="s">
        <v>179</v>
      </c>
      <c r="AW115" s="60" t="s">
        <v>179</v>
      </c>
      <c r="AX115" s="59" t="s">
        <v>179</v>
      </c>
      <c r="AY115" s="60" t="s">
        <v>179</v>
      </c>
      <c r="AZ115" s="59" t="s">
        <v>179</v>
      </c>
      <c r="BA115" s="60" t="s">
        <v>179</v>
      </c>
      <c r="BB115" s="59" t="s">
        <v>179</v>
      </c>
      <c r="BC115" s="60" t="s">
        <v>179</v>
      </c>
      <c r="BD115" s="59" t="s">
        <v>179</v>
      </c>
      <c r="BE115" s="60">
        <v>1.7237830000000001</v>
      </c>
    </row>
    <row r="116" spans="1:57" x14ac:dyDescent="0.35">
      <c r="A116" s="240"/>
      <c r="B116" s="240"/>
      <c r="C116" s="58" t="s">
        <v>292</v>
      </c>
      <c r="D116" s="59">
        <v>-1.095259</v>
      </c>
      <c r="E116" s="60">
        <v>0.96033900000000005</v>
      </c>
      <c r="F116" s="59">
        <v>0.50786600000000004</v>
      </c>
      <c r="G116" s="60">
        <v>1.877955</v>
      </c>
      <c r="H116" s="59" t="s">
        <v>179</v>
      </c>
      <c r="I116" s="60" t="s">
        <v>179</v>
      </c>
      <c r="J116" s="59" t="s">
        <v>179</v>
      </c>
      <c r="K116" s="60">
        <v>0.90769100000000003</v>
      </c>
      <c r="L116" s="59" t="s">
        <v>179</v>
      </c>
      <c r="M116" s="60">
        <v>-0.91538399999999998</v>
      </c>
      <c r="N116" s="59">
        <v>0.38735199999999997</v>
      </c>
      <c r="O116" s="60">
        <v>1.087809</v>
      </c>
      <c r="P116" s="59">
        <v>-1.8156680000000001</v>
      </c>
      <c r="Q116" s="60" t="s">
        <v>179</v>
      </c>
      <c r="R116" s="59">
        <v>0.42664999999999997</v>
      </c>
      <c r="S116" s="60">
        <v>0.61294400000000004</v>
      </c>
      <c r="T116" s="59" t="s">
        <v>179</v>
      </c>
      <c r="U116" s="60">
        <v>1.4214260000000001</v>
      </c>
      <c r="V116" s="59">
        <v>1.1381380000000001</v>
      </c>
      <c r="W116" s="60">
        <v>2.8579400000000001</v>
      </c>
      <c r="X116" s="59" t="s">
        <v>179</v>
      </c>
      <c r="Y116" s="60" t="s">
        <v>179</v>
      </c>
      <c r="Z116" s="59">
        <v>-0.96029100000000001</v>
      </c>
      <c r="AA116" s="60">
        <v>1.242051</v>
      </c>
      <c r="AB116" s="59">
        <v>0.569855</v>
      </c>
      <c r="AC116" s="60" t="s">
        <v>179</v>
      </c>
      <c r="AD116" s="59">
        <v>1.429765</v>
      </c>
      <c r="AE116" s="60" t="s">
        <v>179</v>
      </c>
      <c r="AF116" s="59">
        <v>0.104981</v>
      </c>
      <c r="AG116" s="60" t="s">
        <v>179</v>
      </c>
      <c r="AH116" s="59" t="s">
        <v>179</v>
      </c>
      <c r="AI116" s="60">
        <v>0.43684600000000001</v>
      </c>
      <c r="AJ116" s="59">
        <v>0.91162100000000001</v>
      </c>
      <c r="AK116" s="60">
        <v>-1.1369469999999999</v>
      </c>
      <c r="AL116" s="59" t="s">
        <v>179</v>
      </c>
      <c r="AM116" s="60">
        <v>-0.34198800000000001</v>
      </c>
      <c r="AN116" s="59">
        <v>1.7116579999999999</v>
      </c>
      <c r="AO116" s="60" t="s">
        <v>179</v>
      </c>
      <c r="AP116" s="59" t="s">
        <v>179</v>
      </c>
      <c r="AQ116" s="60">
        <v>1.2512080000000001</v>
      </c>
      <c r="AR116" s="59">
        <v>1.679535</v>
      </c>
      <c r="AS116" s="60">
        <v>0.62667700000000004</v>
      </c>
      <c r="AT116" s="59" t="s">
        <v>179</v>
      </c>
      <c r="AU116" s="60">
        <v>1.101499</v>
      </c>
      <c r="AV116" s="59" t="s">
        <v>179</v>
      </c>
      <c r="AW116" s="60" t="s">
        <v>179</v>
      </c>
      <c r="AX116" s="59" t="s">
        <v>179</v>
      </c>
      <c r="AY116" s="60" t="s">
        <v>179</v>
      </c>
      <c r="AZ116" s="59" t="s">
        <v>179</v>
      </c>
      <c r="BA116" s="60" t="s">
        <v>179</v>
      </c>
      <c r="BB116" s="59" t="s">
        <v>179</v>
      </c>
      <c r="BC116" s="60" t="s">
        <v>179</v>
      </c>
      <c r="BD116" s="59" t="s">
        <v>179</v>
      </c>
      <c r="BE116" s="60">
        <v>0.80066499999999996</v>
      </c>
    </row>
    <row r="117" spans="1:57" x14ac:dyDescent="0.35">
      <c r="A117" s="240"/>
      <c r="B117" s="240"/>
      <c r="C117" s="58" t="s">
        <v>293</v>
      </c>
      <c r="D117" s="59">
        <v>-1.5153319999999999</v>
      </c>
      <c r="E117" s="60">
        <v>2.3762620000000001</v>
      </c>
      <c r="F117" s="59">
        <v>2.127561</v>
      </c>
      <c r="G117" s="60">
        <v>1.166485</v>
      </c>
      <c r="H117" s="59" t="s">
        <v>179</v>
      </c>
      <c r="I117" s="60" t="s">
        <v>179</v>
      </c>
      <c r="J117" s="59" t="s">
        <v>179</v>
      </c>
      <c r="K117" s="60">
        <v>1.7078359999999999</v>
      </c>
      <c r="L117" s="59" t="s">
        <v>179</v>
      </c>
      <c r="M117" s="60">
        <v>-0.97003300000000003</v>
      </c>
      <c r="N117" s="59">
        <v>1.3503350000000001</v>
      </c>
      <c r="O117" s="60">
        <v>1.965055</v>
      </c>
      <c r="P117" s="59">
        <v>4.8269489999999999</v>
      </c>
      <c r="Q117" s="60" t="s">
        <v>179</v>
      </c>
      <c r="R117" s="59">
        <v>1.094263</v>
      </c>
      <c r="S117" s="60">
        <v>-5.1898E-2</v>
      </c>
      <c r="T117" s="59" t="s">
        <v>179</v>
      </c>
      <c r="U117" s="60">
        <v>1.1203320000000001</v>
      </c>
      <c r="V117" s="59">
        <v>1.0515099999999999</v>
      </c>
      <c r="W117" s="60">
        <v>3.085712</v>
      </c>
      <c r="X117" s="59" t="s">
        <v>179</v>
      </c>
      <c r="Y117" s="60" t="s">
        <v>179</v>
      </c>
      <c r="Z117" s="59">
        <v>0.57246300000000006</v>
      </c>
      <c r="AA117" s="60">
        <v>1.081194</v>
      </c>
      <c r="AB117" s="59">
        <v>3.813412</v>
      </c>
      <c r="AC117" s="60" t="s">
        <v>179</v>
      </c>
      <c r="AD117" s="59">
        <v>1.799407</v>
      </c>
      <c r="AE117" s="60" t="s">
        <v>179</v>
      </c>
      <c r="AF117" s="59">
        <v>2.3443049999999999</v>
      </c>
      <c r="AG117" s="60" t="s">
        <v>179</v>
      </c>
      <c r="AH117" s="59" t="s">
        <v>179</v>
      </c>
      <c r="AI117" s="60">
        <v>0.70283700000000005</v>
      </c>
      <c r="AJ117" s="59">
        <v>1.276689</v>
      </c>
      <c r="AK117" s="60">
        <v>-0.71389599999999998</v>
      </c>
      <c r="AL117" s="59" t="s">
        <v>179</v>
      </c>
      <c r="AM117" s="60">
        <v>1.146598</v>
      </c>
      <c r="AN117" s="59">
        <v>1.346508</v>
      </c>
      <c r="AO117" s="60" t="s">
        <v>179</v>
      </c>
      <c r="AP117" s="59" t="s">
        <v>179</v>
      </c>
      <c r="AQ117" s="60">
        <v>1.337277</v>
      </c>
      <c r="AR117" s="59">
        <v>1.3059689999999999</v>
      </c>
      <c r="AS117" s="60">
        <v>1.6091200000000001</v>
      </c>
      <c r="AT117" s="59" t="s">
        <v>179</v>
      </c>
      <c r="AU117" s="60">
        <v>1.3723890000000001</v>
      </c>
      <c r="AV117" s="59" t="s">
        <v>179</v>
      </c>
      <c r="AW117" s="60" t="s">
        <v>179</v>
      </c>
      <c r="AX117" s="59" t="s">
        <v>179</v>
      </c>
      <c r="AY117" s="60" t="s">
        <v>179</v>
      </c>
      <c r="AZ117" s="59" t="s">
        <v>179</v>
      </c>
      <c r="BA117" s="60" t="s">
        <v>179</v>
      </c>
      <c r="BB117" s="59" t="s">
        <v>179</v>
      </c>
      <c r="BC117" s="60" t="s">
        <v>179</v>
      </c>
      <c r="BD117" s="59" t="s">
        <v>179</v>
      </c>
      <c r="BE117" s="60">
        <v>0.82446600000000003</v>
      </c>
    </row>
    <row r="118" spans="1:57" x14ac:dyDescent="0.35">
      <c r="A118" s="240"/>
      <c r="B118" s="240"/>
      <c r="C118" s="58" t="s">
        <v>294</v>
      </c>
      <c r="D118" s="59">
        <v>4.4229070000000004</v>
      </c>
      <c r="E118" s="60">
        <v>-0.36383900000000002</v>
      </c>
      <c r="F118" s="59">
        <v>2.0742989999999999</v>
      </c>
      <c r="G118" s="60">
        <v>1.732839</v>
      </c>
      <c r="H118" s="59" t="s">
        <v>179</v>
      </c>
      <c r="I118" s="60" t="s">
        <v>179</v>
      </c>
      <c r="J118" s="59" t="s">
        <v>179</v>
      </c>
      <c r="K118" s="60">
        <v>2.473897</v>
      </c>
      <c r="L118" s="59" t="s">
        <v>179</v>
      </c>
      <c r="M118" s="60">
        <v>0.37315599999999999</v>
      </c>
      <c r="N118" s="59">
        <v>1.4677290000000001</v>
      </c>
      <c r="O118" s="60">
        <v>0.89850300000000005</v>
      </c>
      <c r="P118" s="59">
        <v>3.2796090000000002</v>
      </c>
      <c r="Q118" s="60" t="s">
        <v>179</v>
      </c>
      <c r="R118" s="59">
        <v>1.628425</v>
      </c>
      <c r="S118" s="60">
        <v>-0.231437</v>
      </c>
      <c r="T118" s="59" t="s">
        <v>179</v>
      </c>
      <c r="U118" s="60">
        <v>1.761833</v>
      </c>
      <c r="V118" s="59">
        <v>0.84732499999999999</v>
      </c>
      <c r="W118" s="60">
        <v>2.8887550000000002</v>
      </c>
      <c r="X118" s="59" t="s">
        <v>179</v>
      </c>
      <c r="Y118" s="60" t="s">
        <v>179</v>
      </c>
      <c r="Z118" s="59">
        <v>1.4493320000000001</v>
      </c>
      <c r="AA118" s="60">
        <v>1.056567</v>
      </c>
      <c r="AB118" s="59">
        <v>0.18883</v>
      </c>
      <c r="AC118" s="60" t="s">
        <v>179</v>
      </c>
      <c r="AD118" s="59">
        <v>2.1505290000000001</v>
      </c>
      <c r="AE118" s="60" t="s">
        <v>179</v>
      </c>
      <c r="AF118" s="59">
        <v>2.4043700000000001</v>
      </c>
      <c r="AG118" s="60" t="s">
        <v>179</v>
      </c>
      <c r="AH118" s="59" t="s">
        <v>179</v>
      </c>
      <c r="AI118" s="60">
        <v>0.99384300000000003</v>
      </c>
      <c r="AJ118" s="59">
        <v>-1.6661950000000001</v>
      </c>
      <c r="AK118" s="60">
        <v>-8.8898000000000005E-2</v>
      </c>
      <c r="AL118" s="59" t="s">
        <v>179</v>
      </c>
      <c r="AM118" s="60">
        <v>1.5825899999999999</v>
      </c>
      <c r="AN118" s="59">
        <v>2.248761</v>
      </c>
      <c r="AO118" s="60" t="s">
        <v>179</v>
      </c>
      <c r="AP118" s="59" t="s">
        <v>179</v>
      </c>
      <c r="AQ118" s="60">
        <v>1.6877340000000001</v>
      </c>
      <c r="AR118" s="59">
        <v>2.0909960000000001</v>
      </c>
      <c r="AS118" s="60">
        <v>1.29579</v>
      </c>
      <c r="AT118" s="59" t="s">
        <v>179</v>
      </c>
      <c r="AU118" s="60">
        <v>1.6378379999999999</v>
      </c>
      <c r="AV118" s="59" t="s">
        <v>179</v>
      </c>
      <c r="AW118" s="60" t="s">
        <v>179</v>
      </c>
      <c r="AX118" s="59" t="s">
        <v>179</v>
      </c>
      <c r="AY118" s="60" t="s">
        <v>179</v>
      </c>
      <c r="AZ118" s="59" t="s">
        <v>179</v>
      </c>
      <c r="BA118" s="60" t="s">
        <v>179</v>
      </c>
      <c r="BB118" s="59" t="s">
        <v>179</v>
      </c>
      <c r="BC118" s="60" t="s">
        <v>179</v>
      </c>
      <c r="BD118" s="59" t="s">
        <v>179</v>
      </c>
      <c r="BE118" s="60">
        <v>1.314344</v>
      </c>
    </row>
    <row r="119" spans="1:57" x14ac:dyDescent="0.35">
      <c r="A119" s="240"/>
      <c r="B119" s="240"/>
      <c r="C119" s="58" t="s">
        <v>295</v>
      </c>
      <c r="D119" s="59">
        <v>0.30809799999999998</v>
      </c>
      <c r="E119" s="60">
        <v>1.84598</v>
      </c>
      <c r="F119" s="59">
        <v>2.0191180000000002</v>
      </c>
      <c r="G119" s="60">
        <v>2.1638039999999998</v>
      </c>
      <c r="H119" s="59" t="s">
        <v>179</v>
      </c>
      <c r="I119" s="60" t="s">
        <v>179</v>
      </c>
      <c r="J119" s="59" t="s">
        <v>179</v>
      </c>
      <c r="K119" s="60">
        <v>1.8102849999999999</v>
      </c>
      <c r="L119" s="59" t="s">
        <v>179</v>
      </c>
      <c r="M119" s="60">
        <v>0.53441799999999995</v>
      </c>
      <c r="N119" s="59">
        <v>1.192261</v>
      </c>
      <c r="O119" s="60">
        <v>1.4855149999999999</v>
      </c>
      <c r="P119" s="59">
        <v>0.51436300000000001</v>
      </c>
      <c r="Q119" s="60" t="s">
        <v>179</v>
      </c>
      <c r="R119" s="59">
        <v>1.9835670000000001</v>
      </c>
      <c r="S119" s="60">
        <v>0.112619</v>
      </c>
      <c r="T119" s="59" t="s">
        <v>179</v>
      </c>
      <c r="U119" s="60">
        <v>1.80745</v>
      </c>
      <c r="V119" s="59">
        <v>0.59079999999999999</v>
      </c>
      <c r="W119" s="60">
        <v>4.8071760000000001</v>
      </c>
      <c r="X119" s="59" t="s">
        <v>179</v>
      </c>
      <c r="Y119" s="60" t="s">
        <v>179</v>
      </c>
      <c r="Z119" s="59">
        <v>1.531739</v>
      </c>
      <c r="AA119" s="60">
        <v>1.0469029999999999</v>
      </c>
      <c r="AB119" s="59">
        <v>9.9519999999999997E-2</v>
      </c>
      <c r="AC119" s="60" t="s">
        <v>179</v>
      </c>
      <c r="AD119" s="59">
        <v>1.7181759999999999</v>
      </c>
      <c r="AE119" s="60" t="s">
        <v>179</v>
      </c>
      <c r="AF119" s="59">
        <v>2.4879699999999998</v>
      </c>
      <c r="AG119" s="60" t="s">
        <v>179</v>
      </c>
      <c r="AH119" s="59" t="s">
        <v>179</v>
      </c>
      <c r="AI119" s="60">
        <v>1.154239</v>
      </c>
      <c r="AJ119" s="59">
        <v>1.7668999999999999</v>
      </c>
      <c r="AK119" s="60">
        <v>0.51292800000000005</v>
      </c>
      <c r="AL119" s="59" t="s">
        <v>179</v>
      </c>
      <c r="AM119" s="60">
        <v>-0.16525100000000001</v>
      </c>
      <c r="AN119" s="59">
        <v>0.73369600000000001</v>
      </c>
      <c r="AO119" s="60" t="s">
        <v>179</v>
      </c>
      <c r="AP119" s="59" t="s">
        <v>179</v>
      </c>
      <c r="AQ119" s="60">
        <v>0.92033900000000002</v>
      </c>
      <c r="AR119" s="59">
        <v>0.88066999999999995</v>
      </c>
      <c r="AS119" s="60">
        <v>1.2329669999999999</v>
      </c>
      <c r="AT119" s="59" t="s">
        <v>179</v>
      </c>
      <c r="AU119" s="60">
        <v>1.0256810000000001</v>
      </c>
      <c r="AV119" s="59" t="s">
        <v>179</v>
      </c>
      <c r="AW119" s="60" t="s">
        <v>179</v>
      </c>
      <c r="AX119" s="59" t="s">
        <v>179</v>
      </c>
      <c r="AY119" s="60" t="s">
        <v>179</v>
      </c>
      <c r="AZ119" s="59" t="s">
        <v>179</v>
      </c>
      <c r="BA119" s="60" t="s">
        <v>179</v>
      </c>
      <c r="BB119" s="59" t="s">
        <v>179</v>
      </c>
      <c r="BC119" s="60" t="s">
        <v>179</v>
      </c>
      <c r="BD119" s="59" t="s">
        <v>179</v>
      </c>
      <c r="BE119" s="60">
        <v>-1.995152</v>
      </c>
    </row>
    <row r="120" spans="1:57" x14ac:dyDescent="0.35">
      <c r="A120" s="240"/>
      <c r="B120" s="240"/>
      <c r="C120" s="58" t="s">
        <v>296</v>
      </c>
      <c r="D120" s="59">
        <v>0.81087900000000002</v>
      </c>
      <c r="E120" s="60">
        <v>2.2955399999999999</v>
      </c>
      <c r="F120" s="59">
        <v>0.87367099999999998</v>
      </c>
      <c r="G120" s="60">
        <v>0.44534400000000002</v>
      </c>
      <c r="H120" s="59" t="s">
        <v>179</v>
      </c>
      <c r="I120" s="60" t="s">
        <v>179</v>
      </c>
      <c r="J120" s="59" t="s">
        <v>179</v>
      </c>
      <c r="K120" s="60">
        <v>1.1849479999999999</v>
      </c>
      <c r="L120" s="59" t="s">
        <v>179</v>
      </c>
      <c r="M120" s="60">
        <v>1.115156</v>
      </c>
      <c r="N120" s="59">
        <v>0.472916</v>
      </c>
      <c r="O120" s="60">
        <v>2.9869E-2</v>
      </c>
      <c r="P120" s="59">
        <v>-2.4872070000000002</v>
      </c>
      <c r="Q120" s="60" t="s">
        <v>179</v>
      </c>
      <c r="R120" s="59">
        <v>2.2183609999999998</v>
      </c>
      <c r="S120" s="60">
        <v>0.94147400000000003</v>
      </c>
      <c r="T120" s="59" t="s">
        <v>179</v>
      </c>
      <c r="U120" s="60">
        <v>2.5414590000000001</v>
      </c>
      <c r="V120" s="59">
        <v>1.4060109999999999</v>
      </c>
      <c r="W120" s="60">
        <v>1.9401459999999999</v>
      </c>
      <c r="X120" s="59" t="s">
        <v>179</v>
      </c>
      <c r="Y120" s="60" t="s">
        <v>179</v>
      </c>
      <c r="Z120" s="59">
        <v>0.97423999999999999</v>
      </c>
      <c r="AA120" s="60">
        <v>0.82082500000000003</v>
      </c>
      <c r="AB120" s="59">
        <v>3.5330029999999999</v>
      </c>
      <c r="AC120" s="60" t="s">
        <v>179</v>
      </c>
      <c r="AD120" s="59">
        <v>1.3086340000000001</v>
      </c>
      <c r="AE120" s="60" t="s">
        <v>179</v>
      </c>
      <c r="AF120" s="59">
        <v>0.46368799999999999</v>
      </c>
      <c r="AG120" s="60" t="s">
        <v>179</v>
      </c>
      <c r="AH120" s="59" t="s">
        <v>179</v>
      </c>
      <c r="AI120" s="60">
        <v>0.96990799999999999</v>
      </c>
      <c r="AJ120" s="59">
        <v>-0.54132599999999997</v>
      </c>
      <c r="AK120" s="60">
        <v>1.658509</v>
      </c>
      <c r="AL120" s="59" t="s">
        <v>179</v>
      </c>
      <c r="AM120" s="60">
        <v>1.2519009999999999</v>
      </c>
      <c r="AN120" s="59">
        <v>0.54871999999999999</v>
      </c>
      <c r="AO120" s="60" t="s">
        <v>179</v>
      </c>
      <c r="AP120" s="59" t="s">
        <v>179</v>
      </c>
      <c r="AQ120" s="60">
        <v>0.81950000000000001</v>
      </c>
      <c r="AR120" s="59">
        <v>0.56627799999999995</v>
      </c>
      <c r="AS120" s="60">
        <v>1.0334209999999999</v>
      </c>
      <c r="AT120" s="59" t="s">
        <v>179</v>
      </c>
      <c r="AU120" s="60">
        <v>0.88340600000000002</v>
      </c>
      <c r="AV120" s="59" t="s">
        <v>179</v>
      </c>
      <c r="AW120" s="60" t="s">
        <v>179</v>
      </c>
      <c r="AX120" s="59" t="s">
        <v>179</v>
      </c>
      <c r="AY120" s="60" t="s">
        <v>179</v>
      </c>
      <c r="AZ120" s="59" t="s">
        <v>179</v>
      </c>
      <c r="BA120" s="60" t="s">
        <v>179</v>
      </c>
      <c r="BB120" s="59" t="s">
        <v>179</v>
      </c>
      <c r="BC120" s="60" t="s">
        <v>179</v>
      </c>
      <c r="BD120" s="59" t="s">
        <v>179</v>
      </c>
      <c r="BE120" s="60">
        <v>2.379248</v>
      </c>
    </row>
    <row r="121" spans="1:57" x14ac:dyDescent="0.35">
      <c r="A121" s="240"/>
      <c r="B121" s="240"/>
      <c r="C121" s="58" t="s">
        <v>297</v>
      </c>
      <c r="D121" s="59">
        <v>0.87214800000000003</v>
      </c>
      <c r="E121" s="60">
        <v>1.361667</v>
      </c>
      <c r="F121" s="59">
        <v>-0.27858699999999997</v>
      </c>
      <c r="G121" s="60">
        <v>0.20607500000000001</v>
      </c>
      <c r="H121" s="59" t="s">
        <v>179</v>
      </c>
      <c r="I121" s="60" t="s">
        <v>179</v>
      </c>
      <c r="J121" s="59" t="s">
        <v>179</v>
      </c>
      <c r="K121" s="60">
        <v>0.58488300000000004</v>
      </c>
      <c r="L121" s="59" t="s">
        <v>179</v>
      </c>
      <c r="M121" s="60">
        <v>0.83428599999999997</v>
      </c>
      <c r="N121" s="59">
        <v>1.2458400000000001</v>
      </c>
      <c r="O121" s="60">
        <v>1.85158</v>
      </c>
      <c r="P121" s="59">
        <v>7.8262070000000001</v>
      </c>
      <c r="Q121" s="60" t="s">
        <v>179</v>
      </c>
      <c r="R121" s="59">
        <v>2.3187489999999999</v>
      </c>
      <c r="S121" s="60">
        <v>1.853283</v>
      </c>
      <c r="T121" s="59" t="s">
        <v>179</v>
      </c>
      <c r="U121" s="60">
        <v>1.7346699999999999</v>
      </c>
      <c r="V121" s="59">
        <v>0.11891400000000001</v>
      </c>
      <c r="W121" s="60">
        <v>1.124698</v>
      </c>
      <c r="X121" s="59" t="s">
        <v>179</v>
      </c>
      <c r="Y121" s="60" t="s">
        <v>179</v>
      </c>
      <c r="Z121" s="59">
        <v>0.27567799999999998</v>
      </c>
      <c r="AA121" s="60">
        <v>0.59100399999999997</v>
      </c>
      <c r="AB121" s="59">
        <v>-1.6928719999999999</v>
      </c>
      <c r="AC121" s="60" t="s">
        <v>179</v>
      </c>
      <c r="AD121" s="59">
        <v>0.916126</v>
      </c>
      <c r="AE121" s="60" t="s">
        <v>179</v>
      </c>
      <c r="AF121" s="59">
        <v>3.2076859999999998</v>
      </c>
      <c r="AG121" s="60" t="s">
        <v>179</v>
      </c>
      <c r="AH121" s="59" t="s">
        <v>179</v>
      </c>
      <c r="AI121" s="60">
        <v>0.76789300000000005</v>
      </c>
      <c r="AJ121" s="59">
        <v>-0.46299600000000002</v>
      </c>
      <c r="AK121" s="60">
        <v>1.119221</v>
      </c>
      <c r="AL121" s="59" t="s">
        <v>179</v>
      </c>
      <c r="AM121" s="60">
        <v>2.1212689999999998</v>
      </c>
      <c r="AN121" s="59">
        <v>0.72484599999999999</v>
      </c>
      <c r="AO121" s="60" t="s">
        <v>179</v>
      </c>
      <c r="AP121" s="59" t="s">
        <v>179</v>
      </c>
      <c r="AQ121" s="60">
        <v>0.99066600000000005</v>
      </c>
      <c r="AR121" s="59">
        <v>0.66905099999999995</v>
      </c>
      <c r="AS121" s="60">
        <v>1.4455180000000001</v>
      </c>
      <c r="AT121" s="59" t="s">
        <v>179</v>
      </c>
      <c r="AU121" s="60">
        <v>0.95085399999999998</v>
      </c>
      <c r="AV121" s="59" t="s">
        <v>179</v>
      </c>
      <c r="AW121" s="60" t="s">
        <v>179</v>
      </c>
      <c r="AX121" s="59" t="s">
        <v>179</v>
      </c>
      <c r="AY121" s="60" t="s">
        <v>179</v>
      </c>
      <c r="AZ121" s="59" t="s">
        <v>179</v>
      </c>
      <c r="BA121" s="60" t="s">
        <v>179</v>
      </c>
      <c r="BB121" s="59" t="s">
        <v>179</v>
      </c>
      <c r="BC121" s="60" t="s">
        <v>179</v>
      </c>
      <c r="BD121" s="59" t="s">
        <v>179</v>
      </c>
      <c r="BE121" s="60">
        <v>-0.73083699999999996</v>
      </c>
    </row>
    <row r="122" spans="1:57" x14ac:dyDescent="0.35">
      <c r="A122" s="240"/>
      <c r="B122" s="240"/>
      <c r="C122" s="58" t="s">
        <v>298</v>
      </c>
      <c r="D122" s="59">
        <v>-0.54443900000000001</v>
      </c>
      <c r="E122" s="60">
        <v>0.18659000000000001</v>
      </c>
      <c r="F122" s="59">
        <v>-0.27887499999999998</v>
      </c>
      <c r="G122" s="60">
        <v>1.422042</v>
      </c>
      <c r="H122" s="59" t="s">
        <v>179</v>
      </c>
      <c r="I122" s="60" t="s">
        <v>179</v>
      </c>
      <c r="J122" s="59" t="s">
        <v>179</v>
      </c>
      <c r="K122" s="60">
        <v>-1.1981269999999999</v>
      </c>
      <c r="L122" s="59" t="s">
        <v>179</v>
      </c>
      <c r="M122" s="60">
        <v>-0.86138499999999996</v>
      </c>
      <c r="N122" s="59">
        <v>1.105448</v>
      </c>
      <c r="O122" s="60">
        <v>0.85394400000000004</v>
      </c>
      <c r="P122" s="59">
        <v>-0.46649200000000002</v>
      </c>
      <c r="Q122" s="60" t="s">
        <v>179</v>
      </c>
      <c r="R122" s="59">
        <v>2.2671060000000001</v>
      </c>
      <c r="S122" s="60">
        <v>2.4002620000000001</v>
      </c>
      <c r="T122" s="59" t="s">
        <v>179</v>
      </c>
      <c r="U122" s="60">
        <v>3.9609999999999999E-2</v>
      </c>
      <c r="V122" s="59">
        <v>2.1872569999999998</v>
      </c>
      <c r="W122" s="60">
        <v>1.0009410000000001</v>
      </c>
      <c r="X122" s="59" t="s">
        <v>179</v>
      </c>
      <c r="Y122" s="60" t="s">
        <v>179</v>
      </c>
      <c r="Z122" s="59">
        <v>-5.0325000000000002E-2</v>
      </c>
      <c r="AA122" s="60">
        <v>0.58921900000000005</v>
      </c>
      <c r="AB122" s="59">
        <v>1.2138420000000001</v>
      </c>
      <c r="AC122" s="60" t="s">
        <v>179</v>
      </c>
      <c r="AD122" s="59">
        <v>0.53559400000000001</v>
      </c>
      <c r="AE122" s="60" t="s">
        <v>179</v>
      </c>
      <c r="AF122" s="59">
        <v>0.92198199999999997</v>
      </c>
      <c r="AG122" s="60" t="s">
        <v>179</v>
      </c>
      <c r="AH122" s="59" t="s">
        <v>179</v>
      </c>
      <c r="AI122" s="60">
        <v>0.79223600000000005</v>
      </c>
      <c r="AJ122" s="59">
        <v>-2.0328629999999999</v>
      </c>
      <c r="AK122" s="60">
        <v>-5.8254E-2</v>
      </c>
      <c r="AL122" s="59" t="s">
        <v>179</v>
      </c>
      <c r="AM122" s="60">
        <v>2.8448000000000001E-2</v>
      </c>
      <c r="AN122" s="59">
        <v>1.181492</v>
      </c>
      <c r="AO122" s="60" t="s">
        <v>179</v>
      </c>
      <c r="AP122" s="59" t="s">
        <v>179</v>
      </c>
      <c r="AQ122" s="60">
        <v>1.1046659999999999</v>
      </c>
      <c r="AR122" s="59">
        <v>1.144347</v>
      </c>
      <c r="AS122" s="60">
        <v>0.43393999999999999</v>
      </c>
      <c r="AT122" s="59" t="s">
        <v>179</v>
      </c>
      <c r="AU122" s="60">
        <v>0.90711200000000003</v>
      </c>
      <c r="AV122" s="59" t="s">
        <v>179</v>
      </c>
      <c r="AW122" s="60" t="s">
        <v>179</v>
      </c>
      <c r="AX122" s="59" t="s">
        <v>179</v>
      </c>
      <c r="AY122" s="60" t="s">
        <v>179</v>
      </c>
      <c r="AZ122" s="59" t="s">
        <v>179</v>
      </c>
      <c r="BA122" s="60" t="s">
        <v>179</v>
      </c>
      <c r="BB122" s="59" t="s">
        <v>179</v>
      </c>
      <c r="BC122" s="60" t="s">
        <v>179</v>
      </c>
      <c r="BD122" s="59" t="s">
        <v>179</v>
      </c>
      <c r="BE122" s="60">
        <v>-0.218388</v>
      </c>
    </row>
    <row r="123" spans="1:57" x14ac:dyDescent="0.35">
      <c r="A123" s="240"/>
      <c r="B123" s="240"/>
      <c r="C123" s="58" t="s">
        <v>299</v>
      </c>
      <c r="D123" s="59">
        <v>1.4182779999999999</v>
      </c>
      <c r="E123" s="60">
        <v>1.4263330000000001</v>
      </c>
      <c r="F123" s="59">
        <v>-0.27571099999999998</v>
      </c>
      <c r="G123" s="60">
        <v>0.537242</v>
      </c>
      <c r="H123" s="59" t="s">
        <v>179</v>
      </c>
      <c r="I123" s="60" t="s">
        <v>179</v>
      </c>
      <c r="J123" s="59" t="s">
        <v>179</v>
      </c>
      <c r="K123" s="60">
        <v>-6.9879999999999998E-2</v>
      </c>
      <c r="L123" s="59" t="s">
        <v>179</v>
      </c>
      <c r="M123" s="60">
        <v>-0.12004099999999999</v>
      </c>
      <c r="N123" s="59">
        <v>0.43479600000000002</v>
      </c>
      <c r="O123" s="60">
        <v>0.56694900000000004</v>
      </c>
      <c r="P123" s="59">
        <v>-3.6516280000000001</v>
      </c>
      <c r="Q123" s="60" t="s">
        <v>179</v>
      </c>
      <c r="R123" s="59">
        <v>2.1083210000000001</v>
      </c>
      <c r="S123" s="60">
        <v>2.54949</v>
      </c>
      <c r="T123" s="59" t="s">
        <v>179</v>
      </c>
      <c r="U123" s="60">
        <v>-0.556863</v>
      </c>
      <c r="V123" s="59">
        <v>0.70378799999999997</v>
      </c>
      <c r="W123" s="60">
        <v>5.0731619999999999</v>
      </c>
      <c r="X123" s="59" t="s">
        <v>179</v>
      </c>
      <c r="Y123" s="60" t="s">
        <v>179</v>
      </c>
      <c r="Z123" s="59">
        <v>3.6881999999999998E-2</v>
      </c>
      <c r="AA123" s="60">
        <v>0.57454099999999997</v>
      </c>
      <c r="AB123" s="59">
        <v>1.3691999999999999E-2</v>
      </c>
      <c r="AC123" s="60" t="s">
        <v>179</v>
      </c>
      <c r="AD123" s="59">
        <v>0.71004999999999996</v>
      </c>
      <c r="AE123" s="60" t="s">
        <v>179</v>
      </c>
      <c r="AF123" s="59">
        <v>0.88902599999999998</v>
      </c>
      <c r="AG123" s="60" t="s">
        <v>179</v>
      </c>
      <c r="AH123" s="59" t="s">
        <v>179</v>
      </c>
      <c r="AI123" s="60">
        <v>0.45363100000000001</v>
      </c>
      <c r="AJ123" s="59">
        <v>1.0106809999999999</v>
      </c>
      <c r="AK123" s="60">
        <v>-5.0689999999999997E-3</v>
      </c>
      <c r="AL123" s="59" t="s">
        <v>179</v>
      </c>
      <c r="AM123" s="60">
        <v>-0.69461499999999998</v>
      </c>
      <c r="AN123" s="59">
        <v>1.9441090000000001</v>
      </c>
      <c r="AO123" s="60" t="s">
        <v>179</v>
      </c>
      <c r="AP123" s="59" t="s">
        <v>179</v>
      </c>
      <c r="AQ123" s="60">
        <v>0.97937600000000002</v>
      </c>
      <c r="AR123" s="59">
        <v>1.6969719999999999</v>
      </c>
      <c r="AS123" s="60">
        <v>7.2677000000000005E-2</v>
      </c>
      <c r="AT123" s="59" t="s">
        <v>179</v>
      </c>
      <c r="AU123" s="60">
        <v>0.87882400000000005</v>
      </c>
      <c r="AV123" s="59" t="s">
        <v>179</v>
      </c>
      <c r="AW123" s="60" t="s">
        <v>179</v>
      </c>
      <c r="AX123" s="59" t="s">
        <v>179</v>
      </c>
      <c r="AY123" s="60" t="s">
        <v>179</v>
      </c>
      <c r="AZ123" s="59" t="s">
        <v>179</v>
      </c>
      <c r="BA123" s="60" t="s">
        <v>179</v>
      </c>
      <c r="BB123" s="59" t="s">
        <v>179</v>
      </c>
      <c r="BC123" s="60" t="s">
        <v>179</v>
      </c>
      <c r="BD123" s="59" t="s">
        <v>179</v>
      </c>
      <c r="BE123" s="60">
        <v>9.6063999999999997E-2</v>
      </c>
    </row>
    <row r="124" spans="1:57" x14ac:dyDescent="0.35">
      <c r="A124" s="240"/>
      <c r="B124" s="240"/>
      <c r="C124" s="58" t="s">
        <v>300</v>
      </c>
      <c r="D124" s="59">
        <v>-0.42671999999999999</v>
      </c>
      <c r="E124" s="60">
        <v>0.31514700000000001</v>
      </c>
      <c r="F124" s="59">
        <v>0.31292999999999999</v>
      </c>
      <c r="G124" s="60">
        <v>0.52899499999999999</v>
      </c>
      <c r="H124" s="59" t="s">
        <v>179</v>
      </c>
      <c r="I124" s="60" t="s">
        <v>179</v>
      </c>
      <c r="J124" s="59" t="s">
        <v>179</v>
      </c>
      <c r="K124" s="60">
        <v>3.2900390000000002</v>
      </c>
      <c r="L124" s="59" t="s">
        <v>179</v>
      </c>
      <c r="M124" s="60">
        <v>0.61809599999999998</v>
      </c>
      <c r="N124" s="59">
        <v>0.45844299999999999</v>
      </c>
      <c r="O124" s="60">
        <v>-2.8905E-2</v>
      </c>
      <c r="P124" s="59">
        <v>0.360043</v>
      </c>
      <c r="Q124" s="60" t="s">
        <v>179</v>
      </c>
      <c r="R124" s="59">
        <v>1.896655</v>
      </c>
      <c r="S124" s="60">
        <v>2.4335469999999999</v>
      </c>
      <c r="T124" s="59" t="s">
        <v>179</v>
      </c>
      <c r="U124" s="60">
        <v>-0.93534799999999996</v>
      </c>
      <c r="V124" s="59">
        <v>0.68168700000000004</v>
      </c>
      <c r="W124" s="60">
        <v>6.0092059999999998</v>
      </c>
      <c r="X124" s="59" t="s">
        <v>179</v>
      </c>
      <c r="Y124" s="60" t="s">
        <v>179</v>
      </c>
      <c r="Z124" s="59">
        <v>0.50605500000000003</v>
      </c>
      <c r="AA124" s="60">
        <v>1.396296</v>
      </c>
      <c r="AB124" s="59">
        <v>0.82534700000000005</v>
      </c>
      <c r="AC124" s="60" t="s">
        <v>179</v>
      </c>
      <c r="AD124" s="59">
        <v>0.88106099999999998</v>
      </c>
      <c r="AE124" s="60" t="s">
        <v>179</v>
      </c>
      <c r="AF124" s="59">
        <v>1.004016</v>
      </c>
      <c r="AG124" s="60" t="s">
        <v>179</v>
      </c>
      <c r="AH124" s="59" t="s">
        <v>179</v>
      </c>
      <c r="AI124" s="60">
        <v>0.33229700000000001</v>
      </c>
      <c r="AJ124" s="59">
        <v>0.14307600000000001</v>
      </c>
      <c r="AK124" s="60">
        <v>0.78059699999999999</v>
      </c>
      <c r="AL124" s="59" t="s">
        <v>179</v>
      </c>
      <c r="AM124" s="60">
        <v>0.69656099999999999</v>
      </c>
      <c r="AN124" s="59">
        <v>1.804351</v>
      </c>
      <c r="AO124" s="60" t="s">
        <v>179</v>
      </c>
      <c r="AP124" s="59" t="s">
        <v>179</v>
      </c>
      <c r="AQ124" s="60">
        <v>0.930118</v>
      </c>
      <c r="AR124" s="59">
        <v>1.661654</v>
      </c>
      <c r="AS124" s="60">
        <v>0.24801000000000001</v>
      </c>
      <c r="AT124" s="59" t="s">
        <v>179</v>
      </c>
      <c r="AU124" s="60">
        <v>0.92476599999999998</v>
      </c>
      <c r="AV124" s="59" t="s">
        <v>179</v>
      </c>
      <c r="AW124" s="60" t="s">
        <v>179</v>
      </c>
      <c r="AX124" s="59" t="s">
        <v>179</v>
      </c>
      <c r="AY124" s="60" t="s">
        <v>179</v>
      </c>
      <c r="AZ124" s="59" t="s">
        <v>179</v>
      </c>
      <c r="BA124" s="60" t="s">
        <v>179</v>
      </c>
      <c r="BB124" s="59" t="s">
        <v>179</v>
      </c>
      <c r="BC124" s="60" t="s">
        <v>179</v>
      </c>
      <c r="BD124" s="59" t="s">
        <v>179</v>
      </c>
      <c r="BE124" s="60">
        <v>-0.38587300000000002</v>
      </c>
    </row>
    <row r="125" spans="1:57" x14ac:dyDescent="0.35">
      <c r="A125" s="240"/>
      <c r="B125" s="240"/>
      <c r="C125" s="58" t="s">
        <v>301</v>
      </c>
      <c r="D125" s="59">
        <v>-0.31276500000000002</v>
      </c>
      <c r="E125" s="60">
        <v>2.3055319999999999</v>
      </c>
      <c r="F125" s="59">
        <v>0.94035899999999994</v>
      </c>
      <c r="G125" s="60">
        <v>1.581113</v>
      </c>
      <c r="H125" s="59" t="s">
        <v>179</v>
      </c>
      <c r="I125" s="60" t="s">
        <v>179</v>
      </c>
      <c r="J125" s="59" t="s">
        <v>179</v>
      </c>
      <c r="K125" s="60">
        <v>-0.90590700000000002</v>
      </c>
      <c r="L125" s="59" t="s">
        <v>179</v>
      </c>
      <c r="M125" s="60">
        <v>-0.233206</v>
      </c>
      <c r="N125" s="59">
        <v>0.22825200000000001</v>
      </c>
      <c r="O125" s="60">
        <v>1.720637</v>
      </c>
      <c r="P125" s="59">
        <v>6.0319820000000002</v>
      </c>
      <c r="Q125" s="60" t="s">
        <v>179</v>
      </c>
      <c r="R125" s="59">
        <v>1.6473100000000001</v>
      </c>
      <c r="S125" s="60">
        <v>2.1326139999999998</v>
      </c>
      <c r="T125" s="59" t="s">
        <v>179</v>
      </c>
      <c r="U125" s="60">
        <v>0.85685299999999998</v>
      </c>
      <c r="V125" s="59">
        <v>1.356457</v>
      </c>
      <c r="W125" s="60">
        <v>3.768176</v>
      </c>
      <c r="X125" s="59" t="s">
        <v>179</v>
      </c>
      <c r="Y125" s="60" t="s">
        <v>179</v>
      </c>
      <c r="Z125" s="59">
        <v>1.0470379999999999</v>
      </c>
      <c r="AA125" s="60">
        <v>2.2413859999999999</v>
      </c>
      <c r="AB125" s="59">
        <v>0.99705200000000005</v>
      </c>
      <c r="AC125" s="60" t="s">
        <v>179</v>
      </c>
      <c r="AD125" s="59">
        <v>1.047887</v>
      </c>
      <c r="AE125" s="60" t="s">
        <v>179</v>
      </c>
      <c r="AF125" s="59">
        <v>0.70294699999999999</v>
      </c>
      <c r="AG125" s="60" t="s">
        <v>179</v>
      </c>
      <c r="AH125" s="59" t="s">
        <v>179</v>
      </c>
      <c r="AI125" s="60">
        <v>0.66805400000000004</v>
      </c>
      <c r="AJ125" s="59">
        <v>-0.59186799999999995</v>
      </c>
      <c r="AK125" s="60">
        <v>-6.2868999999999994E-2</v>
      </c>
      <c r="AL125" s="59" t="s">
        <v>179</v>
      </c>
      <c r="AM125" s="60">
        <v>1.715619</v>
      </c>
      <c r="AN125" s="59">
        <v>2.1870000000000001E-3</v>
      </c>
      <c r="AO125" s="60" t="s">
        <v>179</v>
      </c>
      <c r="AP125" s="59" t="s">
        <v>179</v>
      </c>
      <c r="AQ125" s="60">
        <v>0.70803099999999997</v>
      </c>
      <c r="AR125" s="59">
        <v>0.34085599999999999</v>
      </c>
      <c r="AS125" s="60">
        <v>1.1018129999999999</v>
      </c>
      <c r="AT125" s="59" t="s">
        <v>179</v>
      </c>
      <c r="AU125" s="60">
        <v>0.81278300000000003</v>
      </c>
      <c r="AV125" s="59" t="s">
        <v>179</v>
      </c>
      <c r="AW125" s="60" t="s">
        <v>179</v>
      </c>
      <c r="AX125" s="59" t="s">
        <v>179</v>
      </c>
      <c r="AY125" s="60" t="s">
        <v>179</v>
      </c>
      <c r="AZ125" s="59" t="s">
        <v>179</v>
      </c>
      <c r="BA125" s="60" t="s">
        <v>179</v>
      </c>
      <c r="BB125" s="59" t="s">
        <v>179</v>
      </c>
      <c r="BC125" s="60" t="s">
        <v>179</v>
      </c>
      <c r="BD125" s="59" t="s">
        <v>179</v>
      </c>
      <c r="BE125" s="60">
        <v>0.51350600000000002</v>
      </c>
    </row>
    <row r="126" spans="1:57" x14ac:dyDescent="0.35">
      <c r="A126" s="240"/>
      <c r="B126" s="240"/>
      <c r="C126" s="58" t="s">
        <v>302</v>
      </c>
      <c r="D126" s="59">
        <v>0.70517600000000003</v>
      </c>
      <c r="E126" s="60">
        <v>-4.3757869999999999</v>
      </c>
      <c r="F126" s="59">
        <v>0.92598400000000003</v>
      </c>
      <c r="G126" s="60">
        <v>0.84085299999999996</v>
      </c>
      <c r="H126" s="59" t="s">
        <v>179</v>
      </c>
      <c r="I126" s="60" t="s">
        <v>179</v>
      </c>
      <c r="J126" s="59" t="s">
        <v>179</v>
      </c>
      <c r="K126" s="60">
        <v>-1.907818</v>
      </c>
      <c r="L126" s="59" t="s">
        <v>179</v>
      </c>
      <c r="M126" s="60">
        <v>1.0832379999999999</v>
      </c>
      <c r="N126" s="59">
        <v>1.3891389999999999</v>
      </c>
      <c r="O126" s="60">
        <v>0.41211500000000001</v>
      </c>
      <c r="P126" s="59">
        <v>3.9179339999999998</v>
      </c>
      <c r="Q126" s="60" t="s">
        <v>179</v>
      </c>
      <c r="R126" s="59">
        <v>1.410812</v>
      </c>
      <c r="S126" s="60">
        <v>1.7646250000000001</v>
      </c>
      <c r="T126" s="59" t="s">
        <v>179</v>
      </c>
      <c r="U126" s="60">
        <v>1.6342939999999999</v>
      </c>
      <c r="V126" s="59">
        <v>1.8891849999999999</v>
      </c>
      <c r="W126" s="60">
        <v>-0.80949899999999997</v>
      </c>
      <c r="X126" s="59" t="s">
        <v>179</v>
      </c>
      <c r="Y126" s="60" t="s">
        <v>179</v>
      </c>
      <c r="Z126" s="59">
        <v>1.3110999999999999</v>
      </c>
      <c r="AA126" s="60">
        <v>2.1788479999999999</v>
      </c>
      <c r="AB126" s="59">
        <v>0.25352400000000003</v>
      </c>
      <c r="AC126" s="60" t="s">
        <v>179</v>
      </c>
      <c r="AD126" s="59">
        <v>1.5323359999999999</v>
      </c>
      <c r="AE126" s="60" t="s">
        <v>179</v>
      </c>
      <c r="AF126" s="59">
        <v>0.48131400000000002</v>
      </c>
      <c r="AG126" s="60" t="s">
        <v>179</v>
      </c>
      <c r="AH126" s="59" t="s">
        <v>179</v>
      </c>
      <c r="AI126" s="60">
        <v>0.62425299999999995</v>
      </c>
      <c r="AJ126" s="59">
        <v>1.622628</v>
      </c>
      <c r="AK126" s="60">
        <v>-1.2581999999999999E-2</v>
      </c>
      <c r="AL126" s="59" t="s">
        <v>179</v>
      </c>
      <c r="AM126" s="60">
        <v>0.89191799999999999</v>
      </c>
      <c r="AN126" s="59">
        <v>0.31917800000000002</v>
      </c>
      <c r="AO126" s="60" t="s">
        <v>179</v>
      </c>
      <c r="AP126" s="59" t="s">
        <v>179</v>
      </c>
      <c r="AQ126" s="60">
        <v>0.82725000000000004</v>
      </c>
      <c r="AR126" s="59">
        <v>0.54055900000000001</v>
      </c>
      <c r="AS126" s="60">
        <v>0.80476499999999995</v>
      </c>
      <c r="AT126" s="59" t="s">
        <v>179</v>
      </c>
      <c r="AU126" s="60">
        <v>0.80023100000000003</v>
      </c>
      <c r="AV126" s="59" t="s">
        <v>179</v>
      </c>
      <c r="AW126" s="60" t="s">
        <v>179</v>
      </c>
      <c r="AX126" s="59" t="s">
        <v>179</v>
      </c>
      <c r="AY126" s="60" t="s">
        <v>179</v>
      </c>
      <c r="AZ126" s="59" t="s">
        <v>179</v>
      </c>
      <c r="BA126" s="60" t="s">
        <v>179</v>
      </c>
      <c r="BB126" s="59" t="s">
        <v>179</v>
      </c>
      <c r="BC126" s="60" t="s">
        <v>179</v>
      </c>
      <c r="BD126" s="59" t="s">
        <v>179</v>
      </c>
      <c r="BE126" s="60">
        <v>1.6443369999999999</v>
      </c>
    </row>
    <row r="127" spans="1:57" x14ac:dyDescent="0.35">
      <c r="A127" s="240"/>
      <c r="B127" s="240"/>
      <c r="C127" s="58" t="s">
        <v>303</v>
      </c>
      <c r="D127" s="59">
        <v>0.82006500000000004</v>
      </c>
      <c r="E127" s="60">
        <v>1.884673</v>
      </c>
      <c r="F127" s="59">
        <v>0.90815800000000002</v>
      </c>
      <c r="G127" s="60">
        <v>0.68599600000000005</v>
      </c>
      <c r="H127" s="59" t="s">
        <v>179</v>
      </c>
      <c r="I127" s="60" t="s">
        <v>179</v>
      </c>
      <c r="J127" s="59" t="s">
        <v>179</v>
      </c>
      <c r="K127" s="60">
        <v>2.178223</v>
      </c>
      <c r="L127" s="59" t="s">
        <v>179</v>
      </c>
      <c r="M127" s="60">
        <v>0.70501999999999998</v>
      </c>
      <c r="N127" s="59">
        <v>1.662617</v>
      </c>
      <c r="O127" s="60">
        <v>0.39638200000000001</v>
      </c>
      <c r="P127" s="59">
        <v>-1.5863670000000001</v>
      </c>
      <c r="Q127" s="60" t="s">
        <v>179</v>
      </c>
      <c r="R127" s="59">
        <v>1.247333</v>
      </c>
      <c r="S127" s="60">
        <v>1.4263790000000001</v>
      </c>
      <c r="T127" s="59" t="s">
        <v>179</v>
      </c>
      <c r="U127" s="60">
        <v>1.729759</v>
      </c>
      <c r="V127" s="59">
        <v>0.972001</v>
      </c>
      <c r="W127" s="60">
        <v>3.0822419999999999</v>
      </c>
      <c r="X127" s="59" t="s">
        <v>179</v>
      </c>
      <c r="Y127" s="60" t="s">
        <v>179</v>
      </c>
      <c r="Z127" s="59">
        <v>1.285131</v>
      </c>
      <c r="AA127" s="60">
        <v>2.1107300000000002</v>
      </c>
      <c r="AB127" s="59">
        <v>0.183915</v>
      </c>
      <c r="AC127" s="60" t="s">
        <v>179</v>
      </c>
      <c r="AD127" s="59">
        <v>1.6211439999999999</v>
      </c>
      <c r="AE127" s="60" t="s">
        <v>179</v>
      </c>
      <c r="AF127" s="59">
        <v>0.47728100000000001</v>
      </c>
      <c r="AG127" s="60" t="s">
        <v>179</v>
      </c>
      <c r="AH127" s="59" t="s">
        <v>179</v>
      </c>
      <c r="AI127" s="60">
        <v>0.202602</v>
      </c>
      <c r="AJ127" s="59">
        <v>1.5578890000000001</v>
      </c>
      <c r="AK127" s="60">
        <v>0.22650100000000001</v>
      </c>
      <c r="AL127" s="59" t="s">
        <v>179</v>
      </c>
      <c r="AM127" s="60">
        <v>1.1649320000000001</v>
      </c>
      <c r="AN127" s="59">
        <v>3.8642509999999999</v>
      </c>
      <c r="AO127" s="60" t="s">
        <v>179</v>
      </c>
      <c r="AP127" s="59" t="s">
        <v>179</v>
      </c>
      <c r="AQ127" s="60">
        <v>2.2864149999999999</v>
      </c>
      <c r="AR127" s="59">
        <v>3.4324699999999999</v>
      </c>
      <c r="AS127" s="60">
        <v>0.92891400000000002</v>
      </c>
      <c r="AT127" s="59" t="s">
        <v>179</v>
      </c>
      <c r="AU127" s="60">
        <v>1.986788</v>
      </c>
      <c r="AV127" s="59" t="s">
        <v>179</v>
      </c>
      <c r="AW127" s="60" t="s">
        <v>179</v>
      </c>
      <c r="AX127" s="59" t="s">
        <v>179</v>
      </c>
      <c r="AY127" s="60" t="s">
        <v>179</v>
      </c>
      <c r="AZ127" s="59" t="s">
        <v>179</v>
      </c>
      <c r="BA127" s="60" t="s">
        <v>179</v>
      </c>
      <c r="BB127" s="59" t="s">
        <v>179</v>
      </c>
      <c r="BC127" s="60" t="s">
        <v>179</v>
      </c>
      <c r="BD127" s="59" t="s">
        <v>179</v>
      </c>
      <c r="BE127" s="60">
        <v>1.932725</v>
      </c>
    </row>
    <row r="128" spans="1:57" x14ac:dyDescent="0.35">
      <c r="A128" s="240"/>
      <c r="B128" s="240"/>
      <c r="C128" s="58" t="s">
        <v>304</v>
      </c>
      <c r="D128" s="59">
        <v>1.5168509999999999</v>
      </c>
      <c r="E128" s="60">
        <v>0.65760700000000005</v>
      </c>
      <c r="F128" s="59">
        <v>0.64427299999999998</v>
      </c>
      <c r="G128" s="60">
        <v>0.95450900000000005</v>
      </c>
      <c r="H128" s="59" t="s">
        <v>179</v>
      </c>
      <c r="I128" s="60" t="s">
        <v>179</v>
      </c>
      <c r="J128" s="59" t="s">
        <v>179</v>
      </c>
      <c r="K128" s="60">
        <v>1.622225</v>
      </c>
      <c r="L128" s="59" t="s">
        <v>179</v>
      </c>
      <c r="M128" s="60">
        <v>0.43685200000000002</v>
      </c>
      <c r="N128" s="59">
        <v>-8.7957999999999995E-2</v>
      </c>
      <c r="O128" s="60">
        <v>1.3113410000000001</v>
      </c>
      <c r="P128" s="59">
        <v>-3.1798820000000001</v>
      </c>
      <c r="Q128" s="60" t="s">
        <v>179</v>
      </c>
      <c r="R128" s="59">
        <v>1.142055</v>
      </c>
      <c r="S128" s="60">
        <v>1.090713</v>
      </c>
      <c r="T128" s="59" t="s">
        <v>179</v>
      </c>
      <c r="U128" s="60">
        <v>0.52621600000000002</v>
      </c>
      <c r="V128" s="59">
        <v>1.293282</v>
      </c>
      <c r="W128" s="60">
        <v>1.8592880000000001</v>
      </c>
      <c r="X128" s="59" t="s">
        <v>179</v>
      </c>
      <c r="Y128" s="60" t="s">
        <v>179</v>
      </c>
      <c r="Z128" s="59">
        <v>1.031801</v>
      </c>
      <c r="AA128" s="60">
        <v>2.2376649999999998</v>
      </c>
      <c r="AB128" s="59">
        <v>0.93509799999999998</v>
      </c>
      <c r="AC128" s="60" t="s">
        <v>179</v>
      </c>
      <c r="AD128" s="59">
        <v>1.200097</v>
      </c>
      <c r="AE128" s="60" t="s">
        <v>179</v>
      </c>
      <c r="AF128" s="59">
        <v>0.53666700000000001</v>
      </c>
      <c r="AG128" s="60" t="s">
        <v>179</v>
      </c>
      <c r="AH128" s="59" t="s">
        <v>179</v>
      </c>
      <c r="AI128" s="60">
        <v>-0.12271</v>
      </c>
      <c r="AJ128" s="59">
        <v>-2.062252</v>
      </c>
      <c r="AK128" s="60">
        <v>3.5153999999999998E-2</v>
      </c>
      <c r="AL128" s="59" t="s">
        <v>179</v>
      </c>
      <c r="AM128" s="60">
        <v>1.3748560000000001</v>
      </c>
      <c r="AN128" s="59">
        <v>1.0055229999999999</v>
      </c>
      <c r="AO128" s="60" t="s">
        <v>179</v>
      </c>
      <c r="AP128" s="59" t="s">
        <v>179</v>
      </c>
      <c r="AQ128" s="60">
        <v>0.98575999999999997</v>
      </c>
      <c r="AR128" s="59">
        <v>1.120276</v>
      </c>
      <c r="AS128" s="60">
        <v>0.54746899999999998</v>
      </c>
      <c r="AT128" s="59" t="s">
        <v>179</v>
      </c>
      <c r="AU128" s="60">
        <v>0.90294200000000002</v>
      </c>
      <c r="AV128" s="59" t="s">
        <v>179</v>
      </c>
      <c r="AW128" s="60" t="s">
        <v>179</v>
      </c>
      <c r="AX128" s="59" t="s">
        <v>179</v>
      </c>
      <c r="AY128" s="60" t="s">
        <v>179</v>
      </c>
      <c r="AZ128" s="59" t="s">
        <v>179</v>
      </c>
      <c r="BA128" s="60" t="s">
        <v>179</v>
      </c>
      <c r="BB128" s="59" t="s">
        <v>179</v>
      </c>
      <c r="BC128" s="60" t="s">
        <v>179</v>
      </c>
      <c r="BD128" s="59" t="s">
        <v>179</v>
      </c>
      <c r="BE128" s="60">
        <v>-1.075844</v>
      </c>
    </row>
    <row r="129" spans="1:57" x14ac:dyDescent="0.35">
      <c r="A129" s="240"/>
      <c r="B129" s="240"/>
      <c r="C129" s="58" t="s">
        <v>305</v>
      </c>
      <c r="D129" s="59">
        <v>0.82977800000000002</v>
      </c>
      <c r="E129" s="60">
        <v>0.66514700000000004</v>
      </c>
      <c r="F129" s="59">
        <v>0.36355999999999999</v>
      </c>
      <c r="G129" s="60">
        <v>0.87695699999999999</v>
      </c>
      <c r="H129" s="59" t="s">
        <v>179</v>
      </c>
      <c r="I129" s="60" t="s">
        <v>179</v>
      </c>
      <c r="J129" s="59" t="s">
        <v>179</v>
      </c>
      <c r="K129" s="60">
        <v>0.19866400000000001</v>
      </c>
      <c r="L129" s="59" t="s">
        <v>179</v>
      </c>
      <c r="M129" s="60">
        <v>2.1747619999999999</v>
      </c>
      <c r="N129" s="59">
        <v>0.85111099999999995</v>
      </c>
      <c r="O129" s="60">
        <v>1.1691050000000001</v>
      </c>
      <c r="P129" s="59">
        <v>9.6421240000000008</v>
      </c>
      <c r="Q129" s="60" t="s">
        <v>179</v>
      </c>
      <c r="R129" s="59">
        <v>1.0910530000000001</v>
      </c>
      <c r="S129" s="60">
        <v>0.79929399999999995</v>
      </c>
      <c r="T129" s="59" t="s">
        <v>179</v>
      </c>
      <c r="U129" s="60">
        <v>1.5238309999999999</v>
      </c>
      <c r="V129" s="59">
        <v>1.4430620000000001</v>
      </c>
      <c r="W129" s="60">
        <v>4.7973520000000001</v>
      </c>
      <c r="X129" s="59" t="s">
        <v>179</v>
      </c>
      <c r="Y129" s="60" t="s">
        <v>179</v>
      </c>
      <c r="Z129" s="59">
        <v>0.696245</v>
      </c>
      <c r="AA129" s="60">
        <v>2.353971</v>
      </c>
      <c r="AB129" s="59">
        <v>1.7562469999999999</v>
      </c>
      <c r="AC129" s="60" t="s">
        <v>179</v>
      </c>
      <c r="AD129" s="59">
        <v>0.13155</v>
      </c>
      <c r="AE129" s="60" t="s">
        <v>179</v>
      </c>
      <c r="AF129" s="59">
        <v>1.7168460000000001</v>
      </c>
      <c r="AG129" s="60" t="s">
        <v>179</v>
      </c>
      <c r="AH129" s="59" t="s">
        <v>179</v>
      </c>
      <c r="AI129" s="60">
        <v>-0.14799100000000001</v>
      </c>
      <c r="AJ129" s="59">
        <v>1.628871</v>
      </c>
      <c r="AK129" s="60">
        <v>0.38655600000000001</v>
      </c>
      <c r="AL129" s="59" t="s">
        <v>179</v>
      </c>
      <c r="AM129" s="60">
        <v>0.90688800000000003</v>
      </c>
      <c r="AN129" s="59">
        <v>1.3441460000000001</v>
      </c>
      <c r="AO129" s="60" t="s">
        <v>179</v>
      </c>
      <c r="AP129" s="59" t="s">
        <v>179</v>
      </c>
      <c r="AQ129" s="60">
        <v>1.2576270000000001</v>
      </c>
      <c r="AR129" s="59">
        <v>1.4053929999999999</v>
      </c>
      <c r="AS129" s="60">
        <v>1.1318649999999999</v>
      </c>
      <c r="AT129" s="59" t="s">
        <v>179</v>
      </c>
      <c r="AU129" s="60">
        <v>1.3135110000000001</v>
      </c>
      <c r="AV129" s="59" t="s">
        <v>179</v>
      </c>
      <c r="AW129" s="60" t="s">
        <v>179</v>
      </c>
      <c r="AX129" s="59" t="s">
        <v>179</v>
      </c>
      <c r="AY129" s="60" t="s">
        <v>179</v>
      </c>
      <c r="AZ129" s="59" t="s">
        <v>179</v>
      </c>
      <c r="BA129" s="60" t="s">
        <v>179</v>
      </c>
      <c r="BB129" s="59" t="s">
        <v>179</v>
      </c>
      <c r="BC129" s="60" t="s">
        <v>179</v>
      </c>
      <c r="BD129" s="59" t="s">
        <v>179</v>
      </c>
      <c r="BE129" s="60">
        <v>0.91014499999999998</v>
      </c>
    </row>
    <row r="130" spans="1:57" x14ac:dyDescent="0.35">
      <c r="A130" s="240"/>
      <c r="B130" s="240"/>
      <c r="C130" s="58" t="s">
        <v>306</v>
      </c>
      <c r="D130" s="59">
        <v>2.736634</v>
      </c>
      <c r="E130" s="60">
        <v>2.316319</v>
      </c>
      <c r="F130" s="59">
        <v>0.36027999999999999</v>
      </c>
      <c r="G130" s="60">
        <v>0.83195200000000002</v>
      </c>
      <c r="H130" s="59" t="s">
        <v>179</v>
      </c>
      <c r="I130" s="60" t="s">
        <v>179</v>
      </c>
      <c r="J130" s="59" t="s">
        <v>179</v>
      </c>
      <c r="K130" s="60">
        <v>0.92283599999999999</v>
      </c>
      <c r="L130" s="59" t="s">
        <v>179</v>
      </c>
      <c r="M130" s="60">
        <v>2.0302349999999998</v>
      </c>
      <c r="N130" s="59">
        <v>0.86005500000000001</v>
      </c>
      <c r="O130" s="60">
        <v>0.123656</v>
      </c>
      <c r="P130" s="59">
        <v>0.419402</v>
      </c>
      <c r="Q130" s="60" t="s">
        <v>179</v>
      </c>
      <c r="R130" s="59">
        <v>1.103745</v>
      </c>
      <c r="S130" s="60">
        <v>0.61380199999999996</v>
      </c>
      <c r="T130" s="59" t="s">
        <v>179</v>
      </c>
      <c r="U130" s="60">
        <v>1.5799749999999999</v>
      </c>
      <c r="V130" s="59">
        <v>1.495581</v>
      </c>
      <c r="W130" s="60">
        <v>4.4860199999999999</v>
      </c>
      <c r="X130" s="59" t="s">
        <v>179</v>
      </c>
      <c r="Y130" s="60" t="s">
        <v>179</v>
      </c>
      <c r="Z130" s="59">
        <v>0.45198700000000003</v>
      </c>
      <c r="AA130" s="60">
        <v>2.2754449999999999</v>
      </c>
      <c r="AB130" s="59">
        <v>-4.905977</v>
      </c>
      <c r="AC130" s="60" t="s">
        <v>179</v>
      </c>
      <c r="AD130" s="59">
        <v>-0.43654199999999999</v>
      </c>
      <c r="AE130" s="60" t="s">
        <v>179</v>
      </c>
      <c r="AF130" s="59">
        <v>1.063669</v>
      </c>
      <c r="AG130" s="60" t="s">
        <v>179</v>
      </c>
      <c r="AH130" s="59" t="s">
        <v>179</v>
      </c>
      <c r="AI130" s="60">
        <v>-0.15939600000000001</v>
      </c>
      <c r="AJ130" s="59">
        <v>2.0640179999999999</v>
      </c>
      <c r="AK130" s="60">
        <v>0.72512699999999997</v>
      </c>
      <c r="AL130" s="59" t="s">
        <v>179</v>
      </c>
      <c r="AM130" s="60">
        <v>-0.35495599999999999</v>
      </c>
      <c r="AN130" s="59">
        <v>0.179784</v>
      </c>
      <c r="AO130" s="60" t="s">
        <v>179</v>
      </c>
      <c r="AP130" s="59" t="s">
        <v>179</v>
      </c>
      <c r="AQ130" s="60">
        <v>0.52266900000000005</v>
      </c>
      <c r="AR130" s="59">
        <v>0.43769799999999998</v>
      </c>
      <c r="AS130" s="60">
        <v>0.29904500000000001</v>
      </c>
      <c r="AT130" s="59" t="s">
        <v>179</v>
      </c>
      <c r="AU130" s="60">
        <v>0.58279199999999998</v>
      </c>
      <c r="AV130" s="59" t="s">
        <v>179</v>
      </c>
      <c r="AW130" s="60" t="s">
        <v>179</v>
      </c>
      <c r="AX130" s="59" t="s">
        <v>179</v>
      </c>
      <c r="AY130" s="60" t="s">
        <v>179</v>
      </c>
      <c r="AZ130" s="59" t="s">
        <v>179</v>
      </c>
      <c r="BA130" s="60" t="s">
        <v>179</v>
      </c>
      <c r="BB130" s="59" t="s">
        <v>179</v>
      </c>
      <c r="BC130" s="60" t="s">
        <v>179</v>
      </c>
      <c r="BD130" s="59" t="s">
        <v>179</v>
      </c>
      <c r="BE130" s="60">
        <v>1.7503629999999999</v>
      </c>
    </row>
    <row r="131" spans="1:57" x14ac:dyDescent="0.35">
      <c r="A131" s="240"/>
      <c r="B131" s="240"/>
      <c r="C131" s="58" t="s">
        <v>307</v>
      </c>
      <c r="D131" s="59">
        <v>-1.6020570000000001</v>
      </c>
      <c r="E131" s="60">
        <v>1.2889999999999999</v>
      </c>
      <c r="F131" s="59">
        <v>0.354987</v>
      </c>
      <c r="G131" s="60">
        <v>1.347064</v>
      </c>
      <c r="H131" s="59" t="s">
        <v>179</v>
      </c>
      <c r="I131" s="60" t="s">
        <v>179</v>
      </c>
      <c r="J131" s="59" t="s">
        <v>179</v>
      </c>
      <c r="K131" s="60">
        <v>1.737239</v>
      </c>
      <c r="L131" s="59" t="s">
        <v>179</v>
      </c>
      <c r="M131" s="60">
        <v>2.3749669999999998</v>
      </c>
      <c r="N131" s="59">
        <v>0.95599199999999995</v>
      </c>
      <c r="O131" s="60">
        <v>3.1052529999999998</v>
      </c>
      <c r="P131" s="59">
        <v>-0.56457100000000005</v>
      </c>
      <c r="Q131" s="60" t="s">
        <v>179</v>
      </c>
      <c r="R131" s="59">
        <v>1.1958660000000001</v>
      </c>
      <c r="S131" s="60">
        <v>0.56655900000000003</v>
      </c>
      <c r="T131" s="59" t="s">
        <v>179</v>
      </c>
      <c r="U131" s="60">
        <v>0.72709599999999996</v>
      </c>
      <c r="V131" s="59">
        <v>1.8271550000000001</v>
      </c>
      <c r="W131" s="60">
        <v>0.75583199999999995</v>
      </c>
      <c r="X131" s="59" t="s">
        <v>179</v>
      </c>
      <c r="Y131" s="60" t="s">
        <v>179</v>
      </c>
      <c r="Z131" s="59">
        <v>0.34532400000000002</v>
      </c>
      <c r="AA131" s="60">
        <v>2.21204</v>
      </c>
      <c r="AB131" s="59">
        <v>5.8247669999999996</v>
      </c>
      <c r="AC131" s="60" t="s">
        <v>179</v>
      </c>
      <c r="AD131" s="59">
        <v>2.990084</v>
      </c>
      <c r="AE131" s="60" t="s">
        <v>179</v>
      </c>
      <c r="AF131" s="59">
        <v>2.126871</v>
      </c>
      <c r="AG131" s="60" t="s">
        <v>179</v>
      </c>
      <c r="AH131" s="59" t="s">
        <v>179</v>
      </c>
      <c r="AI131" s="60">
        <v>0.155449</v>
      </c>
      <c r="AJ131" s="59">
        <v>1.6055900000000001</v>
      </c>
      <c r="AK131" s="60">
        <v>0.56103099999999995</v>
      </c>
      <c r="AL131" s="59" t="s">
        <v>179</v>
      </c>
      <c r="AM131" s="60">
        <v>4.417224</v>
      </c>
      <c r="AN131" s="59">
        <v>0.106929</v>
      </c>
      <c r="AO131" s="60" t="s">
        <v>179</v>
      </c>
      <c r="AP131" s="59" t="s">
        <v>179</v>
      </c>
      <c r="AQ131" s="60">
        <v>1.2449129999999999</v>
      </c>
      <c r="AR131" s="59">
        <v>0.41654000000000002</v>
      </c>
      <c r="AS131" s="60">
        <v>1.9866870000000001</v>
      </c>
      <c r="AT131" s="59" t="s">
        <v>179</v>
      </c>
      <c r="AU131" s="60">
        <v>1.2270730000000001</v>
      </c>
      <c r="AV131" s="59" t="s">
        <v>179</v>
      </c>
      <c r="AW131" s="60" t="s">
        <v>179</v>
      </c>
      <c r="AX131" s="59" t="s">
        <v>179</v>
      </c>
      <c r="AY131" s="60" t="s">
        <v>179</v>
      </c>
      <c r="AZ131" s="59" t="s">
        <v>179</v>
      </c>
      <c r="BA131" s="60" t="s">
        <v>179</v>
      </c>
      <c r="BB131" s="59" t="s">
        <v>179</v>
      </c>
      <c r="BC131" s="60" t="s">
        <v>179</v>
      </c>
      <c r="BD131" s="59" t="s">
        <v>179</v>
      </c>
      <c r="BE131" s="60">
        <v>0.64602999999999999</v>
      </c>
    </row>
    <row r="132" spans="1:57" x14ac:dyDescent="0.35">
      <c r="A132" s="240"/>
      <c r="B132" s="240"/>
      <c r="C132" s="58" t="s">
        <v>308</v>
      </c>
      <c r="D132" s="59">
        <v>0.92893000000000003</v>
      </c>
      <c r="E132" s="60">
        <v>0.879436</v>
      </c>
      <c r="F132" s="59">
        <v>0.95392200000000005</v>
      </c>
      <c r="G132" s="60">
        <v>0.69198400000000004</v>
      </c>
      <c r="H132" s="59" t="s">
        <v>179</v>
      </c>
      <c r="I132" s="60" t="s">
        <v>179</v>
      </c>
      <c r="J132" s="59" t="s">
        <v>179</v>
      </c>
      <c r="K132" s="60">
        <v>-0.66747699999999999</v>
      </c>
      <c r="L132" s="59" t="s">
        <v>179</v>
      </c>
      <c r="M132" s="60">
        <v>0.85688900000000001</v>
      </c>
      <c r="N132" s="59">
        <v>1.1430990000000001</v>
      </c>
      <c r="O132" s="60">
        <v>7.9999999999999996E-6</v>
      </c>
      <c r="P132" s="59">
        <v>-5.3639910000000004</v>
      </c>
      <c r="Q132" s="60" t="s">
        <v>179</v>
      </c>
      <c r="R132" s="59">
        <v>1.376404</v>
      </c>
      <c r="S132" s="60">
        <v>0.636799</v>
      </c>
      <c r="T132" s="59" t="s">
        <v>179</v>
      </c>
      <c r="U132" s="60">
        <v>1.7304079999999999</v>
      </c>
      <c r="V132" s="59">
        <v>0.76266400000000001</v>
      </c>
      <c r="W132" s="60">
        <v>-2.7677230000000002</v>
      </c>
      <c r="X132" s="59" t="s">
        <v>179</v>
      </c>
      <c r="Y132" s="60" t="s">
        <v>179</v>
      </c>
      <c r="Z132" s="59">
        <v>0.344752</v>
      </c>
      <c r="AA132" s="60">
        <v>2.070865</v>
      </c>
      <c r="AB132" s="59">
        <v>0.74005600000000005</v>
      </c>
      <c r="AC132" s="60" t="s">
        <v>179</v>
      </c>
      <c r="AD132" s="59">
        <v>2.6072250000000001</v>
      </c>
      <c r="AE132" s="60" t="s">
        <v>179</v>
      </c>
      <c r="AF132" s="59">
        <v>1.32944</v>
      </c>
      <c r="AG132" s="60" t="s">
        <v>179</v>
      </c>
      <c r="AH132" s="59" t="s">
        <v>179</v>
      </c>
      <c r="AI132" s="60">
        <v>0.24050199999999999</v>
      </c>
      <c r="AJ132" s="59">
        <v>0.27591399999999999</v>
      </c>
      <c r="AK132" s="60">
        <v>0.94053200000000003</v>
      </c>
      <c r="AL132" s="59" t="s">
        <v>179</v>
      </c>
      <c r="AM132" s="60">
        <v>-2.2196630000000002</v>
      </c>
      <c r="AN132" s="59">
        <v>0.74287300000000001</v>
      </c>
      <c r="AO132" s="60" t="s">
        <v>179</v>
      </c>
      <c r="AP132" s="59" t="s">
        <v>179</v>
      </c>
      <c r="AQ132" s="60">
        <v>0.52261199999999997</v>
      </c>
      <c r="AR132" s="59">
        <v>0.87424999999999997</v>
      </c>
      <c r="AS132" s="60">
        <v>0.11236699999999999</v>
      </c>
      <c r="AT132" s="59" t="s">
        <v>179</v>
      </c>
      <c r="AU132" s="60">
        <v>0.48726199999999997</v>
      </c>
      <c r="AV132" s="59" t="s">
        <v>179</v>
      </c>
      <c r="AW132" s="60" t="s">
        <v>179</v>
      </c>
      <c r="AX132" s="59" t="s">
        <v>179</v>
      </c>
      <c r="AY132" s="60" t="s">
        <v>179</v>
      </c>
      <c r="AZ132" s="59" t="s">
        <v>179</v>
      </c>
      <c r="BA132" s="60" t="s">
        <v>179</v>
      </c>
      <c r="BB132" s="59" t="s">
        <v>179</v>
      </c>
      <c r="BC132" s="60" t="s">
        <v>179</v>
      </c>
      <c r="BD132" s="59" t="s">
        <v>179</v>
      </c>
      <c r="BE132" s="60">
        <v>0.74638499999999997</v>
      </c>
    </row>
    <row r="133" spans="1:57" x14ac:dyDescent="0.35">
      <c r="A133" s="240"/>
      <c r="B133" s="240"/>
      <c r="C133" s="58" t="s">
        <v>309</v>
      </c>
      <c r="D133" s="59">
        <v>1.92967</v>
      </c>
      <c r="E133" s="60">
        <v>1.3288759999999999</v>
      </c>
      <c r="F133" s="59">
        <v>1.5768120000000001</v>
      </c>
      <c r="G133" s="60">
        <v>0.66562500000000002</v>
      </c>
      <c r="H133" s="59" t="s">
        <v>179</v>
      </c>
      <c r="I133" s="60" t="s">
        <v>179</v>
      </c>
      <c r="J133" s="59" t="s">
        <v>179</v>
      </c>
      <c r="K133" s="60">
        <v>0.50633799999999995</v>
      </c>
      <c r="L133" s="59" t="s">
        <v>179</v>
      </c>
      <c r="M133" s="60">
        <v>1.1967049999999999</v>
      </c>
      <c r="N133" s="59">
        <v>0.19020699999999999</v>
      </c>
      <c r="O133" s="60">
        <v>0.61299300000000001</v>
      </c>
      <c r="P133" s="59">
        <v>4.6312540000000002</v>
      </c>
      <c r="Q133" s="60" t="s">
        <v>179</v>
      </c>
      <c r="R133" s="59">
        <v>1.525695</v>
      </c>
      <c r="S133" s="60">
        <v>0.74349799999999999</v>
      </c>
      <c r="T133" s="59" t="s">
        <v>179</v>
      </c>
      <c r="U133" s="60">
        <v>2.3538939999999999</v>
      </c>
      <c r="V133" s="59">
        <v>0.43464900000000001</v>
      </c>
      <c r="W133" s="60">
        <v>-1.5187569999999999</v>
      </c>
      <c r="X133" s="59" t="s">
        <v>179</v>
      </c>
      <c r="Y133" s="60" t="s">
        <v>179</v>
      </c>
      <c r="Z133" s="59">
        <v>0.35933300000000001</v>
      </c>
      <c r="AA133" s="60">
        <v>1.9180809999999999</v>
      </c>
      <c r="AB133" s="59">
        <v>1.5390269999999999</v>
      </c>
      <c r="AC133" s="60" t="s">
        <v>179</v>
      </c>
      <c r="AD133" s="59">
        <v>0.89710000000000001</v>
      </c>
      <c r="AE133" s="60" t="s">
        <v>179</v>
      </c>
      <c r="AF133" s="59">
        <v>2.0649419999999998</v>
      </c>
      <c r="AG133" s="60" t="s">
        <v>179</v>
      </c>
      <c r="AH133" s="59" t="s">
        <v>179</v>
      </c>
      <c r="AI133" s="60">
        <v>0.351518</v>
      </c>
      <c r="AJ133" s="59">
        <v>0.106839</v>
      </c>
      <c r="AK133" s="60">
        <v>1.530937</v>
      </c>
      <c r="AL133" s="59" t="s">
        <v>179</v>
      </c>
      <c r="AM133" s="60">
        <v>1.0578399999999999</v>
      </c>
      <c r="AN133" s="59">
        <v>0.25007400000000002</v>
      </c>
      <c r="AO133" s="60" t="s">
        <v>179</v>
      </c>
      <c r="AP133" s="59" t="s">
        <v>179</v>
      </c>
      <c r="AQ133" s="60">
        <v>0.571712</v>
      </c>
      <c r="AR133" s="59">
        <v>0.45554</v>
      </c>
      <c r="AS133" s="60">
        <v>0.97447099999999998</v>
      </c>
      <c r="AT133" s="59" t="s">
        <v>179</v>
      </c>
      <c r="AU133" s="60">
        <v>0.67925000000000002</v>
      </c>
      <c r="AV133" s="59" t="s">
        <v>179</v>
      </c>
      <c r="AW133" s="60" t="s">
        <v>179</v>
      </c>
      <c r="AX133" s="59" t="s">
        <v>179</v>
      </c>
      <c r="AY133" s="60" t="s">
        <v>179</v>
      </c>
      <c r="AZ133" s="59" t="s">
        <v>179</v>
      </c>
      <c r="BA133" s="60" t="s">
        <v>179</v>
      </c>
      <c r="BB133" s="59" t="s">
        <v>179</v>
      </c>
      <c r="BC133" s="60" t="s">
        <v>179</v>
      </c>
      <c r="BD133" s="59" t="s">
        <v>179</v>
      </c>
      <c r="BE133" s="60">
        <v>2.0521560000000001</v>
      </c>
    </row>
    <row r="134" spans="1:57" x14ac:dyDescent="0.35">
      <c r="A134" s="240"/>
      <c r="B134" s="240"/>
      <c r="C134" s="58" t="s">
        <v>310</v>
      </c>
      <c r="D134" s="59">
        <v>0.44938499999999998</v>
      </c>
      <c r="E134" s="60">
        <v>1.06976</v>
      </c>
      <c r="F134" s="59">
        <v>3.7624550000000001</v>
      </c>
      <c r="G134" s="60">
        <v>0.70018899999999995</v>
      </c>
      <c r="H134" s="59" t="s">
        <v>179</v>
      </c>
      <c r="I134" s="60" t="s">
        <v>179</v>
      </c>
      <c r="J134" s="59" t="s">
        <v>179</v>
      </c>
      <c r="K134" s="60">
        <v>1.5309839999999999</v>
      </c>
      <c r="L134" s="59" t="s">
        <v>179</v>
      </c>
      <c r="M134" s="60">
        <v>1.674004</v>
      </c>
      <c r="N134" s="59">
        <v>1.116865</v>
      </c>
      <c r="O134" s="60">
        <v>0.80123500000000003</v>
      </c>
      <c r="P134" s="59">
        <v>3.4085570000000001</v>
      </c>
      <c r="Q134" s="60" t="s">
        <v>179</v>
      </c>
      <c r="R134" s="59">
        <v>1.5345899999999999</v>
      </c>
      <c r="S134" s="60">
        <v>0.80346600000000001</v>
      </c>
      <c r="T134" s="59" t="s">
        <v>179</v>
      </c>
      <c r="U134" s="60">
        <v>-0.18360000000000001</v>
      </c>
      <c r="V134" s="59">
        <v>0.382552</v>
      </c>
      <c r="W134" s="60">
        <v>0.88614800000000005</v>
      </c>
      <c r="X134" s="59" t="s">
        <v>179</v>
      </c>
      <c r="Y134" s="60" t="s">
        <v>179</v>
      </c>
      <c r="Z134" s="59">
        <v>0.29194399999999998</v>
      </c>
      <c r="AA134" s="60">
        <v>2.7691020000000002</v>
      </c>
      <c r="AB134" s="59">
        <v>-5.7879E-2</v>
      </c>
      <c r="AC134" s="60" t="s">
        <v>179</v>
      </c>
      <c r="AD134" s="59">
        <v>3.8812060000000002</v>
      </c>
      <c r="AE134" s="60" t="s">
        <v>179</v>
      </c>
      <c r="AF134" s="59">
        <v>1.5744629999999999</v>
      </c>
      <c r="AG134" s="60" t="s">
        <v>179</v>
      </c>
      <c r="AH134" s="59" t="s">
        <v>179</v>
      </c>
      <c r="AI134" s="60">
        <v>0.66963799999999996</v>
      </c>
      <c r="AJ134" s="59">
        <v>3.12784</v>
      </c>
      <c r="AK134" s="60">
        <v>1.89392</v>
      </c>
      <c r="AL134" s="59" t="s">
        <v>179</v>
      </c>
      <c r="AM134" s="60">
        <v>-0.94919799999999999</v>
      </c>
      <c r="AN134" s="59">
        <v>0.31451499999999999</v>
      </c>
      <c r="AO134" s="60" t="s">
        <v>179</v>
      </c>
      <c r="AP134" s="59" t="s">
        <v>179</v>
      </c>
      <c r="AQ134" s="60">
        <v>0.32466</v>
      </c>
      <c r="AR134" s="59">
        <v>0.60253000000000001</v>
      </c>
      <c r="AS134" s="60">
        <v>0.60623000000000005</v>
      </c>
      <c r="AT134" s="59" t="s">
        <v>179</v>
      </c>
      <c r="AU134" s="60">
        <v>0.57723899999999995</v>
      </c>
      <c r="AV134" s="59" t="s">
        <v>179</v>
      </c>
      <c r="AW134" s="60" t="s">
        <v>179</v>
      </c>
      <c r="AX134" s="59" t="s">
        <v>179</v>
      </c>
      <c r="AY134" s="60" t="s">
        <v>179</v>
      </c>
      <c r="AZ134" s="59" t="s">
        <v>179</v>
      </c>
      <c r="BA134" s="60" t="s">
        <v>179</v>
      </c>
      <c r="BB134" s="59" t="s">
        <v>179</v>
      </c>
      <c r="BC134" s="60" t="s">
        <v>179</v>
      </c>
      <c r="BD134" s="59" t="s">
        <v>179</v>
      </c>
      <c r="BE134" s="60">
        <v>2.0544449999999999</v>
      </c>
    </row>
    <row r="135" spans="1:57" x14ac:dyDescent="0.35">
      <c r="A135" s="240"/>
      <c r="B135" s="240"/>
      <c r="C135" s="58" t="s">
        <v>311</v>
      </c>
      <c r="D135" s="59">
        <v>0.25911600000000001</v>
      </c>
      <c r="E135" s="60">
        <v>-1.0489999999999999</v>
      </c>
      <c r="F135" s="59">
        <v>-0.66623500000000002</v>
      </c>
      <c r="G135" s="60">
        <v>-3.1788999999999998E-2</v>
      </c>
      <c r="H135" s="59" t="s">
        <v>179</v>
      </c>
      <c r="I135" s="60" t="s">
        <v>179</v>
      </c>
      <c r="J135" s="59" t="s">
        <v>179</v>
      </c>
      <c r="K135" s="60">
        <v>-2.54894</v>
      </c>
      <c r="L135" s="59" t="s">
        <v>179</v>
      </c>
      <c r="M135" s="60">
        <v>-0.468254</v>
      </c>
      <c r="N135" s="59">
        <v>-0.53575099999999998</v>
      </c>
      <c r="O135" s="60">
        <v>-0.64380199999999999</v>
      </c>
      <c r="P135" s="59">
        <v>-1.914814</v>
      </c>
      <c r="Q135" s="60" t="s">
        <v>179</v>
      </c>
      <c r="R135" s="59">
        <v>1.4371579999999999</v>
      </c>
      <c r="S135" s="60">
        <v>0.82320499999999996</v>
      </c>
      <c r="T135" s="59" t="s">
        <v>179</v>
      </c>
      <c r="U135" s="60">
        <v>0.77604899999999999</v>
      </c>
      <c r="V135" s="59">
        <v>-0.52715500000000004</v>
      </c>
      <c r="W135" s="60">
        <v>-0.53953099999999998</v>
      </c>
      <c r="X135" s="59" t="s">
        <v>179</v>
      </c>
      <c r="Y135" s="60" t="s">
        <v>179</v>
      </c>
      <c r="Z135" s="59">
        <v>0.15142600000000001</v>
      </c>
      <c r="AA135" s="60">
        <v>0.652366</v>
      </c>
      <c r="AB135" s="59">
        <v>-1.851383</v>
      </c>
      <c r="AC135" s="60" t="s">
        <v>179</v>
      </c>
      <c r="AD135" s="59">
        <v>-2.0426039999999999</v>
      </c>
      <c r="AE135" s="60" t="s">
        <v>179</v>
      </c>
      <c r="AF135" s="59">
        <v>-2.6076999999999999E-2</v>
      </c>
      <c r="AG135" s="60" t="s">
        <v>179</v>
      </c>
      <c r="AH135" s="59" t="s">
        <v>179</v>
      </c>
      <c r="AI135" s="60">
        <v>0.33990300000000001</v>
      </c>
      <c r="AJ135" s="59">
        <v>-4.7673209999999999</v>
      </c>
      <c r="AK135" s="60">
        <v>0.29104400000000002</v>
      </c>
      <c r="AL135" s="59" t="s">
        <v>179</v>
      </c>
      <c r="AM135" s="60">
        <v>-2.0003829999999998</v>
      </c>
      <c r="AN135" s="59">
        <v>-2.0604770000000001</v>
      </c>
      <c r="AO135" s="60" t="s">
        <v>179</v>
      </c>
      <c r="AP135" s="59" t="s">
        <v>179</v>
      </c>
      <c r="AQ135" s="60">
        <v>-1.1990320000000001</v>
      </c>
      <c r="AR135" s="59">
        <v>-1.607194</v>
      </c>
      <c r="AS135" s="60">
        <v>-0.74577099999999996</v>
      </c>
      <c r="AT135" s="59" t="s">
        <v>179</v>
      </c>
      <c r="AU135" s="60">
        <v>-1.056576</v>
      </c>
      <c r="AV135" s="59" t="s">
        <v>179</v>
      </c>
      <c r="AW135" s="60" t="s">
        <v>179</v>
      </c>
      <c r="AX135" s="59" t="s">
        <v>179</v>
      </c>
      <c r="AY135" s="60" t="s">
        <v>179</v>
      </c>
      <c r="AZ135" s="59" t="s">
        <v>179</v>
      </c>
      <c r="BA135" s="60" t="s">
        <v>179</v>
      </c>
      <c r="BB135" s="59" t="s">
        <v>179</v>
      </c>
      <c r="BC135" s="60" t="s">
        <v>179</v>
      </c>
      <c r="BD135" s="59" t="s">
        <v>179</v>
      </c>
      <c r="BE135" s="60">
        <v>1.901049</v>
      </c>
    </row>
    <row r="136" spans="1:57" x14ac:dyDescent="0.35">
      <c r="A136" s="240"/>
      <c r="B136" s="240"/>
      <c r="C136" s="58" t="s">
        <v>312</v>
      </c>
      <c r="D136" s="59">
        <v>0.52659299999999998</v>
      </c>
      <c r="E136" s="60">
        <v>0.52110800000000002</v>
      </c>
      <c r="F136" s="59">
        <v>-0.97938099999999995</v>
      </c>
      <c r="G136" s="60">
        <v>-0.114812</v>
      </c>
      <c r="H136" s="59" t="s">
        <v>179</v>
      </c>
      <c r="I136" s="60" t="s">
        <v>179</v>
      </c>
      <c r="J136" s="59" t="s">
        <v>179</v>
      </c>
      <c r="K136" s="60">
        <v>-1.327637</v>
      </c>
      <c r="L136" s="59" t="s">
        <v>179</v>
      </c>
      <c r="M136" s="60">
        <v>4.9878590000000003</v>
      </c>
      <c r="N136" s="59">
        <v>-2.1434999999999999E-2</v>
      </c>
      <c r="O136" s="60">
        <v>-0.39672200000000002</v>
      </c>
      <c r="P136" s="59">
        <v>-5.2482810000000004</v>
      </c>
      <c r="Q136" s="60" t="s">
        <v>179</v>
      </c>
      <c r="R136" s="59">
        <v>1.2463949999999999</v>
      </c>
      <c r="S136" s="60">
        <v>0.81170600000000004</v>
      </c>
      <c r="T136" s="59" t="s">
        <v>179</v>
      </c>
      <c r="U136" s="60">
        <v>8.3677000000000001E-2</v>
      </c>
      <c r="V136" s="59">
        <v>2.239932</v>
      </c>
      <c r="W136" s="60">
        <v>1.892978</v>
      </c>
      <c r="X136" s="59" t="s">
        <v>179</v>
      </c>
      <c r="Y136" s="60" t="s">
        <v>179</v>
      </c>
      <c r="Z136" s="59">
        <v>-6.3224000000000002E-2</v>
      </c>
      <c r="AA136" s="60">
        <v>2.1587649999999998</v>
      </c>
      <c r="AB136" s="59">
        <v>-0.67117800000000005</v>
      </c>
      <c r="AC136" s="60" t="s">
        <v>179</v>
      </c>
      <c r="AD136" s="59">
        <v>-1.801523</v>
      </c>
      <c r="AE136" s="60" t="s">
        <v>179</v>
      </c>
      <c r="AF136" s="59">
        <v>-0.34202500000000002</v>
      </c>
      <c r="AG136" s="60" t="s">
        <v>179</v>
      </c>
      <c r="AH136" s="59" t="s">
        <v>179</v>
      </c>
      <c r="AI136" s="60">
        <v>-0.39652300000000001</v>
      </c>
      <c r="AJ136" s="59">
        <v>3.7966280000000001</v>
      </c>
      <c r="AK136" s="60">
        <v>0.66569500000000004</v>
      </c>
      <c r="AL136" s="59" t="s">
        <v>179</v>
      </c>
      <c r="AM136" s="60">
        <v>-9.8695000000000005E-2</v>
      </c>
      <c r="AN136" s="59">
        <v>-0.118849</v>
      </c>
      <c r="AO136" s="60" t="s">
        <v>179</v>
      </c>
      <c r="AP136" s="59" t="s">
        <v>179</v>
      </c>
      <c r="AQ136" s="60">
        <v>0.23638200000000001</v>
      </c>
      <c r="AR136" s="59">
        <v>0.130721</v>
      </c>
      <c r="AS136" s="60">
        <v>-0.14169999999999999</v>
      </c>
      <c r="AT136" s="59" t="s">
        <v>179</v>
      </c>
      <c r="AU136" s="60">
        <v>0.29039300000000001</v>
      </c>
      <c r="AV136" s="59" t="s">
        <v>179</v>
      </c>
      <c r="AW136" s="60" t="s">
        <v>179</v>
      </c>
      <c r="AX136" s="59" t="s">
        <v>179</v>
      </c>
      <c r="AY136" s="60" t="s">
        <v>179</v>
      </c>
      <c r="AZ136" s="59" t="s">
        <v>179</v>
      </c>
      <c r="BA136" s="60" t="s">
        <v>179</v>
      </c>
      <c r="BB136" s="59" t="s">
        <v>179</v>
      </c>
      <c r="BC136" s="60" t="s">
        <v>179</v>
      </c>
      <c r="BD136" s="59" t="s">
        <v>179</v>
      </c>
      <c r="BE136" s="60">
        <v>1.7120139999999999</v>
      </c>
    </row>
    <row r="137" spans="1:57" x14ac:dyDescent="0.35">
      <c r="A137" s="240"/>
      <c r="B137" s="240"/>
      <c r="C137" s="58" t="s">
        <v>313</v>
      </c>
      <c r="D137" s="59">
        <v>1.7231399999999999</v>
      </c>
      <c r="E137" s="60">
        <v>5.5055E-2</v>
      </c>
      <c r="F137" s="59">
        <v>-0.20455499999999999</v>
      </c>
      <c r="G137" s="60">
        <v>1.380163</v>
      </c>
      <c r="H137" s="59" t="s">
        <v>179</v>
      </c>
      <c r="I137" s="60" t="s">
        <v>179</v>
      </c>
      <c r="J137" s="59" t="s">
        <v>179</v>
      </c>
      <c r="K137" s="60">
        <v>0.63582000000000005</v>
      </c>
      <c r="L137" s="59" t="s">
        <v>179</v>
      </c>
      <c r="M137" s="60">
        <v>-2.7175479999999999</v>
      </c>
      <c r="N137" s="59">
        <v>-0.12241200000000001</v>
      </c>
      <c r="O137" s="60">
        <v>-0.13275999999999999</v>
      </c>
      <c r="P137" s="59">
        <v>3.933986</v>
      </c>
      <c r="Q137" s="60" t="s">
        <v>179</v>
      </c>
      <c r="R137" s="59">
        <v>1.0532509999999999</v>
      </c>
      <c r="S137" s="60">
        <v>0.79466000000000003</v>
      </c>
      <c r="T137" s="59" t="s">
        <v>179</v>
      </c>
      <c r="U137" s="60">
        <v>0.85230300000000003</v>
      </c>
      <c r="V137" s="59">
        <v>2.1254879999999998</v>
      </c>
      <c r="W137" s="60">
        <v>-2.7657620000000001</v>
      </c>
      <c r="X137" s="59" t="s">
        <v>179</v>
      </c>
      <c r="Y137" s="60" t="s">
        <v>179</v>
      </c>
      <c r="Z137" s="59">
        <v>-0.25008999999999998</v>
      </c>
      <c r="AA137" s="60">
        <v>2.8958659999999998</v>
      </c>
      <c r="AB137" s="59">
        <v>2.3204440000000002</v>
      </c>
      <c r="AC137" s="60" t="s">
        <v>179</v>
      </c>
      <c r="AD137" s="59">
        <v>2.1595230000000001</v>
      </c>
      <c r="AE137" s="60" t="s">
        <v>179</v>
      </c>
      <c r="AF137" s="59">
        <v>1.6705429999999999</v>
      </c>
      <c r="AG137" s="60" t="s">
        <v>179</v>
      </c>
      <c r="AH137" s="59" t="s">
        <v>179</v>
      </c>
      <c r="AI137" s="60">
        <v>0.58001599999999998</v>
      </c>
      <c r="AJ137" s="59">
        <v>-1.956995</v>
      </c>
      <c r="AK137" s="60">
        <v>0.441722</v>
      </c>
      <c r="AL137" s="59" t="s">
        <v>179</v>
      </c>
      <c r="AM137" s="60">
        <v>-1.095369</v>
      </c>
      <c r="AN137" s="59">
        <v>1.8649249999999999</v>
      </c>
      <c r="AO137" s="60" t="s">
        <v>179</v>
      </c>
      <c r="AP137" s="59" t="s">
        <v>179</v>
      </c>
      <c r="AQ137" s="60">
        <v>1.1598280000000001</v>
      </c>
      <c r="AR137" s="59">
        <v>1.940531</v>
      </c>
      <c r="AS137" s="60">
        <v>0.222605</v>
      </c>
      <c r="AT137" s="59" t="s">
        <v>179</v>
      </c>
      <c r="AU137" s="60">
        <v>1.158909</v>
      </c>
      <c r="AV137" s="59" t="s">
        <v>179</v>
      </c>
      <c r="AW137" s="60" t="s">
        <v>179</v>
      </c>
      <c r="AX137" s="59" t="s">
        <v>179</v>
      </c>
      <c r="AY137" s="60" t="s">
        <v>179</v>
      </c>
      <c r="AZ137" s="59" t="s">
        <v>179</v>
      </c>
      <c r="BA137" s="60" t="s">
        <v>179</v>
      </c>
      <c r="BB137" s="59" t="s">
        <v>179</v>
      </c>
      <c r="BC137" s="60" t="s">
        <v>179</v>
      </c>
      <c r="BD137" s="59" t="s">
        <v>179</v>
      </c>
      <c r="BE137" s="60">
        <v>0.224772</v>
      </c>
    </row>
    <row r="138" spans="1:57" x14ac:dyDescent="0.35">
      <c r="A138" s="240"/>
      <c r="B138" s="240"/>
      <c r="C138" s="58" t="s">
        <v>314</v>
      </c>
      <c r="D138" s="59">
        <v>0.38622099999999998</v>
      </c>
      <c r="E138" s="60">
        <v>-0.69262900000000005</v>
      </c>
      <c r="F138" s="59">
        <v>2.2401000000000001E-2</v>
      </c>
      <c r="G138" s="60">
        <v>2.2039559999999998</v>
      </c>
      <c r="H138" s="59" t="s">
        <v>179</v>
      </c>
      <c r="I138" s="60" t="s">
        <v>179</v>
      </c>
      <c r="J138" s="59" t="s">
        <v>179</v>
      </c>
      <c r="K138" s="60">
        <v>0.156387</v>
      </c>
      <c r="L138" s="59" t="s">
        <v>179</v>
      </c>
      <c r="M138" s="60">
        <v>-0.18821199999999999</v>
      </c>
      <c r="N138" s="59">
        <v>0.41858099999999998</v>
      </c>
      <c r="O138" s="60">
        <v>1.1898660000000001</v>
      </c>
      <c r="P138" s="59">
        <v>-1.965557</v>
      </c>
      <c r="Q138" s="60" t="s">
        <v>179</v>
      </c>
      <c r="R138" s="59">
        <v>0.94494699999999998</v>
      </c>
      <c r="S138" s="60">
        <v>0.79555600000000004</v>
      </c>
      <c r="T138" s="59" t="s">
        <v>179</v>
      </c>
      <c r="U138" s="60">
        <v>-0.57049499999999997</v>
      </c>
      <c r="V138" s="59">
        <v>0.61307900000000004</v>
      </c>
      <c r="W138" s="60">
        <v>4.1151119999999999</v>
      </c>
      <c r="X138" s="59" t="s">
        <v>179</v>
      </c>
      <c r="Y138" s="60" t="s">
        <v>179</v>
      </c>
      <c r="Z138" s="59">
        <v>-0.297489</v>
      </c>
      <c r="AA138" s="60">
        <v>2.2329720000000002</v>
      </c>
      <c r="AB138" s="59">
        <v>-0.96336999999999995</v>
      </c>
      <c r="AC138" s="60" t="s">
        <v>179</v>
      </c>
      <c r="AD138" s="59">
        <v>1.6933940000000001</v>
      </c>
      <c r="AE138" s="60" t="s">
        <v>179</v>
      </c>
      <c r="AF138" s="59">
        <v>0.44706899999999999</v>
      </c>
      <c r="AG138" s="60" t="s">
        <v>179</v>
      </c>
      <c r="AH138" s="59" t="s">
        <v>179</v>
      </c>
      <c r="AI138" s="60">
        <v>-0.56618599999999997</v>
      </c>
      <c r="AJ138" s="59">
        <v>0.61416199999999999</v>
      </c>
      <c r="AK138" s="60">
        <v>0.235268</v>
      </c>
      <c r="AL138" s="59" t="s">
        <v>179</v>
      </c>
      <c r="AM138" s="60">
        <v>-0.125664</v>
      </c>
      <c r="AN138" s="59">
        <v>1.959438</v>
      </c>
      <c r="AO138" s="60" t="s">
        <v>179</v>
      </c>
      <c r="AP138" s="59" t="s">
        <v>179</v>
      </c>
      <c r="AQ138" s="60">
        <v>1.166093</v>
      </c>
      <c r="AR138" s="59">
        <v>2.0100730000000002</v>
      </c>
      <c r="AS138" s="60">
        <v>0.21440600000000001</v>
      </c>
      <c r="AT138" s="59" t="s">
        <v>179</v>
      </c>
      <c r="AU138" s="60">
        <v>1.057307</v>
      </c>
      <c r="AV138" s="59" t="s">
        <v>179</v>
      </c>
      <c r="AW138" s="60" t="s">
        <v>179</v>
      </c>
      <c r="AX138" s="59" t="s">
        <v>179</v>
      </c>
      <c r="AY138" s="60" t="s">
        <v>179</v>
      </c>
      <c r="AZ138" s="59" t="s">
        <v>179</v>
      </c>
      <c r="BA138" s="60" t="s">
        <v>179</v>
      </c>
      <c r="BB138" s="59" t="s">
        <v>179</v>
      </c>
      <c r="BC138" s="60" t="s">
        <v>179</v>
      </c>
      <c r="BD138" s="59" t="s">
        <v>179</v>
      </c>
      <c r="BE138" s="60">
        <v>1.2420169999999999</v>
      </c>
    </row>
    <row r="139" spans="1:57" x14ac:dyDescent="0.35">
      <c r="A139" s="240"/>
      <c r="B139" s="240"/>
      <c r="C139" s="58" t="s">
        <v>315</v>
      </c>
      <c r="D139" s="59">
        <v>1.5510889999999999</v>
      </c>
      <c r="E139" s="60">
        <v>1.0063439999999999</v>
      </c>
      <c r="F139" s="59">
        <v>1.4579260000000001</v>
      </c>
      <c r="G139" s="60">
        <v>1.123958</v>
      </c>
      <c r="H139" s="59" t="s">
        <v>179</v>
      </c>
      <c r="I139" s="60" t="s">
        <v>179</v>
      </c>
      <c r="J139" s="59" t="s">
        <v>179</v>
      </c>
      <c r="K139" s="60">
        <v>-0.73448100000000005</v>
      </c>
      <c r="L139" s="59" t="s">
        <v>179</v>
      </c>
      <c r="M139" s="60">
        <v>1.1711</v>
      </c>
      <c r="N139" s="59">
        <v>0.54854099999999995</v>
      </c>
      <c r="O139" s="60">
        <v>-0.24963199999999999</v>
      </c>
      <c r="P139" s="59">
        <v>-2.2138520000000002</v>
      </c>
      <c r="Q139" s="60" t="s">
        <v>179</v>
      </c>
      <c r="R139" s="59">
        <v>0.93939099999999998</v>
      </c>
      <c r="S139" s="60">
        <v>0.82178399999999996</v>
      </c>
      <c r="T139" s="59" t="s">
        <v>179</v>
      </c>
      <c r="U139" s="60">
        <v>0.194997</v>
      </c>
      <c r="V139" s="59">
        <v>1.2237629999999999</v>
      </c>
      <c r="W139" s="60">
        <v>2.415543</v>
      </c>
      <c r="X139" s="59" t="s">
        <v>179</v>
      </c>
      <c r="Y139" s="60" t="s">
        <v>179</v>
      </c>
      <c r="Z139" s="59">
        <v>-0.203182</v>
      </c>
      <c r="AA139" s="60">
        <v>2.5911430000000002</v>
      </c>
      <c r="AB139" s="59">
        <v>-2.5647E-2</v>
      </c>
      <c r="AC139" s="60" t="s">
        <v>179</v>
      </c>
      <c r="AD139" s="59">
        <v>0.41492499999999999</v>
      </c>
      <c r="AE139" s="60" t="s">
        <v>179</v>
      </c>
      <c r="AF139" s="59">
        <v>8.0633999999999997E-2</v>
      </c>
      <c r="AG139" s="60" t="s">
        <v>179</v>
      </c>
      <c r="AH139" s="59" t="s">
        <v>179</v>
      </c>
      <c r="AI139" s="60">
        <v>-0.110719</v>
      </c>
      <c r="AJ139" s="59">
        <v>-6.2043000000000001E-2</v>
      </c>
      <c r="AK139" s="60">
        <v>0.70940700000000001</v>
      </c>
      <c r="AL139" s="59" t="s">
        <v>179</v>
      </c>
      <c r="AM139" s="60">
        <v>0.20463400000000001</v>
      </c>
      <c r="AN139" s="59">
        <v>-0.74107800000000001</v>
      </c>
      <c r="AO139" s="60" t="s">
        <v>179</v>
      </c>
      <c r="AP139" s="59" t="s">
        <v>179</v>
      </c>
      <c r="AQ139" s="60">
        <v>-3.7527999999999999E-2</v>
      </c>
      <c r="AR139" s="59">
        <v>-0.21334</v>
      </c>
      <c r="AS139" s="60">
        <v>0.199488</v>
      </c>
      <c r="AT139" s="59" t="s">
        <v>179</v>
      </c>
      <c r="AU139" s="60">
        <v>0.200374</v>
      </c>
      <c r="AV139" s="59" t="s">
        <v>179</v>
      </c>
      <c r="AW139" s="60" t="s">
        <v>179</v>
      </c>
      <c r="AX139" s="59" t="s">
        <v>179</v>
      </c>
      <c r="AY139" s="60" t="s">
        <v>179</v>
      </c>
      <c r="AZ139" s="59" t="s">
        <v>179</v>
      </c>
      <c r="BA139" s="60" t="s">
        <v>179</v>
      </c>
      <c r="BB139" s="59" t="s">
        <v>179</v>
      </c>
      <c r="BC139" s="60" t="s">
        <v>179</v>
      </c>
      <c r="BD139" s="59" t="s">
        <v>179</v>
      </c>
      <c r="BE139" s="60">
        <v>2.1838549999999999</v>
      </c>
    </row>
    <row r="140" spans="1:57" x14ac:dyDescent="0.35">
      <c r="A140" s="240"/>
      <c r="B140" s="240"/>
      <c r="C140" s="58" t="s">
        <v>316</v>
      </c>
      <c r="D140" s="59">
        <v>2.0099429999999998</v>
      </c>
      <c r="E140" s="60">
        <v>-6.9448999999999997E-2</v>
      </c>
      <c r="F140" s="59">
        <v>-0.42883199999999999</v>
      </c>
      <c r="G140" s="60">
        <v>-0.89775199999999999</v>
      </c>
      <c r="H140" s="59" t="s">
        <v>179</v>
      </c>
      <c r="I140" s="60" t="s">
        <v>179</v>
      </c>
      <c r="J140" s="59" t="s">
        <v>179</v>
      </c>
      <c r="K140" s="60">
        <v>0.61258599999999996</v>
      </c>
      <c r="L140" s="59" t="s">
        <v>179</v>
      </c>
      <c r="M140" s="60">
        <v>0.49538900000000002</v>
      </c>
      <c r="N140" s="59">
        <v>0.73962799999999995</v>
      </c>
      <c r="O140" s="60">
        <v>0.263434</v>
      </c>
      <c r="P140" s="59">
        <v>2.85229</v>
      </c>
      <c r="Q140" s="60" t="s">
        <v>179</v>
      </c>
      <c r="R140" s="59">
        <v>1.036373</v>
      </c>
      <c r="S140" s="60">
        <v>0.88652600000000004</v>
      </c>
      <c r="T140" s="59" t="s">
        <v>179</v>
      </c>
      <c r="U140" s="60">
        <v>4.6309999999999997E-2</v>
      </c>
      <c r="V140" s="59">
        <v>-0.222417</v>
      </c>
      <c r="W140" s="60">
        <v>4.1628100000000003</v>
      </c>
      <c r="X140" s="59" t="s">
        <v>179</v>
      </c>
      <c r="Y140" s="60" t="s">
        <v>179</v>
      </c>
      <c r="Z140" s="59">
        <v>2.3791E-2</v>
      </c>
      <c r="AA140" s="60">
        <v>0.52275799999999994</v>
      </c>
      <c r="AB140" s="59">
        <v>-0.91435500000000003</v>
      </c>
      <c r="AC140" s="60" t="s">
        <v>179</v>
      </c>
      <c r="AD140" s="59">
        <v>-1.2474099999999999</v>
      </c>
      <c r="AE140" s="60" t="s">
        <v>179</v>
      </c>
      <c r="AF140" s="59">
        <v>-0.171096</v>
      </c>
      <c r="AG140" s="60" t="s">
        <v>179</v>
      </c>
      <c r="AH140" s="59" t="s">
        <v>179</v>
      </c>
      <c r="AI140" s="60">
        <v>0.444685</v>
      </c>
      <c r="AJ140" s="59">
        <v>0.76728700000000005</v>
      </c>
      <c r="AK140" s="60">
        <v>0.28268900000000002</v>
      </c>
      <c r="AL140" s="59" t="s">
        <v>179</v>
      </c>
      <c r="AM140" s="60">
        <v>1.0771930000000001</v>
      </c>
      <c r="AN140" s="59">
        <v>1.197524</v>
      </c>
      <c r="AO140" s="60" t="s">
        <v>179</v>
      </c>
      <c r="AP140" s="59" t="s">
        <v>179</v>
      </c>
      <c r="AQ140" s="60">
        <v>0.62183500000000003</v>
      </c>
      <c r="AR140" s="59">
        <v>0.94680200000000003</v>
      </c>
      <c r="AS140" s="60">
        <v>0.45361200000000002</v>
      </c>
      <c r="AT140" s="59" t="s">
        <v>179</v>
      </c>
      <c r="AU140" s="60">
        <v>0.64738600000000002</v>
      </c>
      <c r="AV140" s="59" t="s">
        <v>179</v>
      </c>
      <c r="AW140" s="60" t="s">
        <v>179</v>
      </c>
      <c r="AX140" s="59" t="s">
        <v>179</v>
      </c>
      <c r="AY140" s="60" t="s">
        <v>179</v>
      </c>
      <c r="AZ140" s="59" t="s">
        <v>179</v>
      </c>
      <c r="BA140" s="60" t="s">
        <v>179</v>
      </c>
      <c r="BB140" s="59" t="s">
        <v>179</v>
      </c>
      <c r="BC140" s="60" t="s">
        <v>179</v>
      </c>
      <c r="BD140" s="59" t="s">
        <v>179</v>
      </c>
      <c r="BE140" s="60">
        <v>1.4554039999999999</v>
      </c>
    </row>
    <row r="141" spans="1:57" x14ac:dyDescent="0.35">
      <c r="A141" s="240"/>
      <c r="B141" s="240"/>
      <c r="C141" s="58" t="s">
        <v>317</v>
      </c>
      <c r="D141" s="59">
        <v>-0.400063</v>
      </c>
      <c r="E141" s="60">
        <v>-0.63144800000000001</v>
      </c>
      <c r="F141" s="59">
        <v>0.26778099999999999</v>
      </c>
      <c r="G141" s="60">
        <v>-0.45782299999999998</v>
      </c>
      <c r="H141" s="59" t="s">
        <v>179</v>
      </c>
      <c r="I141" s="60" t="s">
        <v>179</v>
      </c>
      <c r="J141" s="59" t="s">
        <v>179</v>
      </c>
      <c r="K141" s="60">
        <v>0.18665999999999999</v>
      </c>
      <c r="L141" s="59" t="s">
        <v>179</v>
      </c>
      <c r="M141" s="60">
        <v>0.39533400000000002</v>
      </c>
      <c r="N141" s="59">
        <v>0.50069799999999998</v>
      </c>
      <c r="O141" s="60">
        <v>-7.8830999999999998E-2</v>
      </c>
      <c r="P141" s="59">
        <v>4.0023150000000003</v>
      </c>
      <c r="Q141" s="60" t="s">
        <v>179</v>
      </c>
      <c r="R141" s="59">
        <v>1.0481769999999999</v>
      </c>
      <c r="S141" s="60">
        <v>0.88465099999999997</v>
      </c>
      <c r="T141" s="59" t="s">
        <v>179</v>
      </c>
      <c r="U141" s="60">
        <v>0.81164700000000001</v>
      </c>
      <c r="V141" s="59">
        <v>0.72994000000000003</v>
      </c>
      <c r="W141" s="60">
        <v>1.5687880000000001</v>
      </c>
      <c r="X141" s="59" t="s">
        <v>179</v>
      </c>
      <c r="Y141" s="60" t="s">
        <v>179</v>
      </c>
      <c r="Z141" s="59">
        <v>0.27114700000000003</v>
      </c>
      <c r="AA141" s="60">
        <v>1.791577</v>
      </c>
      <c r="AB141" s="59">
        <v>7.9519000000000006E-2</v>
      </c>
      <c r="AC141" s="60" t="s">
        <v>179</v>
      </c>
      <c r="AD141" s="59">
        <v>-2.5385999999999999E-2</v>
      </c>
      <c r="AE141" s="60" t="s">
        <v>179</v>
      </c>
      <c r="AF141" s="59">
        <v>0.48661900000000002</v>
      </c>
      <c r="AG141" s="60" t="s">
        <v>179</v>
      </c>
      <c r="AH141" s="59" t="s">
        <v>179</v>
      </c>
      <c r="AI141" s="60">
        <v>-9.9840999999999999E-2</v>
      </c>
      <c r="AJ141" s="59">
        <v>-1.1225069999999999</v>
      </c>
      <c r="AK141" s="60">
        <v>-0.204738</v>
      </c>
      <c r="AL141" s="59" t="s">
        <v>179</v>
      </c>
      <c r="AM141" s="60">
        <v>0.125137</v>
      </c>
      <c r="AN141" s="59">
        <v>-1.0895459999999999</v>
      </c>
      <c r="AO141" s="60" t="s">
        <v>179</v>
      </c>
      <c r="AP141" s="59" t="s">
        <v>179</v>
      </c>
      <c r="AQ141" s="60">
        <v>-0.274094</v>
      </c>
      <c r="AR141" s="59">
        <v>-0.70539700000000005</v>
      </c>
      <c r="AS141" s="60">
        <v>0.29821300000000001</v>
      </c>
      <c r="AT141" s="59" t="s">
        <v>179</v>
      </c>
      <c r="AU141" s="60">
        <v>-6.5807000000000004E-2</v>
      </c>
      <c r="AV141" s="59" t="s">
        <v>179</v>
      </c>
      <c r="AW141" s="60" t="s">
        <v>179</v>
      </c>
      <c r="AX141" s="59" t="s">
        <v>179</v>
      </c>
      <c r="AY141" s="60" t="s">
        <v>179</v>
      </c>
      <c r="AZ141" s="59" t="s">
        <v>179</v>
      </c>
      <c r="BA141" s="60" t="s">
        <v>179</v>
      </c>
      <c r="BB141" s="59" t="s">
        <v>179</v>
      </c>
      <c r="BC141" s="60" t="s">
        <v>179</v>
      </c>
      <c r="BD141" s="59" t="s">
        <v>179</v>
      </c>
      <c r="BE141" s="60">
        <v>0.62388500000000002</v>
      </c>
    </row>
    <row r="142" spans="1:57" x14ac:dyDescent="0.35">
      <c r="A142" s="240"/>
      <c r="B142" s="240"/>
      <c r="C142" s="58" t="s">
        <v>318</v>
      </c>
      <c r="D142" s="59">
        <v>-0.81053500000000001</v>
      </c>
      <c r="E142" s="60">
        <v>2.0282789999999999</v>
      </c>
      <c r="F142" s="59">
        <v>0.133524</v>
      </c>
      <c r="G142" s="60">
        <v>-1.1764110000000001</v>
      </c>
      <c r="H142" s="59" t="s">
        <v>179</v>
      </c>
      <c r="I142" s="60" t="s">
        <v>179</v>
      </c>
      <c r="J142" s="59" t="s">
        <v>179</v>
      </c>
      <c r="K142" s="60">
        <v>1.317726</v>
      </c>
      <c r="L142" s="59" t="s">
        <v>179</v>
      </c>
      <c r="M142" s="60">
        <v>0.62226499999999996</v>
      </c>
      <c r="N142" s="59">
        <v>0.83316100000000004</v>
      </c>
      <c r="O142" s="60">
        <v>0.37467099999999998</v>
      </c>
      <c r="P142" s="59">
        <v>-1.9298759999999999</v>
      </c>
      <c r="Q142" s="60" t="s">
        <v>179</v>
      </c>
      <c r="R142" s="59">
        <v>0.79154100000000005</v>
      </c>
      <c r="S142" s="60">
        <v>0.71800799999999998</v>
      </c>
      <c r="T142" s="59" t="s">
        <v>179</v>
      </c>
      <c r="U142" s="60">
        <v>-3.9523000000000003E-2</v>
      </c>
      <c r="V142" s="59">
        <v>1.5325009999999999</v>
      </c>
      <c r="W142" s="60">
        <v>0.67861899999999997</v>
      </c>
      <c r="X142" s="59" t="s">
        <v>179</v>
      </c>
      <c r="Y142" s="60" t="s">
        <v>179</v>
      </c>
      <c r="Z142" s="59">
        <v>0.406864</v>
      </c>
      <c r="AA142" s="60">
        <v>-1.9267879999999999</v>
      </c>
      <c r="AB142" s="59">
        <v>0.93869000000000002</v>
      </c>
      <c r="AC142" s="60" t="s">
        <v>179</v>
      </c>
      <c r="AD142" s="59">
        <v>0.70047800000000005</v>
      </c>
      <c r="AE142" s="60" t="s">
        <v>179</v>
      </c>
      <c r="AF142" s="59">
        <v>2.4262350000000001</v>
      </c>
      <c r="AG142" s="60" t="s">
        <v>179</v>
      </c>
      <c r="AH142" s="59" t="s">
        <v>179</v>
      </c>
      <c r="AI142" s="60">
        <v>0.41159800000000002</v>
      </c>
      <c r="AJ142" s="59">
        <v>0.28403600000000001</v>
      </c>
      <c r="AK142" s="60">
        <v>-0.30471399999999998</v>
      </c>
      <c r="AL142" s="59" t="s">
        <v>179</v>
      </c>
      <c r="AM142" s="60">
        <v>0.19451499999999999</v>
      </c>
      <c r="AN142" s="59">
        <v>-1.5535410000000001</v>
      </c>
      <c r="AO142" s="60" t="s">
        <v>179</v>
      </c>
      <c r="AP142" s="59" t="s">
        <v>179</v>
      </c>
      <c r="AQ142" s="60">
        <v>-0.354686</v>
      </c>
      <c r="AR142" s="59">
        <v>-1.566298</v>
      </c>
      <c r="AS142" s="60">
        <v>0.40479100000000001</v>
      </c>
      <c r="AT142" s="59" t="s">
        <v>179</v>
      </c>
      <c r="AU142" s="60">
        <v>-0.29425699999999999</v>
      </c>
      <c r="AV142" s="59" t="s">
        <v>179</v>
      </c>
      <c r="AW142" s="60" t="s">
        <v>179</v>
      </c>
      <c r="AX142" s="59" t="s">
        <v>179</v>
      </c>
      <c r="AY142" s="60" t="s">
        <v>179</v>
      </c>
      <c r="AZ142" s="59" t="s">
        <v>179</v>
      </c>
      <c r="BA142" s="60" t="s">
        <v>179</v>
      </c>
      <c r="BB142" s="59" t="s">
        <v>179</v>
      </c>
      <c r="BC142" s="60" t="s">
        <v>179</v>
      </c>
      <c r="BD142" s="59" t="s">
        <v>179</v>
      </c>
      <c r="BE142" s="60">
        <v>-0.92637899999999995</v>
      </c>
    </row>
    <row r="143" spans="1:57" x14ac:dyDescent="0.35">
      <c r="A143" s="240"/>
      <c r="B143" s="240"/>
      <c r="C143" s="58" t="s">
        <v>319</v>
      </c>
      <c r="D143" s="59">
        <v>0.90487600000000001</v>
      </c>
      <c r="E143" s="60">
        <v>0.29347800000000002</v>
      </c>
      <c r="F143" s="59">
        <v>0.26939999999999997</v>
      </c>
      <c r="G143" s="60">
        <v>-1.1571469999999999</v>
      </c>
      <c r="H143" s="59" t="s">
        <v>179</v>
      </c>
      <c r="I143" s="60" t="s">
        <v>179</v>
      </c>
      <c r="J143" s="59" t="s">
        <v>179</v>
      </c>
      <c r="K143" s="60">
        <v>1.18282</v>
      </c>
      <c r="L143" s="59" t="s">
        <v>179</v>
      </c>
      <c r="M143" s="60">
        <v>0.98560199999999998</v>
      </c>
      <c r="N143" s="59">
        <v>0.63079200000000002</v>
      </c>
      <c r="O143" s="60">
        <v>-0.61559299999999995</v>
      </c>
      <c r="P143" s="59">
        <v>-4.1126300000000002</v>
      </c>
      <c r="Q143" s="60" t="s">
        <v>179</v>
      </c>
      <c r="R143" s="59">
        <v>0.32427299999999998</v>
      </c>
      <c r="S143" s="60">
        <v>0.42837700000000001</v>
      </c>
      <c r="T143" s="59" t="s">
        <v>179</v>
      </c>
      <c r="U143" s="60">
        <v>-0.28417399999999998</v>
      </c>
      <c r="V143" s="59">
        <v>0.68656300000000003</v>
      </c>
      <c r="W143" s="60">
        <v>2.3483450000000001</v>
      </c>
      <c r="X143" s="59" t="s">
        <v>179</v>
      </c>
      <c r="Y143" s="60" t="s">
        <v>179</v>
      </c>
      <c r="Z143" s="59">
        <v>0.41666199999999998</v>
      </c>
      <c r="AA143" s="60">
        <v>0.15238199999999999</v>
      </c>
      <c r="AB143" s="59">
        <v>-2.4329070000000002</v>
      </c>
      <c r="AC143" s="60" t="s">
        <v>179</v>
      </c>
      <c r="AD143" s="59">
        <v>1.0144E-2</v>
      </c>
      <c r="AE143" s="60" t="s">
        <v>179</v>
      </c>
      <c r="AF143" s="59">
        <v>-1.3446469999999999</v>
      </c>
      <c r="AG143" s="60" t="s">
        <v>179</v>
      </c>
      <c r="AH143" s="59" t="s">
        <v>179</v>
      </c>
      <c r="AI143" s="60">
        <v>0.37979000000000002</v>
      </c>
      <c r="AJ143" s="59">
        <v>2.1122899999999998</v>
      </c>
      <c r="AK143" s="60">
        <v>-1.1749069999999999</v>
      </c>
      <c r="AL143" s="59" t="s">
        <v>179</v>
      </c>
      <c r="AM143" s="60">
        <v>1.0659430000000001</v>
      </c>
      <c r="AN143" s="59">
        <v>0.45619700000000002</v>
      </c>
      <c r="AO143" s="60" t="s">
        <v>179</v>
      </c>
      <c r="AP143" s="59" t="s">
        <v>179</v>
      </c>
      <c r="AQ143" s="60">
        <v>0.29123100000000002</v>
      </c>
      <c r="AR143" s="59">
        <v>0.28910200000000003</v>
      </c>
      <c r="AS143" s="60">
        <v>-2.1252E-2</v>
      </c>
      <c r="AT143" s="59" t="s">
        <v>179</v>
      </c>
      <c r="AU143" s="60">
        <v>0.24308099999999999</v>
      </c>
      <c r="AV143" s="59" t="s">
        <v>179</v>
      </c>
      <c r="AW143" s="60" t="s">
        <v>179</v>
      </c>
      <c r="AX143" s="59" t="s">
        <v>179</v>
      </c>
      <c r="AY143" s="60" t="s">
        <v>179</v>
      </c>
      <c r="AZ143" s="59" t="s">
        <v>179</v>
      </c>
      <c r="BA143" s="60" t="s">
        <v>179</v>
      </c>
      <c r="BB143" s="59" t="s">
        <v>179</v>
      </c>
      <c r="BC143" s="60" t="s">
        <v>179</v>
      </c>
      <c r="BD143" s="59" t="s">
        <v>179</v>
      </c>
      <c r="BE143" s="60">
        <v>-0.83441699999999996</v>
      </c>
    </row>
    <row r="144" spans="1:57" x14ac:dyDescent="0.35">
      <c r="A144" s="240"/>
      <c r="B144" s="240"/>
      <c r="C144" s="58" t="s">
        <v>320</v>
      </c>
      <c r="D144" s="59">
        <v>-0.66799600000000003</v>
      </c>
      <c r="E144" s="60">
        <v>-6.7677000000000001E-2</v>
      </c>
      <c r="F144" s="59">
        <v>0.112673</v>
      </c>
      <c r="G144" s="60">
        <v>-0.87651400000000002</v>
      </c>
      <c r="H144" s="59" t="s">
        <v>179</v>
      </c>
      <c r="I144" s="60" t="s">
        <v>179</v>
      </c>
      <c r="J144" s="59" t="s">
        <v>179</v>
      </c>
      <c r="K144" s="60">
        <v>1.034116</v>
      </c>
      <c r="L144" s="59" t="s">
        <v>179</v>
      </c>
      <c r="M144" s="60">
        <v>1.08602</v>
      </c>
      <c r="N144" s="59">
        <v>8.9453000000000005E-2</v>
      </c>
      <c r="O144" s="60">
        <v>-0.98840399999999995</v>
      </c>
      <c r="P144" s="59">
        <v>-1.023517</v>
      </c>
      <c r="Q144" s="60" t="s">
        <v>179</v>
      </c>
      <c r="R144" s="59">
        <v>-0.36766199999999999</v>
      </c>
      <c r="S144" s="60">
        <v>1.0147E-2</v>
      </c>
      <c r="T144" s="59" t="s">
        <v>179</v>
      </c>
      <c r="U144" s="60">
        <v>-5.3488000000000001E-2</v>
      </c>
      <c r="V144" s="59">
        <v>0.437004</v>
      </c>
      <c r="W144" s="60">
        <v>2.0740059999999998</v>
      </c>
      <c r="X144" s="59" t="s">
        <v>179</v>
      </c>
      <c r="Y144" s="60" t="s">
        <v>179</v>
      </c>
      <c r="Z144" s="59">
        <v>0.33306000000000002</v>
      </c>
      <c r="AA144" s="60">
        <v>-0.71920499999999998</v>
      </c>
      <c r="AB144" s="59">
        <v>1.1088800000000001</v>
      </c>
      <c r="AC144" s="60" t="s">
        <v>179</v>
      </c>
      <c r="AD144" s="59">
        <v>-2.9559999999999999E-2</v>
      </c>
      <c r="AE144" s="60" t="s">
        <v>179</v>
      </c>
      <c r="AF144" s="59">
        <v>0.45923599999999998</v>
      </c>
      <c r="AG144" s="60" t="s">
        <v>179</v>
      </c>
      <c r="AH144" s="59" t="s">
        <v>179</v>
      </c>
      <c r="AI144" s="60">
        <v>0.673207</v>
      </c>
      <c r="AJ144" s="59">
        <v>-1.2414890000000001</v>
      </c>
      <c r="AK144" s="60">
        <v>-0.50012100000000004</v>
      </c>
      <c r="AL144" s="59" t="s">
        <v>179</v>
      </c>
      <c r="AM144" s="60">
        <v>0.258963</v>
      </c>
      <c r="AN144" s="59">
        <v>-0.382295</v>
      </c>
      <c r="AO144" s="60" t="s">
        <v>179</v>
      </c>
      <c r="AP144" s="59" t="s">
        <v>179</v>
      </c>
      <c r="AQ144" s="60">
        <v>-0.227163</v>
      </c>
      <c r="AR144" s="59">
        <v>-0.46174799999999999</v>
      </c>
      <c r="AS144" s="60">
        <v>-6.3969999999999999E-2</v>
      </c>
      <c r="AT144" s="59" t="s">
        <v>179</v>
      </c>
      <c r="AU144" s="60">
        <v>-0.146872</v>
      </c>
      <c r="AV144" s="59" t="s">
        <v>179</v>
      </c>
      <c r="AW144" s="60" t="s">
        <v>179</v>
      </c>
      <c r="AX144" s="59" t="s">
        <v>179</v>
      </c>
      <c r="AY144" s="60" t="s">
        <v>179</v>
      </c>
      <c r="AZ144" s="59" t="s">
        <v>179</v>
      </c>
      <c r="BA144" s="60" t="s">
        <v>179</v>
      </c>
      <c r="BB144" s="59" t="s">
        <v>179</v>
      </c>
      <c r="BC144" s="60" t="s">
        <v>179</v>
      </c>
      <c r="BD144" s="59" t="s">
        <v>179</v>
      </c>
      <c r="BE144" s="60">
        <v>-2.5571E-2</v>
      </c>
    </row>
    <row r="145" spans="1:57" x14ac:dyDescent="0.35">
      <c r="A145" s="240"/>
      <c r="B145" s="240"/>
      <c r="C145" s="58" t="s">
        <v>321</v>
      </c>
      <c r="D145" s="59">
        <v>-1.5831759999999999</v>
      </c>
      <c r="E145" s="60">
        <v>-0.174901</v>
      </c>
      <c r="F145" s="59">
        <v>-0.633301</v>
      </c>
      <c r="G145" s="60">
        <v>-0.92262900000000003</v>
      </c>
      <c r="H145" s="59" t="s">
        <v>179</v>
      </c>
      <c r="I145" s="60" t="s">
        <v>179</v>
      </c>
      <c r="J145" s="59" t="s">
        <v>179</v>
      </c>
      <c r="K145" s="60">
        <v>1.9956000000000002E-2</v>
      </c>
      <c r="L145" s="59" t="s">
        <v>179</v>
      </c>
      <c r="M145" s="60">
        <v>1.2683990000000001</v>
      </c>
      <c r="N145" s="59">
        <v>0.57959000000000005</v>
      </c>
      <c r="O145" s="60">
        <v>0.239589</v>
      </c>
      <c r="P145" s="59">
        <v>2.8244319999999998</v>
      </c>
      <c r="Q145" s="60" t="s">
        <v>179</v>
      </c>
      <c r="R145" s="59">
        <v>-0.96178300000000005</v>
      </c>
      <c r="S145" s="60">
        <v>-0.34080899999999997</v>
      </c>
      <c r="T145" s="59" t="s">
        <v>179</v>
      </c>
      <c r="U145" s="60">
        <v>-0.290769</v>
      </c>
      <c r="V145" s="59">
        <v>1.389602</v>
      </c>
      <c r="W145" s="60">
        <v>3.1469019999999999</v>
      </c>
      <c r="X145" s="59" t="s">
        <v>179</v>
      </c>
      <c r="Y145" s="60" t="s">
        <v>179</v>
      </c>
      <c r="Z145" s="59">
        <v>0.30440299999999998</v>
      </c>
      <c r="AA145" s="60">
        <v>-2.194229</v>
      </c>
      <c r="AB145" s="59">
        <v>-2.1006529999999999</v>
      </c>
      <c r="AC145" s="60" t="s">
        <v>179</v>
      </c>
      <c r="AD145" s="59">
        <v>0.31975100000000001</v>
      </c>
      <c r="AE145" s="60" t="s">
        <v>179</v>
      </c>
      <c r="AF145" s="59">
        <v>0.81050599999999995</v>
      </c>
      <c r="AG145" s="60" t="s">
        <v>179</v>
      </c>
      <c r="AH145" s="59" t="s">
        <v>179</v>
      </c>
      <c r="AI145" s="60">
        <v>0.35249599999999998</v>
      </c>
      <c r="AJ145" s="59">
        <v>1.9483839999999999</v>
      </c>
      <c r="AK145" s="60">
        <v>-0.136518</v>
      </c>
      <c r="AL145" s="59" t="s">
        <v>179</v>
      </c>
      <c r="AM145" s="60">
        <v>0.70281000000000005</v>
      </c>
      <c r="AN145" s="59">
        <v>3.9941999999999998E-2</v>
      </c>
      <c r="AO145" s="60" t="s">
        <v>179</v>
      </c>
      <c r="AP145" s="59" t="s">
        <v>179</v>
      </c>
      <c r="AQ145" s="60">
        <v>0.31383899999999998</v>
      </c>
      <c r="AR145" s="59">
        <v>-0.300564</v>
      </c>
      <c r="AS145" s="60">
        <v>0.31236799999999998</v>
      </c>
      <c r="AT145" s="59" t="s">
        <v>179</v>
      </c>
      <c r="AU145" s="60">
        <v>0.199738</v>
      </c>
      <c r="AV145" s="59" t="s">
        <v>179</v>
      </c>
      <c r="AW145" s="60" t="s">
        <v>179</v>
      </c>
      <c r="AX145" s="59" t="s">
        <v>179</v>
      </c>
      <c r="AY145" s="60" t="s">
        <v>179</v>
      </c>
      <c r="AZ145" s="59" t="s">
        <v>179</v>
      </c>
      <c r="BA145" s="60" t="s">
        <v>179</v>
      </c>
      <c r="BB145" s="59" t="s">
        <v>179</v>
      </c>
      <c r="BC145" s="60" t="s">
        <v>179</v>
      </c>
      <c r="BD145" s="59" t="s">
        <v>179</v>
      </c>
      <c r="BE145" s="60">
        <v>-2.1140400000000001</v>
      </c>
    </row>
    <row r="146" spans="1:57" x14ac:dyDescent="0.35">
      <c r="A146" s="240"/>
      <c r="B146" s="240"/>
      <c r="C146" s="58" t="s">
        <v>322</v>
      </c>
      <c r="D146" s="59">
        <v>-1.004232</v>
      </c>
      <c r="E146" s="60">
        <v>1.2137910000000001</v>
      </c>
      <c r="F146" s="59">
        <v>1.8048999999999999E-2</v>
      </c>
      <c r="G146" s="60">
        <v>1.6728050000000001</v>
      </c>
      <c r="H146" s="59" t="s">
        <v>179</v>
      </c>
      <c r="I146" s="60" t="s">
        <v>179</v>
      </c>
      <c r="J146" s="59" t="s">
        <v>179</v>
      </c>
      <c r="K146" s="60">
        <v>0.51385400000000003</v>
      </c>
      <c r="L146" s="59" t="s">
        <v>179</v>
      </c>
      <c r="M146" s="60">
        <v>0.116839</v>
      </c>
      <c r="N146" s="59">
        <v>0.441969</v>
      </c>
      <c r="O146" s="60">
        <v>0.90627000000000002</v>
      </c>
      <c r="P146" s="59">
        <v>-1.1989669999999999</v>
      </c>
      <c r="Q146" s="60" t="s">
        <v>179</v>
      </c>
      <c r="R146" s="59">
        <v>-1.0861959999999999</v>
      </c>
      <c r="S146" s="60">
        <v>-0.39907599999999999</v>
      </c>
      <c r="T146" s="59" t="s">
        <v>179</v>
      </c>
      <c r="U146" s="60">
        <v>0.27976800000000002</v>
      </c>
      <c r="V146" s="59">
        <v>6.3061000000000006E-2</v>
      </c>
      <c r="W146" s="60">
        <v>4.4304680000000003</v>
      </c>
      <c r="X146" s="59" t="s">
        <v>179</v>
      </c>
      <c r="Y146" s="60" t="s">
        <v>179</v>
      </c>
      <c r="Z146" s="59">
        <v>0.50073999999999996</v>
      </c>
      <c r="AA146" s="60">
        <v>-0.73937600000000003</v>
      </c>
      <c r="AB146" s="59">
        <v>0.83213300000000001</v>
      </c>
      <c r="AC146" s="60" t="s">
        <v>179</v>
      </c>
      <c r="AD146" s="59">
        <v>1.892741</v>
      </c>
      <c r="AE146" s="60" t="s">
        <v>179</v>
      </c>
      <c r="AF146" s="59">
        <v>0.92271599999999998</v>
      </c>
      <c r="AG146" s="60" t="s">
        <v>179</v>
      </c>
      <c r="AH146" s="59" t="s">
        <v>179</v>
      </c>
      <c r="AI146" s="60">
        <v>0.36546299999999998</v>
      </c>
      <c r="AJ146" s="59">
        <v>-1.1314150000000001</v>
      </c>
      <c r="AK146" s="60">
        <v>0.17480899999999999</v>
      </c>
      <c r="AL146" s="59" t="s">
        <v>179</v>
      </c>
      <c r="AM146" s="60">
        <v>1.831</v>
      </c>
      <c r="AN146" s="59">
        <v>1.3178540000000001</v>
      </c>
      <c r="AO146" s="60" t="s">
        <v>179</v>
      </c>
      <c r="AP146" s="59" t="s">
        <v>179</v>
      </c>
      <c r="AQ146" s="60">
        <v>0.95645999999999998</v>
      </c>
      <c r="AR146" s="59">
        <v>1.1101909999999999</v>
      </c>
      <c r="AS146" s="60">
        <v>0.70071799999999995</v>
      </c>
      <c r="AT146" s="59" t="s">
        <v>179</v>
      </c>
      <c r="AU146" s="60">
        <v>0.79490499999999997</v>
      </c>
      <c r="AV146" s="59" t="s">
        <v>179</v>
      </c>
      <c r="AW146" s="60" t="s">
        <v>179</v>
      </c>
      <c r="AX146" s="59" t="s">
        <v>179</v>
      </c>
      <c r="AY146" s="60" t="s">
        <v>179</v>
      </c>
      <c r="AZ146" s="59" t="s">
        <v>179</v>
      </c>
      <c r="BA146" s="60" t="s">
        <v>179</v>
      </c>
      <c r="BB146" s="59" t="s">
        <v>179</v>
      </c>
      <c r="BC146" s="60" t="s">
        <v>179</v>
      </c>
      <c r="BD146" s="59" t="s">
        <v>179</v>
      </c>
      <c r="BE146" s="60">
        <v>-1.5434810000000001</v>
      </c>
    </row>
    <row r="147" spans="1:57" x14ac:dyDescent="0.35">
      <c r="A147" s="240"/>
      <c r="B147" s="240"/>
      <c r="C147" s="58" t="s">
        <v>323</v>
      </c>
      <c r="D147" s="59">
        <v>-0.18978200000000001</v>
      </c>
      <c r="E147" s="60">
        <v>1.308602</v>
      </c>
      <c r="F147" s="59">
        <v>4.7184999999999998E-2</v>
      </c>
      <c r="G147" s="60">
        <v>1.965446</v>
      </c>
      <c r="H147" s="59" t="s">
        <v>179</v>
      </c>
      <c r="I147" s="60" t="s">
        <v>179</v>
      </c>
      <c r="J147" s="59" t="s">
        <v>179</v>
      </c>
      <c r="K147" s="60">
        <v>1.641519</v>
      </c>
      <c r="L147" s="59" t="s">
        <v>179</v>
      </c>
      <c r="M147" s="60">
        <v>1.050322</v>
      </c>
      <c r="N147" s="59">
        <v>2.2776999999999999E-2</v>
      </c>
      <c r="O147" s="60">
        <v>1.052778</v>
      </c>
      <c r="P147" s="59">
        <v>-3.1246749999999999</v>
      </c>
      <c r="Q147" s="60" t="s">
        <v>179</v>
      </c>
      <c r="R147" s="59">
        <v>-0.72897999999999996</v>
      </c>
      <c r="S147" s="60">
        <v>-0.16062299999999999</v>
      </c>
      <c r="T147" s="59" t="s">
        <v>179</v>
      </c>
      <c r="U147" s="60">
        <v>-0.120409</v>
      </c>
      <c r="V147" s="59">
        <v>0.75195199999999995</v>
      </c>
      <c r="W147" s="60">
        <v>3.0876999999999999</v>
      </c>
      <c r="X147" s="59" t="s">
        <v>179</v>
      </c>
      <c r="Y147" s="60" t="s">
        <v>179</v>
      </c>
      <c r="Z147" s="59">
        <v>0.90490300000000001</v>
      </c>
      <c r="AA147" s="60">
        <v>-2.0107149999999998</v>
      </c>
      <c r="AB147" s="59">
        <v>2.716421</v>
      </c>
      <c r="AC147" s="60" t="s">
        <v>179</v>
      </c>
      <c r="AD147" s="59">
        <v>1.103205</v>
      </c>
      <c r="AE147" s="60" t="s">
        <v>179</v>
      </c>
      <c r="AF147" s="59">
        <v>-0.89468599999999998</v>
      </c>
      <c r="AG147" s="60" t="s">
        <v>179</v>
      </c>
      <c r="AH147" s="59" t="s">
        <v>179</v>
      </c>
      <c r="AI147" s="60">
        <v>0.61760999999999999</v>
      </c>
      <c r="AJ147" s="59">
        <v>0.78839999999999999</v>
      </c>
      <c r="AK147" s="60">
        <v>0.91572799999999999</v>
      </c>
      <c r="AL147" s="59" t="s">
        <v>179</v>
      </c>
      <c r="AM147" s="60">
        <v>0.85516700000000001</v>
      </c>
      <c r="AN147" s="59">
        <v>2.2756050000000001</v>
      </c>
      <c r="AO147" s="60" t="s">
        <v>179</v>
      </c>
      <c r="AP147" s="59" t="s">
        <v>179</v>
      </c>
      <c r="AQ147" s="60">
        <v>1.3689819999999999</v>
      </c>
      <c r="AR147" s="59">
        <v>1.7662359999999999</v>
      </c>
      <c r="AS147" s="60">
        <v>0.58620499999999998</v>
      </c>
      <c r="AT147" s="59" t="s">
        <v>179</v>
      </c>
      <c r="AU147" s="60">
        <v>1.1217509999999999</v>
      </c>
      <c r="AV147" s="59" t="s">
        <v>179</v>
      </c>
      <c r="AW147" s="60" t="s">
        <v>179</v>
      </c>
      <c r="AX147" s="59" t="s">
        <v>179</v>
      </c>
      <c r="AY147" s="60" t="s">
        <v>179</v>
      </c>
      <c r="AZ147" s="59" t="s">
        <v>179</v>
      </c>
      <c r="BA147" s="60" t="s">
        <v>179</v>
      </c>
      <c r="BB147" s="59" t="s">
        <v>179</v>
      </c>
      <c r="BC147" s="60" t="s">
        <v>179</v>
      </c>
      <c r="BD147" s="59" t="s">
        <v>179</v>
      </c>
      <c r="BE147" s="60">
        <v>0.41525400000000001</v>
      </c>
    </row>
    <row r="148" spans="1:57" x14ac:dyDescent="0.35">
      <c r="A148" s="240"/>
      <c r="B148" s="240"/>
      <c r="C148" s="58" t="s">
        <v>324</v>
      </c>
      <c r="D148" s="59">
        <v>2.7898830000000001</v>
      </c>
      <c r="E148" s="60">
        <v>0.83842799999999995</v>
      </c>
      <c r="F148" s="59">
        <v>0.83464000000000005</v>
      </c>
      <c r="G148" s="60">
        <v>1.118398</v>
      </c>
      <c r="H148" s="59" t="s">
        <v>179</v>
      </c>
      <c r="I148" s="60" t="s">
        <v>179</v>
      </c>
      <c r="J148" s="59" t="s">
        <v>179</v>
      </c>
      <c r="K148" s="60">
        <v>-1.290314</v>
      </c>
      <c r="L148" s="59" t="s">
        <v>179</v>
      </c>
      <c r="M148" s="60">
        <v>0.919296</v>
      </c>
      <c r="N148" s="59">
        <v>0.17161299999999999</v>
      </c>
      <c r="O148" s="60">
        <v>-0.208368</v>
      </c>
      <c r="P148" s="59">
        <v>2.3552119999999999</v>
      </c>
      <c r="Q148" s="60" t="s">
        <v>179</v>
      </c>
      <c r="R148" s="59">
        <v>9.5576999999999995E-2</v>
      </c>
      <c r="S148" s="60">
        <v>0.365867</v>
      </c>
      <c r="T148" s="59" t="s">
        <v>179</v>
      </c>
      <c r="U148" s="60">
        <v>1.8622289999999999</v>
      </c>
      <c r="V148" s="59">
        <v>1.496254</v>
      </c>
      <c r="W148" s="60">
        <v>3.713597</v>
      </c>
      <c r="X148" s="59" t="s">
        <v>179</v>
      </c>
      <c r="Y148" s="60" t="s">
        <v>179</v>
      </c>
      <c r="Z148" s="59">
        <v>1.530276</v>
      </c>
      <c r="AA148" s="60">
        <v>0.83014299999999996</v>
      </c>
      <c r="AB148" s="59">
        <v>1.4751099999999999</v>
      </c>
      <c r="AC148" s="60" t="s">
        <v>179</v>
      </c>
      <c r="AD148" s="59">
        <v>1.3823319999999999</v>
      </c>
      <c r="AE148" s="60" t="s">
        <v>179</v>
      </c>
      <c r="AF148" s="59">
        <v>-1.50034</v>
      </c>
      <c r="AG148" s="60" t="s">
        <v>179</v>
      </c>
      <c r="AH148" s="59" t="s">
        <v>179</v>
      </c>
      <c r="AI148" s="60">
        <v>0.147061</v>
      </c>
      <c r="AJ148" s="59">
        <v>1.1273299999999999</v>
      </c>
      <c r="AK148" s="60">
        <v>0.42975999999999998</v>
      </c>
      <c r="AL148" s="59" t="s">
        <v>179</v>
      </c>
      <c r="AM148" s="60">
        <v>1.09463</v>
      </c>
      <c r="AN148" s="59">
        <v>1.999069</v>
      </c>
      <c r="AO148" s="60" t="s">
        <v>179</v>
      </c>
      <c r="AP148" s="59" t="s">
        <v>179</v>
      </c>
      <c r="AQ148" s="60">
        <v>1.3838010000000001</v>
      </c>
      <c r="AR148" s="59">
        <v>1.8014399999999999</v>
      </c>
      <c r="AS148" s="60">
        <v>0.68037000000000003</v>
      </c>
      <c r="AT148" s="59" t="s">
        <v>179</v>
      </c>
      <c r="AU148" s="60">
        <v>1.3248200000000001</v>
      </c>
      <c r="AV148" s="59" t="s">
        <v>179</v>
      </c>
      <c r="AW148" s="60" t="s">
        <v>179</v>
      </c>
      <c r="AX148" s="59" t="s">
        <v>179</v>
      </c>
      <c r="AY148" s="60" t="s">
        <v>179</v>
      </c>
      <c r="AZ148" s="59" t="s">
        <v>179</v>
      </c>
      <c r="BA148" s="60" t="s">
        <v>179</v>
      </c>
      <c r="BB148" s="59" t="s">
        <v>179</v>
      </c>
      <c r="BC148" s="60" t="s">
        <v>179</v>
      </c>
      <c r="BD148" s="59" t="s">
        <v>179</v>
      </c>
      <c r="BE148" s="60">
        <v>1.152779</v>
      </c>
    </row>
    <row r="149" spans="1:57" x14ac:dyDescent="0.35">
      <c r="A149" s="240"/>
      <c r="B149" s="240"/>
      <c r="C149" s="58" t="s">
        <v>325</v>
      </c>
      <c r="D149" s="59">
        <v>1.6648339999999999</v>
      </c>
      <c r="E149" s="60">
        <v>1.0135890000000001</v>
      </c>
      <c r="F149" s="59">
        <v>1.1173</v>
      </c>
      <c r="G149" s="60">
        <v>1.2601979999999999</v>
      </c>
      <c r="H149" s="59" t="s">
        <v>179</v>
      </c>
      <c r="I149" s="60" t="s">
        <v>179</v>
      </c>
      <c r="J149" s="59" t="s">
        <v>179</v>
      </c>
      <c r="K149" s="60">
        <v>2.339343</v>
      </c>
      <c r="L149" s="59" t="s">
        <v>179</v>
      </c>
      <c r="M149" s="60">
        <v>-0.24260699999999999</v>
      </c>
      <c r="N149" s="59">
        <v>0.41709600000000002</v>
      </c>
      <c r="O149" s="60">
        <v>1.3832739999999999</v>
      </c>
      <c r="P149" s="59">
        <v>3.310114</v>
      </c>
      <c r="Q149" s="60" t="s">
        <v>179</v>
      </c>
      <c r="R149" s="59">
        <v>0.99197000000000002</v>
      </c>
      <c r="S149" s="60">
        <v>0.94944300000000004</v>
      </c>
      <c r="T149" s="59" t="s">
        <v>179</v>
      </c>
      <c r="U149" s="60">
        <v>2.2168000000000001</v>
      </c>
      <c r="V149" s="59">
        <v>0.83312600000000003</v>
      </c>
      <c r="W149" s="60">
        <v>0.71588799999999997</v>
      </c>
      <c r="X149" s="59" t="s">
        <v>179</v>
      </c>
      <c r="Y149" s="60" t="s">
        <v>179</v>
      </c>
      <c r="Z149" s="59">
        <v>2.017614</v>
      </c>
      <c r="AA149" s="60">
        <v>1.1504460000000001</v>
      </c>
      <c r="AB149" s="59">
        <v>-0.70158399999999999</v>
      </c>
      <c r="AC149" s="60" t="s">
        <v>179</v>
      </c>
      <c r="AD149" s="59">
        <v>3.7352000000000003E-2</v>
      </c>
      <c r="AE149" s="60" t="s">
        <v>179</v>
      </c>
      <c r="AF149" s="59">
        <v>-0.65249100000000004</v>
      </c>
      <c r="AG149" s="60" t="s">
        <v>179</v>
      </c>
      <c r="AH149" s="59" t="s">
        <v>179</v>
      </c>
      <c r="AI149" s="60">
        <v>0.64611700000000005</v>
      </c>
      <c r="AJ149" s="59">
        <v>2.0147110000000001</v>
      </c>
      <c r="AK149" s="60">
        <v>0.70960699999999999</v>
      </c>
      <c r="AL149" s="59" t="s">
        <v>179</v>
      </c>
      <c r="AM149" s="60">
        <v>0.86399599999999999</v>
      </c>
      <c r="AN149" s="59">
        <v>2.0862189999999998</v>
      </c>
      <c r="AO149" s="60" t="s">
        <v>179</v>
      </c>
      <c r="AP149" s="59" t="s">
        <v>179</v>
      </c>
      <c r="AQ149" s="60">
        <v>1.5436270000000001</v>
      </c>
      <c r="AR149" s="59">
        <v>1.9197550000000001</v>
      </c>
      <c r="AS149" s="60">
        <v>1.152549</v>
      </c>
      <c r="AT149" s="59" t="s">
        <v>179</v>
      </c>
      <c r="AU149" s="60">
        <v>1.431249</v>
      </c>
      <c r="AV149" s="59" t="s">
        <v>179</v>
      </c>
      <c r="AW149" s="60" t="s">
        <v>179</v>
      </c>
      <c r="AX149" s="59" t="s">
        <v>179</v>
      </c>
      <c r="AY149" s="60" t="s">
        <v>179</v>
      </c>
      <c r="AZ149" s="59" t="s">
        <v>179</v>
      </c>
      <c r="BA149" s="60" t="s">
        <v>179</v>
      </c>
      <c r="BB149" s="59" t="s">
        <v>179</v>
      </c>
      <c r="BC149" s="60" t="s">
        <v>179</v>
      </c>
      <c r="BD149" s="59" t="s">
        <v>179</v>
      </c>
      <c r="BE149" s="60">
        <v>2.5363720000000001</v>
      </c>
    </row>
    <row r="150" spans="1:57" x14ac:dyDescent="0.35">
      <c r="A150" s="240"/>
      <c r="B150" s="240"/>
      <c r="C150" s="58" t="s">
        <v>326</v>
      </c>
      <c r="D150" s="59">
        <v>2.5104250000000001</v>
      </c>
      <c r="E150" s="60">
        <v>-1.317604</v>
      </c>
      <c r="F150" s="59">
        <v>0.40455600000000003</v>
      </c>
      <c r="G150" s="60">
        <v>1.7202980000000001</v>
      </c>
      <c r="H150" s="59" t="s">
        <v>179</v>
      </c>
      <c r="I150" s="60" t="s">
        <v>179</v>
      </c>
      <c r="J150" s="59" t="s">
        <v>179</v>
      </c>
      <c r="K150" s="60">
        <v>1.2981590000000001</v>
      </c>
      <c r="L150" s="59" t="s">
        <v>179</v>
      </c>
      <c r="M150" s="60">
        <v>1.578489</v>
      </c>
      <c r="N150" s="59">
        <v>0.72147300000000003</v>
      </c>
      <c r="O150" s="60">
        <v>1.322573</v>
      </c>
      <c r="P150" s="59">
        <v>-0.64385300000000001</v>
      </c>
      <c r="Q150" s="60" t="s">
        <v>179</v>
      </c>
      <c r="R150" s="59">
        <v>1.4880040000000001</v>
      </c>
      <c r="S150" s="60">
        <v>1.3234729999999999</v>
      </c>
      <c r="T150" s="59" t="s">
        <v>179</v>
      </c>
      <c r="U150" s="60">
        <v>-0.19611300000000001</v>
      </c>
      <c r="V150" s="59">
        <v>1.1516759999999999</v>
      </c>
      <c r="W150" s="60">
        <v>4.3813000000000004</v>
      </c>
      <c r="X150" s="59" t="s">
        <v>179</v>
      </c>
      <c r="Y150" s="60" t="s">
        <v>179</v>
      </c>
      <c r="Z150" s="59">
        <v>2.0088249999999999</v>
      </c>
      <c r="AA150" s="60">
        <v>2.7601140000000002</v>
      </c>
      <c r="AB150" s="59">
        <v>1.676444</v>
      </c>
      <c r="AC150" s="60" t="s">
        <v>179</v>
      </c>
      <c r="AD150" s="59">
        <v>2.6822509999999999</v>
      </c>
      <c r="AE150" s="60" t="s">
        <v>179</v>
      </c>
      <c r="AF150" s="59">
        <v>-0.77061199999999996</v>
      </c>
      <c r="AG150" s="60" t="s">
        <v>179</v>
      </c>
      <c r="AH150" s="59" t="s">
        <v>179</v>
      </c>
      <c r="AI150" s="60">
        <v>0.82720099999999996</v>
      </c>
      <c r="AJ150" s="59">
        <v>2.2568760000000001</v>
      </c>
      <c r="AK150" s="60">
        <v>0.58752000000000004</v>
      </c>
      <c r="AL150" s="59" t="s">
        <v>179</v>
      </c>
      <c r="AM150" s="60">
        <v>0.69232199999999999</v>
      </c>
      <c r="AN150" s="59">
        <v>1.9547699999999999</v>
      </c>
      <c r="AO150" s="60" t="s">
        <v>179</v>
      </c>
      <c r="AP150" s="59" t="s">
        <v>179</v>
      </c>
      <c r="AQ150" s="60">
        <v>1.3660140000000001</v>
      </c>
      <c r="AR150" s="59">
        <v>2.0231680000000001</v>
      </c>
      <c r="AS150" s="60">
        <v>0.79254899999999995</v>
      </c>
      <c r="AT150" s="59" t="s">
        <v>179</v>
      </c>
      <c r="AU150" s="60">
        <v>1.4502219999999999</v>
      </c>
      <c r="AV150" s="59" t="s">
        <v>179</v>
      </c>
      <c r="AW150" s="60" t="s">
        <v>179</v>
      </c>
      <c r="AX150" s="59" t="s">
        <v>179</v>
      </c>
      <c r="AY150" s="60" t="s">
        <v>179</v>
      </c>
      <c r="AZ150" s="59" t="s">
        <v>179</v>
      </c>
      <c r="BA150" s="60" t="s">
        <v>179</v>
      </c>
      <c r="BB150" s="59" t="s">
        <v>179</v>
      </c>
      <c r="BC150" s="60" t="s">
        <v>179</v>
      </c>
      <c r="BD150" s="59" t="s">
        <v>179</v>
      </c>
      <c r="BE150" s="60">
        <v>1.696766</v>
      </c>
    </row>
    <row r="151" spans="1:57" x14ac:dyDescent="0.35">
      <c r="A151" s="240"/>
      <c r="B151" s="240"/>
      <c r="C151" s="58" t="s">
        <v>327</v>
      </c>
      <c r="D151" s="59">
        <v>1.1287769999999999</v>
      </c>
      <c r="E151" s="60">
        <v>-0.70595799999999997</v>
      </c>
      <c r="F151" s="59">
        <v>0.15287000000000001</v>
      </c>
      <c r="G151" s="60">
        <v>1.955921</v>
      </c>
      <c r="H151" s="59" t="s">
        <v>179</v>
      </c>
      <c r="I151" s="60" t="s">
        <v>179</v>
      </c>
      <c r="J151" s="59" t="s">
        <v>179</v>
      </c>
      <c r="K151" s="60">
        <v>1.2678039999999999</v>
      </c>
      <c r="L151" s="59" t="s">
        <v>179</v>
      </c>
      <c r="M151" s="60">
        <v>0.13552</v>
      </c>
      <c r="N151" s="59">
        <v>0.30065900000000001</v>
      </c>
      <c r="O151" s="60">
        <v>-1.5752060000000001</v>
      </c>
      <c r="P151" s="59">
        <v>-2.5886999999999998</v>
      </c>
      <c r="Q151" s="60" t="s">
        <v>179</v>
      </c>
      <c r="R151" s="59">
        <v>1.5359719999999999</v>
      </c>
      <c r="S151" s="60">
        <v>1.4608449999999999</v>
      </c>
      <c r="T151" s="59" t="s">
        <v>179</v>
      </c>
      <c r="U151" s="60">
        <v>0.321965</v>
      </c>
      <c r="V151" s="59">
        <v>1.514426</v>
      </c>
      <c r="W151" s="60">
        <v>2.5064389999999999</v>
      </c>
      <c r="X151" s="59" t="s">
        <v>179</v>
      </c>
      <c r="Y151" s="60" t="s">
        <v>179</v>
      </c>
      <c r="Z151" s="59">
        <v>1.5621799999999999</v>
      </c>
      <c r="AA151" s="60">
        <v>-1.4718910000000001</v>
      </c>
      <c r="AB151" s="59">
        <v>-5.8950000000000002E-2</v>
      </c>
      <c r="AC151" s="60" t="s">
        <v>179</v>
      </c>
      <c r="AD151" s="59">
        <v>0.62058899999999995</v>
      </c>
      <c r="AE151" s="60" t="s">
        <v>179</v>
      </c>
      <c r="AF151" s="59">
        <v>-1.0343340000000001</v>
      </c>
      <c r="AG151" s="60" t="s">
        <v>179</v>
      </c>
      <c r="AH151" s="59" t="s">
        <v>179</v>
      </c>
      <c r="AI151" s="60">
        <v>-0.30828499999999998</v>
      </c>
      <c r="AJ151" s="59">
        <v>-1.513563</v>
      </c>
      <c r="AK151" s="60">
        <v>0.64418399999999998</v>
      </c>
      <c r="AL151" s="59" t="s">
        <v>179</v>
      </c>
      <c r="AM151" s="60">
        <v>-0.87557700000000005</v>
      </c>
      <c r="AN151" s="59">
        <v>1.7277910000000001</v>
      </c>
      <c r="AO151" s="60" t="s">
        <v>179</v>
      </c>
      <c r="AP151" s="59" t="s">
        <v>179</v>
      </c>
      <c r="AQ151" s="60">
        <v>0.88462300000000005</v>
      </c>
      <c r="AR151" s="59">
        <v>1.4025000000000001</v>
      </c>
      <c r="AS151" s="60">
        <v>-0.36355700000000002</v>
      </c>
      <c r="AT151" s="59" t="s">
        <v>179</v>
      </c>
      <c r="AU151" s="60">
        <v>0.66840200000000005</v>
      </c>
      <c r="AV151" s="59" t="s">
        <v>179</v>
      </c>
      <c r="AW151" s="60" t="s">
        <v>179</v>
      </c>
      <c r="AX151" s="59" t="s">
        <v>179</v>
      </c>
      <c r="AY151" s="60" t="s">
        <v>179</v>
      </c>
      <c r="AZ151" s="59" t="s">
        <v>179</v>
      </c>
      <c r="BA151" s="60" t="s">
        <v>179</v>
      </c>
      <c r="BB151" s="59" t="s">
        <v>179</v>
      </c>
      <c r="BC151" s="60" t="s">
        <v>179</v>
      </c>
      <c r="BD151" s="59" t="s">
        <v>179</v>
      </c>
      <c r="BE151" s="60">
        <v>2.0774919999999999</v>
      </c>
    </row>
    <row r="152" spans="1:57" x14ac:dyDescent="0.35">
      <c r="A152" s="240"/>
      <c r="B152" s="240"/>
      <c r="C152" s="58" t="s">
        <v>328</v>
      </c>
      <c r="D152" s="59">
        <v>0.84634600000000004</v>
      </c>
      <c r="E152" s="60">
        <v>0.91992200000000002</v>
      </c>
      <c r="F152" s="59">
        <v>0.28676800000000002</v>
      </c>
      <c r="G152" s="60">
        <v>0.42053400000000002</v>
      </c>
      <c r="H152" s="59" t="s">
        <v>179</v>
      </c>
      <c r="I152" s="60" t="s">
        <v>179</v>
      </c>
      <c r="J152" s="59" t="s">
        <v>179</v>
      </c>
      <c r="K152" s="60">
        <v>0.91218699999999997</v>
      </c>
      <c r="L152" s="59" t="s">
        <v>179</v>
      </c>
      <c r="M152" s="60">
        <v>0.89322000000000001</v>
      </c>
      <c r="N152" s="59">
        <v>0.508907</v>
      </c>
      <c r="O152" s="60">
        <v>2.7232880000000002</v>
      </c>
      <c r="P152" s="59">
        <v>3.0398800000000001</v>
      </c>
      <c r="Q152" s="60" t="s">
        <v>179</v>
      </c>
      <c r="R152" s="59">
        <v>1.22488</v>
      </c>
      <c r="S152" s="60">
        <v>1.409505</v>
      </c>
      <c r="T152" s="59" t="s">
        <v>179</v>
      </c>
      <c r="U152" s="60">
        <v>1.177468</v>
      </c>
      <c r="V152" s="59">
        <v>1.2220679999999999</v>
      </c>
      <c r="W152" s="60">
        <v>1.3632439999999999</v>
      </c>
      <c r="X152" s="59" t="s">
        <v>179</v>
      </c>
      <c r="Y152" s="60" t="s">
        <v>179</v>
      </c>
      <c r="Z152" s="59">
        <v>0.74031599999999997</v>
      </c>
      <c r="AA152" s="60">
        <v>2.4215550000000001</v>
      </c>
      <c r="AB152" s="59">
        <v>1.0938920000000001</v>
      </c>
      <c r="AC152" s="60" t="s">
        <v>179</v>
      </c>
      <c r="AD152" s="59">
        <v>2.8956219999999999</v>
      </c>
      <c r="AE152" s="60" t="s">
        <v>179</v>
      </c>
      <c r="AF152" s="59">
        <v>2.4040840000000001</v>
      </c>
      <c r="AG152" s="60" t="s">
        <v>179</v>
      </c>
      <c r="AH152" s="59" t="s">
        <v>179</v>
      </c>
      <c r="AI152" s="60">
        <v>0.87091499999999999</v>
      </c>
      <c r="AJ152" s="59">
        <v>1.3220529999999999</v>
      </c>
      <c r="AK152" s="60">
        <v>1.506108</v>
      </c>
      <c r="AL152" s="59" t="s">
        <v>179</v>
      </c>
      <c r="AM152" s="60">
        <v>0.64685400000000004</v>
      </c>
      <c r="AN152" s="59">
        <v>0.96406400000000003</v>
      </c>
      <c r="AO152" s="60" t="s">
        <v>179</v>
      </c>
      <c r="AP152" s="59" t="s">
        <v>179</v>
      </c>
      <c r="AQ152" s="60">
        <v>1.1425460000000001</v>
      </c>
      <c r="AR152" s="59">
        <v>1.0729900000000001</v>
      </c>
      <c r="AS152" s="60">
        <v>1.3711420000000001</v>
      </c>
      <c r="AT152" s="59" t="s">
        <v>179</v>
      </c>
      <c r="AU152" s="60">
        <v>1.2151289999999999</v>
      </c>
      <c r="AV152" s="59" t="s">
        <v>179</v>
      </c>
      <c r="AW152" s="60" t="s">
        <v>179</v>
      </c>
      <c r="AX152" s="59" t="s">
        <v>179</v>
      </c>
      <c r="AY152" s="60" t="s">
        <v>179</v>
      </c>
      <c r="AZ152" s="59" t="s">
        <v>179</v>
      </c>
      <c r="BA152" s="60" t="s">
        <v>179</v>
      </c>
      <c r="BB152" s="59" t="s">
        <v>179</v>
      </c>
      <c r="BC152" s="60" t="s">
        <v>179</v>
      </c>
      <c r="BD152" s="59" t="s">
        <v>179</v>
      </c>
      <c r="BE152" s="60">
        <v>-1.65747</v>
      </c>
    </row>
    <row r="153" spans="1:57" x14ac:dyDescent="0.35">
      <c r="A153" s="240"/>
      <c r="B153" s="240"/>
      <c r="C153" s="58" t="s">
        <v>329</v>
      </c>
      <c r="D153" s="59">
        <v>0.69245299999999999</v>
      </c>
      <c r="E153" s="60">
        <v>0.95028900000000005</v>
      </c>
      <c r="F153" s="59">
        <v>0.64433700000000005</v>
      </c>
      <c r="G153" s="60">
        <v>1.584484</v>
      </c>
      <c r="H153" s="59" t="s">
        <v>179</v>
      </c>
      <c r="I153" s="60" t="s">
        <v>179</v>
      </c>
      <c r="J153" s="59" t="s">
        <v>179</v>
      </c>
      <c r="K153" s="60">
        <v>0.46510000000000001</v>
      </c>
      <c r="L153" s="59" t="s">
        <v>179</v>
      </c>
      <c r="M153" s="60">
        <v>1.1804159999999999</v>
      </c>
      <c r="N153" s="59">
        <v>0.25106499999999998</v>
      </c>
      <c r="O153" s="60">
        <v>0.84181399999999995</v>
      </c>
      <c r="P153" s="59">
        <v>1.1997359999999999</v>
      </c>
      <c r="Q153" s="60" t="s">
        <v>179</v>
      </c>
      <c r="R153" s="59">
        <v>0.81943299999999997</v>
      </c>
      <c r="S153" s="60">
        <v>1.2015640000000001</v>
      </c>
      <c r="T153" s="59" t="s">
        <v>179</v>
      </c>
      <c r="U153" s="60">
        <v>1.6043999999999999E-2</v>
      </c>
      <c r="V153" s="59">
        <v>0.17260200000000001</v>
      </c>
      <c r="W153" s="60">
        <v>0.48602400000000001</v>
      </c>
      <c r="X153" s="59" t="s">
        <v>179</v>
      </c>
      <c r="Y153" s="60" t="s">
        <v>179</v>
      </c>
      <c r="Z153" s="59">
        <v>3.8899999999999997E-2</v>
      </c>
      <c r="AA153" s="60">
        <v>-0.88122999999999996</v>
      </c>
      <c r="AB153" s="59">
        <v>0.18387899999999999</v>
      </c>
      <c r="AC153" s="60" t="s">
        <v>179</v>
      </c>
      <c r="AD153" s="59">
        <v>2.0771060000000001</v>
      </c>
      <c r="AE153" s="60" t="s">
        <v>179</v>
      </c>
      <c r="AF153" s="59">
        <v>-0.23164799999999999</v>
      </c>
      <c r="AG153" s="60" t="s">
        <v>179</v>
      </c>
      <c r="AH153" s="59" t="s">
        <v>179</v>
      </c>
      <c r="AI153" s="60">
        <v>0.127632</v>
      </c>
      <c r="AJ153" s="59">
        <v>0.92983300000000002</v>
      </c>
      <c r="AK153" s="60">
        <v>1.042697</v>
      </c>
      <c r="AL153" s="59" t="s">
        <v>179</v>
      </c>
      <c r="AM153" s="60">
        <v>1.9775290000000001</v>
      </c>
      <c r="AN153" s="59">
        <v>0.82086300000000001</v>
      </c>
      <c r="AO153" s="60" t="s">
        <v>179</v>
      </c>
      <c r="AP153" s="59" t="s">
        <v>179</v>
      </c>
      <c r="AQ153" s="60">
        <v>0.72899700000000001</v>
      </c>
      <c r="AR153" s="59">
        <v>0.70109299999999997</v>
      </c>
      <c r="AS153" s="60">
        <v>0.72699400000000003</v>
      </c>
      <c r="AT153" s="59" t="s">
        <v>179</v>
      </c>
      <c r="AU153" s="60">
        <v>0.64571500000000004</v>
      </c>
      <c r="AV153" s="59" t="s">
        <v>179</v>
      </c>
      <c r="AW153" s="60" t="s">
        <v>179</v>
      </c>
      <c r="AX153" s="59" t="s">
        <v>179</v>
      </c>
      <c r="AY153" s="60" t="s">
        <v>179</v>
      </c>
      <c r="AZ153" s="59" t="s">
        <v>179</v>
      </c>
      <c r="BA153" s="60" t="s">
        <v>179</v>
      </c>
      <c r="BB153" s="59" t="s">
        <v>179</v>
      </c>
      <c r="BC153" s="60" t="s">
        <v>179</v>
      </c>
      <c r="BD153" s="59" t="s">
        <v>179</v>
      </c>
      <c r="BE153" s="60">
        <v>0.154613</v>
      </c>
    </row>
    <row r="154" spans="1:57" x14ac:dyDescent="0.35">
      <c r="A154" s="240"/>
      <c r="B154" s="240"/>
      <c r="C154" s="58" t="s">
        <v>330</v>
      </c>
      <c r="D154" s="59">
        <v>1.4565760000000001</v>
      </c>
      <c r="E154" s="60">
        <v>0.48032000000000002</v>
      </c>
      <c r="F154" s="59">
        <v>0.42765599999999998</v>
      </c>
      <c r="G154" s="60">
        <v>1.5194019999999999</v>
      </c>
      <c r="H154" s="59" t="s">
        <v>179</v>
      </c>
      <c r="I154" s="60" t="s">
        <v>179</v>
      </c>
      <c r="J154" s="59" t="s">
        <v>179</v>
      </c>
      <c r="K154" s="60">
        <v>0.31768600000000002</v>
      </c>
      <c r="L154" s="59" t="s">
        <v>179</v>
      </c>
      <c r="M154" s="60">
        <v>0.68938100000000002</v>
      </c>
      <c r="N154" s="59">
        <v>0.18951899999999999</v>
      </c>
      <c r="O154" s="60">
        <v>-0.54507099999999997</v>
      </c>
      <c r="P154" s="59">
        <v>-2.684148</v>
      </c>
      <c r="Q154" s="60" t="s">
        <v>179</v>
      </c>
      <c r="R154" s="59">
        <v>0.58896400000000004</v>
      </c>
      <c r="S154" s="60">
        <v>0.86655700000000002</v>
      </c>
      <c r="T154" s="59" t="s">
        <v>179</v>
      </c>
      <c r="U154" s="60">
        <v>0.57172800000000001</v>
      </c>
      <c r="V154" s="59">
        <v>2.4505699999999999</v>
      </c>
      <c r="W154" s="60">
        <v>2.8108960000000001</v>
      </c>
      <c r="X154" s="59" t="s">
        <v>179</v>
      </c>
      <c r="Y154" s="60" t="s">
        <v>179</v>
      </c>
      <c r="Z154" s="59">
        <v>-2.5472000000000002E-2</v>
      </c>
      <c r="AA154" s="60">
        <v>1.8291120000000001</v>
      </c>
      <c r="AB154" s="59">
        <v>0.36884699999999998</v>
      </c>
      <c r="AC154" s="60" t="s">
        <v>179</v>
      </c>
      <c r="AD154" s="59">
        <v>1.960674</v>
      </c>
      <c r="AE154" s="60" t="s">
        <v>179</v>
      </c>
      <c r="AF154" s="59">
        <v>1.088803</v>
      </c>
      <c r="AG154" s="60" t="s">
        <v>179</v>
      </c>
      <c r="AH154" s="59" t="s">
        <v>179</v>
      </c>
      <c r="AI154" s="60">
        <v>1.115985</v>
      </c>
      <c r="AJ154" s="59">
        <v>0.13887099999999999</v>
      </c>
      <c r="AK154" s="60">
        <v>0.74799800000000005</v>
      </c>
      <c r="AL154" s="59" t="s">
        <v>179</v>
      </c>
      <c r="AM154" s="60">
        <v>0.82000799999999996</v>
      </c>
      <c r="AN154" s="59">
        <v>0.96908700000000003</v>
      </c>
      <c r="AO154" s="60" t="s">
        <v>179</v>
      </c>
      <c r="AP154" s="59" t="s">
        <v>179</v>
      </c>
      <c r="AQ154" s="60">
        <v>0.95364400000000005</v>
      </c>
      <c r="AR154" s="59">
        <v>1.102158</v>
      </c>
      <c r="AS154" s="60">
        <v>0.29583300000000001</v>
      </c>
      <c r="AT154" s="59" t="s">
        <v>179</v>
      </c>
      <c r="AU154" s="60">
        <v>0.96791700000000003</v>
      </c>
      <c r="AV154" s="59" t="s">
        <v>179</v>
      </c>
      <c r="AW154" s="60" t="s">
        <v>179</v>
      </c>
      <c r="AX154" s="59" t="s">
        <v>179</v>
      </c>
      <c r="AY154" s="60" t="s">
        <v>179</v>
      </c>
      <c r="AZ154" s="59" t="s">
        <v>179</v>
      </c>
      <c r="BA154" s="60" t="s">
        <v>179</v>
      </c>
      <c r="BB154" s="59" t="s">
        <v>179</v>
      </c>
      <c r="BC154" s="60" t="s">
        <v>179</v>
      </c>
      <c r="BD154" s="59" t="s">
        <v>179</v>
      </c>
      <c r="BE154" s="60">
        <v>-0.59577599999999997</v>
      </c>
    </row>
    <row r="155" spans="1:57" x14ac:dyDescent="0.35">
      <c r="A155" s="240"/>
      <c r="B155" s="240"/>
      <c r="C155" s="58" t="s">
        <v>331</v>
      </c>
      <c r="D155" s="59">
        <v>2.208062</v>
      </c>
      <c r="E155" s="60">
        <v>0.15568399999999999</v>
      </c>
      <c r="F155" s="59">
        <v>0.36521199999999998</v>
      </c>
      <c r="G155" s="60">
        <v>0.31873899999999999</v>
      </c>
      <c r="H155" s="59" t="s">
        <v>179</v>
      </c>
      <c r="I155" s="60" t="s">
        <v>179</v>
      </c>
      <c r="J155" s="59" t="s">
        <v>179</v>
      </c>
      <c r="K155" s="60">
        <v>1.6103719999999999</v>
      </c>
      <c r="L155" s="59" t="s">
        <v>179</v>
      </c>
      <c r="M155" s="60">
        <v>1.1279349999999999</v>
      </c>
      <c r="N155" s="59">
        <v>0.67814700000000006</v>
      </c>
      <c r="O155" s="60">
        <v>1.002248</v>
      </c>
      <c r="P155" s="59">
        <v>0.15485699999999999</v>
      </c>
      <c r="Q155" s="60" t="s">
        <v>179</v>
      </c>
      <c r="R155" s="59">
        <v>0.56440199999999996</v>
      </c>
      <c r="S155" s="60">
        <v>0.46122400000000002</v>
      </c>
      <c r="T155" s="59" t="s">
        <v>179</v>
      </c>
      <c r="U155" s="60">
        <v>1.320883</v>
      </c>
      <c r="V155" s="59">
        <v>2.02495</v>
      </c>
      <c r="W155" s="60">
        <v>2.408893</v>
      </c>
      <c r="X155" s="59" t="s">
        <v>179</v>
      </c>
      <c r="Y155" s="60" t="s">
        <v>179</v>
      </c>
      <c r="Z155" s="59">
        <v>0.54686500000000005</v>
      </c>
      <c r="AA155" s="60">
        <v>-8.6640999999999996E-2</v>
      </c>
      <c r="AB155" s="59">
        <v>1.9728509999999999</v>
      </c>
      <c r="AC155" s="60" t="s">
        <v>179</v>
      </c>
      <c r="AD155" s="59">
        <v>-1.373801</v>
      </c>
      <c r="AE155" s="60" t="s">
        <v>179</v>
      </c>
      <c r="AF155" s="59">
        <v>0.97392299999999998</v>
      </c>
      <c r="AG155" s="60" t="s">
        <v>179</v>
      </c>
      <c r="AH155" s="59" t="s">
        <v>179</v>
      </c>
      <c r="AI155" s="60">
        <v>-9.3928999999999999E-2</v>
      </c>
      <c r="AJ155" s="59">
        <v>1.056978</v>
      </c>
      <c r="AK155" s="60">
        <v>0.91182300000000005</v>
      </c>
      <c r="AL155" s="59" t="s">
        <v>179</v>
      </c>
      <c r="AM155" s="60">
        <v>2.1178050000000002</v>
      </c>
      <c r="AN155" s="59">
        <v>0.88045499999999999</v>
      </c>
      <c r="AO155" s="60" t="s">
        <v>179</v>
      </c>
      <c r="AP155" s="59" t="s">
        <v>179</v>
      </c>
      <c r="AQ155" s="60">
        <v>1.174455</v>
      </c>
      <c r="AR155" s="59">
        <v>0.73453999999999997</v>
      </c>
      <c r="AS155" s="60">
        <v>1.0370090000000001</v>
      </c>
      <c r="AT155" s="59" t="s">
        <v>179</v>
      </c>
      <c r="AU155" s="60">
        <v>1.0699639999999999</v>
      </c>
      <c r="AV155" s="59" t="s">
        <v>179</v>
      </c>
      <c r="AW155" s="60" t="s">
        <v>179</v>
      </c>
      <c r="AX155" s="59" t="s">
        <v>179</v>
      </c>
      <c r="AY155" s="60" t="s">
        <v>179</v>
      </c>
      <c r="AZ155" s="59" t="s">
        <v>179</v>
      </c>
      <c r="BA155" s="60" t="s">
        <v>179</v>
      </c>
      <c r="BB155" s="59" t="s">
        <v>179</v>
      </c>
      <c r="BC155" s="60" t="s">
        <v>179</v>
      </c>
      <c r="BD155" s="59" t="s">
        <v>179</v>
      </c>
      <c r="BE155" s="60">
        <v>-0.72714199999999996</v>
      </c>
    </row>
    <row r="156" spans="1:57" x14ac:dyDescent="0.35">
      <c r="A156" s="240"/>
      <c r="B156" s="240"/>
      <c r="C156" s="58" t="s">
        <v>332</v>
      </c>
      <c r="D156" s="59">
        <v>1.3583810000000001</v>
      </c>
      <c r="E156" s="60">
        <v>1.484461</v>
      </c>
      <c r="F156" s="59">
        <v>0.67715000000000003</v>
      </c>
      <c r="G156" s="60">
        <v>1.268699</v>
      </c>
      <c r="H156" s="59" t="s">
        <v>179</v>
      </c>
      <c r="I156" s="60" t="s">
        <v>179</v>
      </c>
      <c r="J156" s="59" t="s">
        <v>179</v>
      </c>
      <c r="K156" s="60">
        <v>2.1796519999999999</v>
      </c>
      <c r="L156" s="59" t="s">
        <v>179</v>
      </c>
      <c r="M156" s="60">
        <v>0.499089</v>
      </c>
      <c r="N156" s="59">
        <v>0.67357900000000004</v>
      </c>
      <c r="O156" s="60">
        <v>1.302408</v>
      </c>
      <c r="P156" s="59">
        <v>4.8017450000000004</v>
      </c>
      <c r="Q156" s="60" t="s">
        <v>179</v>
      </c>
      <c r="R156" s="59">
        <v>0.74203600000000003</v>
      </c>
      <c r="S156" s="60">
        <v>-2.5824E-2</v>
      </c>
      <c r="T156" s="59" t="s">
        <v>179</v>
      </c>
      <c r="U156" s="60">
        <v>0.80101599999999995</v>
      </c>
      <c r="V156" s="59">
        <v>1.3085599999999999</v>
      </c>
      <c r="W156" s="60">
        <v>1.1376740000000001</v>
      </c>
      <c r="X156" s="59" t="s">
        <v>179</v>
      </c>
      <c r="Y156" s="60" t="s">
        <v>179</v>
      </c>
      <c r="Z156" s="59">
        <v>1.7397560000000001</v>
      </c>
      <c r="AA156" s="60">
        <v>0.62540499999999999</v>
      </c>
      <c r="AB156" s="59">
        <v>-0.97423899999999997</v>
      </c>
      <c r="AC156" s="60" t="s">
        <v>179</v>
      </c>
      <c r="AD156" s="59">
        <v>2.9072740000000001</v>
      </c>
      <c r="AE156" s="60" t="s">
        <v>179</v>
      </c>
      <c r="AF156" s="59">
        <v>-0.37398799999999999</v>
      </c>
      <c r="AG156" s="60" t="s">
        <v>179</v>
      </c>
      <c r="AH156" s="59" t="s">
        <v>179</v>
      </c>
      <c r="AI156" s="60">
        <v>1.036667</v>
      </c>
      <c r="AJ156" s="59">
        <v>1.1034600000000001</v>
      </c>
      <c r="AK156" s="60">
        <v>0.47520600000000002</v>
      </c>
      <c r="AL156" s="59" t="s">
        <v>179</v>
      </c>
      <c r="AM156" s="60">
        <v>8.7333999999999995E-2</v>
      </c>
      <c r="AN156" s="59">
        <v>1.5271239999999999</v>
      </c>
      <c r="AO156" s="60" t="s">
        <v>179</v>
      </c>
      <c r="AP156" s="59" t="s">
        <v>179</v>
      </c>
      <c r="AQ156" s="60">
        <v>1.218704</v>
      </c>
      <c r="AR156" s="59">
        <v>1.4130480000000001</v>
      </c>
      <c r="AS156" s="60">
        <v>0.86808399999999997</v>
      </c>
      <c r="AT156" s="59" t="s">
        <v>179</v>
      </c>
      <c r="AU156" s="60">
        <v>1.1592659999999999</v>
      </c>
      <c r="AV156" s="59" t="s">
        <v>179</v>
      </c>
      <c r="AW156" s="60" t="s">
        <v>179</v>
      </c>
      <c r="AX156" s="59" t="s">
        <v>179</v>
      </c>
      <c r="AY156" s="60" t="s">
        <v>179</v>
      </c>
      <c r="AZ156" s="59" t="s">
        <v>179</v>
      </c>
      <c r="BA156" s="60" t="s">
        <v>179</v>
      </c>
      <c r="BB156" s="59" t="s">
        <v>179</v>
      </c>
      <c r="BC156" s="60" t="s">
        <v>179</v>
      </c>
      <c r="BD156" s="59" t="s">
        <v>179</v>
      </c>
      <c r="BE156" s="60">
        <v>-0.26397900000000002</v>
      </c>
    </row>
    <row r="157" spans="1:57" x14ac:dyDescent="0.35">
      <c r="A157" s="240"/>
      <c r="B157" s="240"/>
      <c r="C157" s="58" t="s">
        <v>333</v>
      </c>
      <c r="D157" s="59">
        <v>-0.261013</v>
      </c>
      <c r="E157" s="60">
        <v>-0.41635899999999998</v>
      </c>
      <c r="F157" s="59">
        <v>0.51796799999999998</v>
      </c>
      <c r="G157" s="60">
        <v>1.534781</v>
      </c>
      <c r="H157" s="59" t="s">
        <v>179</v>
      </c>
      <c r="I157" s="60" t="s">
        <v>179</v>
      </c>
      <c r="J157" s="59" t="s">
        <v>179</v>
      </c>
      <c r="K157" s="60">
        <v>1.9016219999999999</v>
      </c>
      <c r="L157" s="59" t="s">
        <v>179</v>
      </c>
      <c r="M157" s="60">
        <v>0.16841600000000001</v>
      </c>
      <c r="N157" s="59">
        <v>0.28248299999999998</v>
      </c>
      <c r="O157" s="60">
        <v>0.59997699999999998</v>
      </c>
      <c r="P157" s="59">
        <v>3.883416</v>
      </c>
      <c r="Q157" s="60" t="s">
        <v>179</v>
      </c>
      <c r="R157" s="59">
        <v>1.0616490000000001</v>
      </c>
      <c r="S157" s="60">
        <v>-0.41133599999999998</v>
      </c>
      <c r="T157" s="59" t="s">
        <v>179</v>
      </c>
      <c r="U157" s="60">
        <v>0.66679600000000006</v>
      </c>
      <c r="V157" s="59">
        <v>1.3284260000000001</v>
      </c>
      <c r="W157" s="60">
        <v>3.048657</v>
      </c>
      <c r="X157" s="59" t="s">
        <v>179</v>
      </c>
      <c r="Y157" s="60" t="s">
        <v>179</v>
      </c>
      <c r="Z157" s="59">
        <v>2.8668390000000001</v>
      </c>
      <c r="AA157" s="60">
        <v>-0.27149699999999999</v>
      </c>
      <c r="AB157" s="59">
        <v>2.4464990000000002</v>
      </c>
      <c r="AC157" s="60" t="s">
        <v>179</v>
      </c>
      <c r="AD157" s="59">
        <v>0.96494599999999997</v>
      </c>
      <c r="AE157" s="60" t="s">
        <v>179</v>
      </c>
      <c r="AF157" s="59">
        <v>1.587132</v>
      </c>
      <c r="AG157" s="60" t="s">
        <v>179</v>
      </c>
      <c r="AH157" s="59" t="s">
        <v>179</v>
      </c>
      <c r="AI157" s="60">
        <v>1.148468</v>
      </c>
      <c r="AJ157" s="59">
        <v>-1.004894</v>
      </c>
      <c r="AK157" s="60">
        <v>0.96502900000000003</v>
      </c>
      <c r="AL157" s="59" t="s">
        <v>179</v>
      </c>
      <c r="AM157" s="60">
        <v>0.24166799999999999</v>
      </c>
      <c r="AN157" s="59">
        <v>0.74329199999999995</v>
      </c>
      <c r="AO157" s="60" t="s">
        <v>179</v>
      </c>
      <c r="AP157" s="59" t="s">
        <v>179</v>
      </c>
      <c r="AQ157" s="60">
        <v>0.77875499999999998</v>
      </c>
      <c r="AR157" s="59">
        <v>0.70144600000000001</v>
      </c>
      <c r="AS157" s="60">
        <v>0.72961299999999996</v>
      </c>
      <c r="AT157" s="59" t="s">
        <v>179</v>
      </c>
      <c r="AU157" s="60">
        <v>0.81648900000000002</v>
      </c>
      <c r="AV157" s="59" t="s">
        <v>179</v>
      </c>
      <c r="AW157" s="60" t="s">
        <v>179</v>
      </c>
      <c r="AX157" s="59" t="s">
        <v>179</v>
      </c>
      <c r="AY157" s="60" t="s">
        <v>179</v>
      </c>
      <c r="AZ157" s="59" t="s">
        <v>179</v>
      </c>
      <c r="BA157" s="60" t="s">
        <v>179</v>
      </c>
      <c r="BB157" s="59" t="s">
        <v>179</v>
      </c>
      <c r="BC157" s="60" t="s">
        <v>179</v>
      </c>
      <c r="BD157" s="59" t="s">
        <v>179</v>
      </c>
      <c r="BE157" s="60">
        <v>1.06934</v>
      </c>
    </row>
    <row r="158" spans="1:57" x14ac:dyDescent="0.35">
      <c r="A158" s="240"/>
      <c r="B158" s="240"/>
      <c r="C158" s="58" t="s">
        <v>334</v>
      </c>
      <c r="D158" s="59">
        <v>0.65952</v>
      </c>
      <c r="E158" s="60">
        <v>0.89439599999999997</v>
      </c>
      <c r="F158" s="59">
        <v>0.54788999999999999</v>
      </c>
      <c r="G158" s="60">
        <v>-3.0061999999999998E-2</v>
      </c>
      <c r="H158" s="59" t="s">
        <v>179</v>
      </c>
      <c r="I158" s="60" t="s">
        <v>179</v>
      </c>
      <c r="J158" s="59" t="s">
        <v>179</v>
      </c>
      <c r="K158" s="60">
        <v>0.86508200000000002</v>
      </c>
      <c r="L158" s="59" t="s">
        <v>179</v>
      </c>
      <c r="M158" s="60">
        <v>6.0354999999999999E-2</v>
      </c>
      <c r="N158" s="59">
        <v>0.447218</v>
      </c>
      <c r="O158" s="60">
        <v>-0.57204900000000003</v>
      </c>
      <c r="P158" s="59">
        <v>-6.376633</v>
      </c>
      <c r="Q158" s="60" t="s">
        <v>179</v>
      </c>
      <c r="R158" s="59">
        <v>1.461927</v>
      </c>
      <c r="S158" s="60">
        <v>-0.47688399999999997</v>
      </c>
      <c r="T158" s="59" t="s">
        <v>179</v>
      </c>
      <c r="U158" s="60">
        <v>0.62317999999999996</v>
      </c>
      <c r="V158" s="59">
        <v>0.397646</v>
      </c>
      <c r="W158" s="60">
        <v>1.92543</v>
      </c>
      <c r="X158" s="59" t="s">
        <v>179</v>
      </c>
      <c r="Y158" s="60" t="s">
        <v>179</v>
      </c>
      <c r="Z158" s="59">
        <v>3.202976</v>
      </c>
      <c r="AA158" s="60">
        <v>-1.928239</v>
      </c>
      <c r="AB158" s="59">
        <v>0.17676900000000001</v>
      </c>
      <c r="AC158" s="60" t="s">
        <v>179</v>
      </c>
      <c r="AD158" s="59">
        <v>1.8748579999999999</v>
      </c>
      <c r="AE158" s="60" t="s">
        <v>179</v>
      </c>
      <c r="AF158" s="59">
        <v>1.3210630000000001</v>
      </c>
      <c r="AG158" s="60" t="s">
        <v>179</v>
      </c>
      <c r="AH158" s="59" t="s">
        <v>179</v>
      </c>
      <c r="AI158" s="60">
        <v>0.28204099999999999</v>
      </c>
      <c r="AJ158" s="59">
        <v>2.0234700000000001</v>
      </c>
      <c r="AK158" s="60">
        <v>1.7378999999999999E-2</v>
      </c>
      <c r="AL158" s="59" t="s">
        <v>179</v>
      </c>
      <c r="AM158" s="60">
        <v>1.1340250000000001</v>
      </c>
      <c r="AN158" s="59">
        <v>0.933504</v>
      </c>
      <c r="AO158" s="60" t="s">
        <v>179</v>
      </c>
      <c r="AP158" s="59" t="s">
        <v>179</v>
      </c>
      <c r="AQ158" s="60">
        <v>0.58297600000000005</v>
      </c>
      <c r="AR158" s="59">
        <v>0.56345299999999998</v>
      </c>
      <c r="AS158" s="60">
        <v>0.32188</v>
      </c>
      <c r="AT158" s="59" t="s">
        <v>179</v>
      </c>
      <c r="AU158" s="60">
        <v>0.44503999999999999</v>
      </c>
      <c r="AV158" s="59" t="s">
        <v>179</v>
      </c>
      <c r="AW158" s="60" t="s">
        <v>179</v>
      </c>
      <c r="AX158" s="59" t="s">
        <v>179</v>
      </c>
      <c r="AY158" s="60" t="s">
        <v>179</v>
      </c>
      <c r="AZ158" s="59" t="s">
        <v>179</v>
      </c>
      <c r="BA158" s="60" t="s">
        <v>179</v>
      </c>
      <c r="BB158" s="59" t="s">
        <v>179</v>
      </c>
      <c r="BC158" s="60" t="s">
        <v>179</v>
      </c>
      <c r="BD158" s="59" t="s">
        <v>179</v>
      </c>
      <c r="BE158" s="60">
        <v>-1.1913959999999999</v>
      </c>
    </row>
    <row r="159" spans="1:57" x14ac:dyDescent="0.35">
      <c r="A159" s="240"/>
      <c r="B159" s="240"/>
      <c r="C159" s="58" t="s">
        <v>335</v>
      </c>
      <c r="D159" s="59">
        <v>-0.176041</v>
      </c>
      <c r="E159" s="60">
        <v>1.2099219999999999</v>
      </c>
      <c r="F159" s="59">
        <v>0.20357600000000001</v>
      </c>
      <c r="G159" s="60">
        <v>0.56848399999999999</v>
      </c>
      <c r="H159" s="59" t="s">
        <v>179</v>
      </c>
      <c r="I159" s="60" t="s">
        <v>179</v>
      </c>
      <c r="J159" s="59" t="s">
        <v>179</v>
      </c>
      <c r="K159" s="60">
        <v>-0.29674099999999998</v>
      </c>
      <c r="L159" s="59" t="s">
        <v>179</v>
      </c>
      <c r="M159" s="60">
        <v>0.43515700000000002</v>
      </c>
      <c r="N159" s="59">
        <v>1.087388</v>
      </c>
      <c r="O159" s="60">
        <v>1.150685</v>
      </c>
      <c r="P159" s="59">
        <v>2.6765099999999999</v>
      </c>
      <c r="Q159" s="60" t="s">
        <v>179</v>
      </c>
      <c r="R159" s="59">
        <v>1.905119</v>
      </c>
      <c r="S159" s="60">
        <v>-0.22014500000000001</v>
      </c>
      <c r="T159" s="59" t="s">
        <v>179</v>
      </c>
      <c r="U159" s="60">
        <v>0.64681299999999997</v>
      </c>
      <c r="V159" s="59">
        <v>-0.24568899999999999</v>
      </c>
      <c r="W159" s="60">
        <v>3.897173</v>
      </c>
      <c r="X159" s="59" t="s">
        <v>179</v>
      </c>
      <c r="Y159" s="60" t="s">
        <v>179</v>
      </c>
      <c r="Z159" s="59">
        <v>2.8192520000000001</v>
      </c>
      <c r="AA159" s="60">
        <v>-0.37352000000000002</v>
      </c>
      <c r="AB159" s="59">
        <v>1.732329</v>
      </c>
      <c r="AC159" s="60" t="s">
        <v>179</v>
      </c>
      <c r="AD159" s="59">
        <v>-1.3559619999999999</v>
      </c>
      <c r="AE159" s="60" t="s">
        <v>179</v>
      </c>
      <c r="AF159" s="59">
        <v>1.1283799999999999</v>
      </c>
      <c r="AG159" s="60" t="s">
        <v>179</v>
      </c>
      <c r="AH159" s="59" t="s">
        <v>179</v>
      </c>
      <c r="AI159" s="60">
        <v>2.3815559999999998</v>
      </c>
      <c r="AJ159" s="59">
        <v>0.50052399999999997</v>
      </c>
      <c r="AK159" s="60">
        <v>0.78351700000000002</v>
      </c>
      <c r="AL159" s="59" t="s">
        <v>179</v>
      </c>
      <c r="AM159" s="60">
        <v>0.74211899999999997</v>
      </c>
      <c r="AN159" s="59">
        <v>0.45038400000000001</v>
      </c>
      <c r="AO159" s="60" t="s">
        <v>179</v>
      </c>
      <c r="AP159" s="59" t="s">
        <v>179</v>
      </c>
      <c r="AQ159" s="60">
        <v>0.50472499999999998</v>
      </c>
      <c r="AR159" s="59">
        <v>0.37756200000000001</v>
      </c>
      <c r="AS159" s="60">
        <v>1.0597570000000001</v>
      </c>
      <c r="AT159" s="59" t="s">
        <v>179</v>
      </c>
      <c r="AU159" s="60">
        <v>0.64471800000000001</v>
      </c>
      <c r="AV159" s="59" t="s">
        <v>179</v>
      </c>
      <c r="AW159" s="60" t="s">
        <v>179</v>
      </c>
      <c r="AX159" s="59" t="s">
        <v>179</v>
      </c>
      <c r="AY159" s="60" t="s">
        <v>179</v>
      </c>
      <c r="AZ159" s="59" t="s">
        <v>179</v>
      </c>
      <c r="BA159" s="60" t="s">
        <v>179</v>
      </c>
      <c r="BB159" s="59" t="s">
        <v>179</v>
      </c>
      <c r="BC159" s="60" t="s">
        <v>179</v>
      </c>
      <c r="BD159" s="59" t="s">
        <v>179</v>
      </c>
      <c r="BE159" s="60">
        <v>0.69040999999999997</v>
      </c>
    </row>
    <row r="160" spans="1:57" x14ac:dyDescent="0.35">
      <c r="A160" s="240"/>
      <c r="B160" s="240"/>
      <c r="C160" s="58" t="s">
        <v>336</v>
      </c>
      <c r="D160" s="59">
        <v>0.27971000000000001</v>
      </c>
      <c r="E160" s="60">
        <v>8.1472000000000003E-2</v>
      </c>
      <c r="F160" s="59">
        <v>1.2309369999999999</v>
      </c>
      <c r="G160" s="60">
        <v>0.12621499999999999</v>
      </c>
      <c r="H160" s="59" t="s">
        <v>179</v>
      </c>
      <c r="I160" s="60" t="s">
        <v>179</v>
      </c>
      <c r="J160" s="59" t="s">
        <v>179</v>
      </c>
      <c r="K160" s="60">
        <v>-3.9017999999999997E-2</v>
      </c>
      <c r="L160" s="59" t="s">
        <v>179</v>
      </c>
      <c r="M160" s="60">
        <v>4.3584569999999996</v>
      </c>
      <c r="N160" s="59">
        <v>0.40147500000000003</v>
      </c>
      <c r="O160" s="60">
        <v>0.73823899999999998</v>
      </c>
      <c r="P160" s="59">
        <v>-1.4609559999999999</v>
      </c>
      <c r="Q160" s="60" t="s">
        <v>179</v>
      </c>
      <c r="R160" s="59">
        <v>2.4380860000000002</v>
      </c>
      <c r="S160" s="60">
        <v>0.34955000000000003</v>
      </c>
      <c r="T160" s="59" t="s">
        <v>179</v>
      </c>
      <c r="U160" s="60">
        <v>0.99812299999999998</v>
      </c>
      <c r="V160" s="59">
        <v>0.58578799999999998</v>
      </c>
      <c r="W160" s="60">
        <v>4.3171749999999998</v>
      </c>
      <c r="X160" s="59" t="s">
        <v>179</v>
      </c>
      <c r="Y160" s="60" t="s">
        <v>179</v>
      </c>
      <c r="Z160" s="59">
        <v>1.8852150000000001</v>
      </c>
      <c r="AA160" s="60">
        <v>-1.898209</v>
      </c>
      <c r="AB160" s="59">
        <v>0.25350699999999998</v>
      </c>
      <c r="AC160" s="60" t="s">
        <v>179</v>
      </c>
      <c r="AD160" s="59">
        <v>2.6101160000000001</v>
      </c>
      <c r="AE160" s="60" t="s">
        <v>179</v>
      </c>
      <c r="AF160" s="59">
        <v>0.53523399999999999</v>
      </c>
      <c r="AG160" s="60" t="s">
        <v>179</v>
      </c>
      <c r="AH160" s="59" t="s">
        <v>179</v>
      </c>
      <c r="AI160" s="60">
        <v>-0.70503899999999997</v>
      </c>
      <c r="AJ160" s="59">
        <v>0.48903600000000003</v>
      </c>
      <c r="AK160" s="60">
        <v>0.123472</v>
      </c>
      <c r="AL160" s="59" t="s">
        <v>179</v>
      </c>
      <c r="AM160" s="60">
        <v>0.45514100000000002</v>
      </c>
      <c r="AN160" s="59">
        <v>0.95703199999999999</v>
      </c>
      <c r="AO160" s="60" t="s">
        <v>179</v>
      </c>
      <c r="AP160" s="59" t="s">
        <v>179</v>
      </c>
      <c r="AQ160" s="60">
        <v>0.75712599999999997</v>
      </c>
      <c r="AR160" s="59">
        <v>0.60830499999999998</v>
      </c>
      <c r="AS160" s="60">
        <v>0.63885800000000004</v>
      </c>
      <c r="AT160" s="59" t="s">
        <v>179</v>
      </c>
      <c r="AU160" s="60">
        <v>0.68305099999999996</v>
      </c>
      <c r="AV160" s="59" t="s">
        <v>179</v>
      </c>
      <c r="AW160" s="60" t="s">
        <v>179</v>
      </c>
      <c r="AX160" s="59" t="s">
        <v>179</v>
      </c>
      <c r="AY160" s="60" t="s">
        <v>179</v>
      </c>
      <c r="AZ160" s="59" t="s">
        <v>179</v>
      </c>
      <c r="BA160" s="60" t="s">
        <v>179</v>
      </c>
      <c r="BB160" s="59" t="s">
        <v>179</v>
      </c>
      <c r="BC160" s="60" t="s">
        <v>179</v>
      </c>
      <c r="BD160" s="59" t="s">
        <v>179</v>
      </c>
      <c r="BE160" s="60">
        <v>0.22503500000000001</v>
      </c>
    </row>
    <row r="161" spans="1:57" x14ac:dyDescent="0.35">
      <c r="A161" s="240"/>
      <c r="B161" s="240"/>
      <c r="C161" s="58" t="s">
        <v>337</v>
      </c>
      <c r="D161" s="59">
        <v>1.659019</v>
      </c>
      <c r="E161" s="60">
        <v>7.4006000000000002E-2</v>
      </c>
      <c r="F161" s="59">
        <v>-1.156201</v>
      </c>
      <c r="G161" s="60">
        <v>-0.72210200000000002</v>
      </c>
      <c r="H161" s="59" t="s">
        <v>179</v>
      </c>
      <c r="I161" s="60" t="s">
        <v>179</v>
      </c>
      <c r="J161" s="59" t="s">
        <v>179</v>
      </c>
      <c r="K161" s="60">
        <v>0.36763299999999999</v>
      </c>
      <c r="L161" s="59" t="s">
        <v>179</v>
      </c>
      <c r="M161" s="60">
        <v>-1.87446</v>
      </c>
      <c r="N161" s="59">
        <v>0.236258</v>
      </c>
      <c r="O161" s="60">
        <v>0.99710799999999999</v>
      </c>
      <c r="P161" s="59">
        <v>2.7186859999999999</v>
      </c>
      <c r="Q161" s="60" t="s">
        <v>179</v>
      </c>
      <c r="R161" s="59">
        <v>2.7473230000000002</v>
      </c>
      <c r="S161" s="60">
        <v>0.98701099999999997</v>
      </c>
      <c r="T161" s="59" t="s">
        <v>179</v>
      </c>
      <c r="U161" s="60">
        <v>0.41059000000000001</v>
      </c>
      <c r="V161" s="59">
        <v>0.78872100000000001</v>
      </c>
      <c r="W161" s="60">
        <v>1.5598259999999999</v>
      </c>
      <c r="X161" s="59" t="s">
        <v>179</v>
      </c>
      <c r="Y161" s="60" t="s">
        <v>179</v>
      </c>
      <c r="Z161" s="59">
        <v>0.89767699999999995</v>
      </c>
      <c r="AA161" s="60">
        <v>-0.27302300000000002</v>
      </c>
      <c r="AB161" s="59">
        <v>-1.2743089999999999</v>
      </c>
      <c r="AC161" s="60" t="s">
        <v>179</v>
      </c>
      <c r="AD161" s="59">
        <v>0.54739800000000005</v>
      </c>
      <c r="AE161" s="60" t="s">
        <v>179</v>
      </c>
      <c r="AF161" s="59">
        <v>1.600706</v>
      </c>
      <c r="AG161" s="60" t="s">
        <v>179</v>
      </c>
      <c r="AH161" s="59" t="s">
        <v>179</v>
      </c>
      <c r="AI161" s="60">
        <v>0.63880300000000001</v>
      </c>
      <c r="AJ161" s="59">
        <v>0.30368200000000001</v>
      </c>
      <c r="AK161" s="60">
        <v>-2.1128999999999998E-2</v>
      </c>
      <c r="AL161" s="59" t="s">
        <v>179</v>
      </c>
      <c r="AM161" s="60">
        <v>1.786449</v>
      </c>
      <c r="AN161" s="59">
        <v>0.537076</v>
      </c>
      <c r="AO161" s="60" t="s">
        <v>179</v>
      </c>
      <c r="AP161" s="59" t="s">
        <v>179</v>
      </c>
      <c r="AQ161" s="60">
        <v>0.64085800000000004</v>
      </c>
      <c r="AR161" s="59">
        <v>0.35927300000000001</v>
      </c>
      <c r="AS161" s="60">
        <v>0.78376400000000002</v>
      </c>
      <c r="AT161" s="59" t="s">
        <v>179</v>
      </c>
      <c r="AU161" s="60">
        <v>0.60598099999999999</v>
      </c>
      <c r="AV161" s="59" t="s">
        <v>179</v>
      </c>
      <c r="AW161" s="60" t="s">
        <v>179</v>
      </c>
      <c r="AX161" s="59" t="s">
        <v>179</v>
      </c>
      <c r="AY161" s="60" t="s">
        <v>179</v>
      </c>
      <c r="AZ161" s="59" t="s">
        <v>179</v>
      </c>
      <c r="BA161" s="60" t="s">
        <v>179</v>
      </c>
      <c r="BB161" s="59" t="s">
        <v>179</v>
      </c>
      <c r="BC161" s="60" t="s">
        <v>179</v>
      </c>
      <c r="BD161" s="59" t="s">
        <v>179</v>
      </c>
      <c r="BE161" s="60">
        <v>0.41988300000000001</v>
      </c>
    </row>
    <row r="162" spans="1:57" x14ac:dyDescent="0.35">
      <c r="A162" s="240"/>
      <c r="B162" s="240"/>
      <c r="C162" s="58" t="s">
        <v>338</v>
      </c>
      <c r="D162" s="59">
        <v>0.95774400000000004</v>
      </c>
      <c r="E162" s="60">
        <v>-0.852827</v>
      </c>
      <c r="F162" s="59">
        <v>0.70635800000000004</v>
      </c>
      <c r="G162" s="60">
        <v>2.3071929999999998</v>
      </c>
      <c r="H162" s="59" t="s">
        <v>179</v>
      </c>
      <c r="I162" s="60" t="s">
        <v>179</v>
      </c>
      <c r="J162" s="59" t="s">
        <v>179</v>
      </c>
      <c r="K162" s="60">
        <v>-1.5691740000000001</v>
      </c>
      <c r="L162" s="59" t="s">
        <v>179</v>
      </c>
      <c r="M162" s="60">
        <v>0.766621</v>
      </c>
      <c r="N162" s="59">
        <v>0.25893100000000002</v>
      </c>
      <c r="O162" s="60">
        <v>-2.5098050000000001</v>
      </c>
      <c r="P162" s="59">
        <v>-4.28634</v>
      </c>
      <c r="Q162" s="60" t="s">
        <v>179</v>
      </c>
      <c r="R162" s="59">
        <v>2.547971</v>
      </c>
      <c r="S162" s="60">
        <v>1.4047259999999999</v>
      </c>
      <c r="T162" s="59" t="s">
        <v>179</v>
      </c>
      <c r="U162" s="60">
        <v>0.40962500000000002</v>
      </c>
      <c r="V162" s="59">
        <v>-7.1725999999999998E-2</v>
      </c>
      <c r="W162" s="60">
        <v>3.211522</v>
      </c>
      <c r="X162" s="59" t="s">
        <v>179</v>
      </c>
      <c r="Y162" s="60" t="s">
        <v>179</v>
      </c>
      <c r="Z162" s="59">
        <v>0.39014900000000002</v>
      </c>
      <c r="AA162" s="60">
        <v>0.59747600000000001</v>
      </c>
      <c r="AB162" s="59">
        <v>0.23927899999999999</v>
      </c>
      <c r="AC162" s="60" t="s">
        <v>179</v>
      </c>
      <c r="AD162" s="59">
        <v>-0.41854799999999998</v>
      </c>
      <c r="AE162" s="60" t="s">
        <v>179</v>
      </c>
      <c r="AF162" s="59">
        <v>1.8053969999999999</v>
      </c>
      <c r="AG162" s="60" t="s">
        <v>179</v>
      </c>
      <c r="AH162" s="59" t="s">
        <v>179</v>
      </c>
      <c r="AI162" s="60">
        <v>2.048184</v>
      </c>
      <c r="AJ162" s="59">
        <v>0.456262</v>
      </c>
      <c r="AK162" s="60">
        <v>2.5909999999999999E-2</v>
      </c>
      <c r="AL162" s="59" t="s">
        <v>179</v>
      </c>
      <c r="AM162" s="60">
        <v>0.92952999999999997</v>
      </c>
      <c r="AN162" s="59">
        <v>0.74517100000000003</v>
      </c>
      <c r="AO162" s="60" t="s">
        <v>179</v>
      </c>
      <c r="AP162" s="59" t="s">
        <v>179</v>
      </c>
      <c r="AQ162" s="60">
        <v>0.25326599999999999</v>
      </c>
      <c r="AR162" s="59">
        <v>0.85475599999999996</v>
      </c>
      <c r="AS162" s="60">
        <v>-0.22021399999999999</v>
      </c>
      <c r="AT162" s="59" t="s">
        <v>179</v>
      </c>
      <c r="AU162" s="60">
        <v>0.32740599999999997</v>
      </c>
      <c r="AV162" s="59" t="s">
        <v>179</v>
      </c>
      <c r="AW162" s="60" t="s">
        <v>179</v>
      </c>
      <c r="AX162" s="59" t="s">
        <v>179</v>
      </c>
      <c r="AY162" s="60" t="s">
        <v>179</v>
      </c>
      <c r="AZ162" s="59" t="s">
        <v>179</v>
      </c>
      <c r="BA162" s="60" t="s">
        <v>179</v>
      </c>
      <c r="BB162" s="59" t="s">
        <v>179</v>
      </c>
      <c r="BC162" s="60" t="s">
        <v>179</v>
      </c>
      <c r="BD162" s="59" t="s">
        <v>179</v>
      </c>
      <c r="BE162" s="60">
        <v>0.72728300000000001</v>
      </c>
    </row>
    <row r="163" spans="1:57" x14ac:dyDescent="0.35">
      <c r="A163" s="240"/>
      <c r="B163" s="240"/>
      <c r="C163" s="58" t="s">
        <v>339</v>
      </c>
      <c r="D163" s="59">
        <v>1.5676680000000001</v>
      </c>
      <c r="E163" s="60">
        <v>1.7648550000000001</v>
      </c>
      <c r="F163" s="59">
        <v>1.111189</v>
      </c>
      <c r="G163" s="60">
        <v>1.291593</v>
      </c>
      <c r="H163" s="59" t="s">
        <v>179</v>
      </c>
      <c r="I163" s="60" t="s">
        <v>179</v>
      </c>
      <c r="J163" s="59" t="s">
        <v>179</v>
      </c>
      <c r="K163" s="60">
        <v>3.0248370000000002</v>
      </c>
      <c r="L163" s="59" t="s">
        <v>179</v>
      </c>
      <c r="M163" s="60">
        <v>1.741914</v>
      </c>
      <c r="N163" s="59">
        <v>1.11615</v>
      </c>
      <c r="O163" s="60">
        <v>2.2449940000000002</v>
      </c>
      <c r="P163" s="59">
        <v>-1.8943369999999999</v>
      </c>
      <c r="Q163" s="60" t="s">
        <v>179</v>
      </c>
      <c r="R163" s="59">
        <v>1.9649989999999999</v>
      </c>
      <c r="S163" s="60">
        <v>1.567871</v>
      </c>
      <c r="T163" s="59" t="s">
        <v>179</v>
      </c>
      <c r="U163" s="60">
        <v>1.5143819999999999</v>
      </c>
      <c r="V163" s="59">
        <v>2.0955949999999999</v>
      </c>
      <c r="W163" s="60">
        <v>4.9532119999999997</v>
      </c>
      <c r="X163" s="59" t="s">
        <v>179</v>
      </c>
      <c r="Y163" s="60" t="s">
        <v>179</v>
      </c>
      <c r="Z163" s="59">
        <v>0.42852099999999999</v>
      </c>
      <c r="AA163" s="60">
        <v>2.7362310000000001</v>
      </c>
      <c r="AB163" s="59">
        <v>1.6423760000000001</v>
      </c>
      <c r="AC163" s="60" t="s">
        <v>179</v>
      </c>
      <c r="AD163" s="59">
        <v>2.1972209999999999</v>
      </c>
      <c r="AE163" s="60" t="s">
        <v>179</v>
      </c>
      <c r="AF163" s="59">
        <v>1.600811</v>
      </c>
      <c r="AG163" s="60" t="s">
        <v>179</v>
      </c>
      <c r="AH163" s="59" t="s">
        <v>179</v>
      </c>
      <c r="AI163" s="60">
        <v>1.4960580000000001</v>
      </c>
      <c r="AJ163" s="59">
        <v>2.2120310000000001</v>
      </c>
      <c r="AK163" s="60">
        <v>0.80300499999999997</v>
      </c>
      <c r="AL163" s="59" t="s">
        <v>179</v>
      </c>
      <c r="AM163" s="60">
        <v>1.4669129999999999</v>
      </c>
      <c r="AN163" s="59">
        <v>1.0788979999999999</v>
      </c>
      <c r="AO163" s="60" t="s">
        <v>179</v>
      </c>
      <c r="AP163" s="59" t="s">
        <v>179</v>
      </c>
      <c r="AQ163" s="60">
        <v>1.4542189999999999</v>
      </c>
      <c r="AR163" s="59">
        <v>1.253333</v>
      </c>
      <c r="AS163" s="60">
        <v>1.732947</v>
      </c>
      <c r="AT163" s="59" t="s">
        <v>179</v>
      </c>
      <c r="AU163" s="60">
        <v>1.6324829999999999</v>
      </c>
      <c r="AV163" s="59" t="s">
        <v>179</v>
      </c>
      <c r="AW163" s="60" t="s">
        <v>179</v>
      </c>
      <c r="AX163" s="59" t="s">
        <v>179</v>
      </c>
      <c r="AY163" s="60" t="s">
        <v>179</v>
      </c>
      <c r="AZ163" s="59" t="s">
        <v>179</v>
      </c>
      <c r="BA163" s="60" t="s">
        <v>179</v>
      </c>
      <c r="BB163" s="59" t="s">
        <v>179</v>
      </c>
      <c r="BC163" s="60" t="s">
        <v>179</v>
      </c>
      <c r="BD163" s="59" t="s">
        <v>179</v>
      </c>
      <c r="BE163" s="60">
        <v>0.356603</v>
      </c>
    </row>
    <row r="164" spans="1:57" x14ac:dyDescent="0.35">
      <c r="A164" s="240"/>
      <c r="B164" s="240"/>
      <c r="C164" s="58" t="s">
        <v>340</v>
      </c>
      <c r="D164" s="59">
        <v>1.818314</v>
      </c>
      <c r="E164" s="60">
        <v>1.21496</v>
      </c>
      <c r="F164" s="59">
        <v>1.397513</v>
      </c>
      <c r="G164" s="60">
        <v>1.522052</v>
      </c>
      <c r="H164" s="59" t="s">
        <v>179</v>
      </c>
      <c r="I164" s="60" t="s">
        <v>179</v>
      </c>
      <c r="J164" s="59" t="s">
        <v>179</v>
      </c>
      <c r="K164" s="60">
        <v>-1.3814960000000001</v>
      </c>
      <c r="L164" s="59" t="s">
        <v>179</v>
      </c>
      <c r="M164" s="60">
        <v>0.388183</v>
      </c>
      <c r="N164" s="59">
        <v>0.81053399999999998</v>
      </c>
      <c r="O164" s="60">
        <v>0.69212099999999999</v>
      </c>
      <c r="P164" s="59">
        <v>0.29879099999999997</v>
      </c>
      <c r="Q164" s="60" t="s">
        <v>179</v>
      </c>
      <c r="R164" s="59">
        <v>1.0394699999999999</v>
      </c>
      <c r="S164" s="60">
        <v>1.5566450000000001</v>
      </c>
      <c r="T164" s="59" t="s">
        <v>179</v>
      </c>
      <c r="U164" s="60">
        <v>0.28864200000000001</v>
      </c>
      <c r="V164" s="59">
        <v>2.0002779999999998</v>
      </c>
      <c r="W164" s="60">
        <v>0.97569799999999995</v>
      </c>
      <c r="X164" s="59" t="s">
        <v>179</v>
      </c>
      <c r="Y164" s="60" t="s">
        <v>179</v>
      </c>
      <c r="Z164" s="59">
        <v>0.94673099999999999</v>
      </c>
      <c r="AA164" s="60">
        <v>0.107061</v>
      </c>
      <c r="AB164" s="59">
        <v>1.146137</v>
      </c>
      <c r="AC164" s="60">
        <v>0.54875399999999996</v>
      </c>
      <c r="AD164" s="59">
        <v>-2.6074869999999999</v>
      </c>
      <c r="AE164" s="60" t="s">
        <v>179</v>
      </c>
      <c r="AF164" s="59">
        <v>1.547363</v>
      </c>
      <c r="AG164" s="60" t="s">
        <v>179</v>
      </c>
      <c r="AH164" s="59" t="s">
        <v>179</v>
      </c>
      <c r="AI164" s="60">
        <v>2.0652029999999999</v>
      </c>
      <c r="AJ164" s="59">
        <v>1.136552</v>
      </c>
      <c r="AK164" s="60">
        <v>0.94547400000000004</v>
      </c>
      <c r="AL164" s="59" t="s">
        <v>179</v>
      </c>
      <c r="AM164" s="60">
        <v>2.4296890000000002</v>
      </c>
      <c r="AN164" s="59">
        <v>0.86761200000000005</v>
      </c>
      <c r="AO164" s="60" t="s">
        <v>179</v>
      </c>
      <c r="AP164" s="59" t="s">
        <v>179</v>
      </c>
      <c r="AQ164" s="60">
        <v>1.136776</v>
      </c>
      <c r="AR164" s="59">
        <v>0.84625499999999998</v>
      </c>
      <c r="AS164" s="60">
        <v>1.0671029999999999</v>
      </c>
      <c r="AT164" s="59" t="s">
        <v>179</v>
      </c>
      <c r="AU164" s="60">
        <v>1.106668</v>
      </c>
      <c r="AV164" s="59" t="s">
        <v>179</v>
      </c>
      <c r="AW164" s="60" t="s">
        <v>179</v>
      </c>
      <c r="AX164" s="59" t="s">
        <v>179</v>
      </c>
      <c r="AY164" s="60" t="s">
        <v>179</v>
      </c>
      <c r="AZ164" s="59" t="s">
        <v>179</v>
      </c>
      <c r="BA164" s="60" t="s">
        <v>179</v>
      </c>
      <c r="BB164" s="59" t="s">
        <v>179</v>
      </c>
      <c r="BC164" s="60" t="s">
        <v>179</v>
      </c>
      <c r="BD164" s="59" t="s">
        <v>179</v>
      </c>
      <c r="BE164" s="60">
        <v>0.36492799999999997</v>
      </c>
    </row>
    <row r="165" spans="1:57" x14ac:dyDescent="0.35">
      <c r="A165" s="240"/>
      <c r="B165" s="240"/>
      <c r="C165" s="58" t="s">
        <v>341</v>
      </c>
      <c r="D165" s="59">
        <v>2.0168210000000002</v>
      </c>
      <c r="E165" s="60">
        <v>0.81018500000000004</v>
      </c>
      <c r="F165" s="59">
        <v>1.2906329999999999</v>
      </c>
      <c r="G165" s="60">
        <v>1.291892</v>
      </c>
      <c r="H165" s="59" t="s">
        <v>179</v>
      </c>
      <c r="I165" s="60" t="s">
        <v>179</v>
      </c>
      <c r="J165" s="59" t="s">
        <v>179</v>
      </c>
      <c r="K165" s="60">
        <v>0.59597199999999995</v>
      </c>
      <c r="L165" s="59" t="s">
        <v>179</v>
      </c>
      <c r="M165" s="60">
        <v>1.9700420000000001</v>
      </c>
      <c r="N165" s="59">
        <v>1.600155</v>
      </c>
      <c r="O165" s="60">
        <v>1.5999000000000001</v>
      </c>
      <c r="P165" s="59">
        <v>5.8822520000000003</v>
      </c>
      <c r="Q165" s="60" t="s">
        <v>179</v>
      </c>
      <c r="R165" s="59">
        <v>0.103176</v>
      </c>
      <c r="S165" s="60">
        <v>1.4285909999999999</v>
      </c>
      <c r="T165" s="59" t="s">
        <v>179</v>
      </c>
      <c r="U165" s="60">
        <v>1.075995</v>
      </c>
      <c r="V165" s="59">
        <v>2.5747990000000001</v>
      </c>
      <c r="W165" s="60">
        <v>2.0353289999999999</v>
      </c>
      <c r="X165" s="59" t="s">
        <v>179</v>
      </c>
      <c r="Y165" s="60" t="s">
        <v>179</v>
      </c>
      <c r="Z165" s="59">
        <v>1.6545399999999999</v>
      </c>
      <c r="AA165" s="60">
        <v>1.2083269999999999</v>
      </c>
      <c r="AB165" s="59">
        <v>0.81429799999999997</v>
      </c>
      <c r="AC165" s="60">
        <v>0.46713399999999999</v>
      </c>
      <c r="AD165" s="59">
        <v>1.8135079999999999</v>
      </c>
      <c r="AE165" s="60" t="s">
        <v>179</v>
      </c>
      <c r="AF165" s="59">
        <v>1.1974910000000001</v>
      </c>
      <c r="AG165" s="60" t="s">
        <v>179</v>
      </c>
      <c r="AH165" s="59" t="s">
        <v>179</v>
      </c>
      <c r="AI165" s="60">
        <v>2.0457360000000002</v>
      </c>
      <c r="AJ165" s="59">
        <v>0.31108000000000002</v>
      </c>
      <c r="AK165" s="60">
        <v>0.91811399999999999</v>
      </c>
      <c r="AL165" s="59" t="s">
        <v>179</v>
      </c>
      <c r="AM165" s="60">
        <v>1.1324339999999999</v>
      </c>
      <c r="AN165" s="59">
        <v>1.7170529999999999</v>
      </c>
      <c r="AO165" s="60" t="s">
        <v>179</v>
      </c>
      <c r="AP165" s="59" t="s">
        <v>179</v>
      </c>
      <c r="AQ165" s="60">
        <v>1.7239439999999999</v>
      </c>
      <c r="AR165" s="59">
        <v>1.634339</v>
      </c>
      <c r="AS165" s="60">
        <v>1.765625</v>
      </c>
      <c r="AT165" s="59" t="s">
        <v>179</v>
      </c>
      <c r="AU165" s="60">
        <v>1.8155129999999999</v>
      </c>
      <c r="AV165" s="59" t="s">
        <v>179</v>
      </c>
      <c r="AW165" s="60" t="s">
        <v>179</v>
      </c>
      <c r="AX165" s="59" t="s">
        <v>179</v>
      </c>
      <c r="AY165" s="60" t="s">
        <v>179</v>
      </c>
      <c r="AZ165" s="59" t="s">
        <v>179</v>
      </c>
      <c r="BA165" s="60" t="s">
        <v>179</v>
      </c>
      <c r="BB165" s="59" t="s">
        <v>179</v>
      </c>
      <c r="BC165" s="60" t="s">
        <v>179</v>
      </c>
      <c r="BD165" s="59" t="s">
        <v>179</v>
      </c>
      <c r="BE165" s="60">
        <v>1.2276320000000001</v>
      </c>
    </row>
    <row r="166" spans="1:57" x14ac:dyDescent="0.35">
      <c r="A166" s="240"/>
      <c r="B166" s="240"/>
      <c r="C166" s="58" t="s">
        <v>342</v>
      </c>
      <c r="D166" s="59">
        <v>0.43346600000000002</v>
      </c>
      <c r="E166" s="60">
        <v>-1.0109779999999999</v>
      </c>
      <c r="F166" s="59">
        <v>0.99036000000000002</v>
      </c>
      <c r="G166" s="60">
        <v>1.4579329999999999</v>
      </c>
      <c r="H166" s="59" t="s">
        <v>179</v>
      </c>
      <c r="I166" s="60" t="s">
        <v>179</v>
      </c>
      <c r="J166" s="59" t="s">
        <v>179</v>
      </c>
      <c r="K166" s="60">
        <v>0.98007299999999997</v>
      </c>
      <c r="L166" s="59" t="s">
        <v>179</v>
      </c>
      <c r="M166" s="60">
        <v>1.2733509999999999</v>
      </c>
      <c r="N166" s="59">
        <v>1.2647349999999999</v>
      </c>
      <c r="O166" s="60">
        <v>-0.90697300000000003</v>
      </c>
      <c r="P166" s="59">
        <v>2.302851</v>
      </c>
      <c r="Q166" s="60" t="s">
        <v>179</v>
      </c>
      <c r="R166" s="59">
        <v>-0.47297600000000001</v>
      </c>
      <c r="S166" s="60">
        <v>1.2707409999999999</v>
      </c>
      <c r="T166" s="59" t="s">
        <v>179</v>
      </c>
      <c r="U166" s="60">
        <v>1.4717100000000001</v>
      </c>
      <c r="V166" s="59">
        <v>2.387213</v>
      </c>
      <c r="W166" s="60">
        <v>7.7032389999999999</v>
      </c>
      <c r="X166" s="59" t="s">
        <v>179</v>
      </c>
      <c r="Y166" s="60" t="s">
        <v>179</v>
      </c>
      <c r="Z166" s="59">
        <v>2.222718</v>
      </c>
      <c r="AA166" s="60">
        <v>-0.67550600000000005</v>
      </c>
      <c r="AB166" s="59">
        <v>0.131302</v>
      </c>
      <c r="AC166" s="60">
        <v>-0.38001499999999999</v>
      </c>
      <c r="AD166" s="59">
        <v>-0.37349399999999999</v>
      </c>
      <c r="AE166" s="60" t="s">
        <v>179</v>
      </c>
      <c r="AF166" s="59">
        <v>4.5566319999999996</v>
      </c>
      <c r="AG166" s="60" t="s">
        <v>179</v>
      </c>
      <c r="AH166" s="59" t="s">
        <v>179</v>
      </c>
      <c r="AI166" s="60">
        <v>0.32154300000000002</v>
      </c>
      <c r="AJ166" s="59">
        <v>0.478468</v>
      </c>
      <c r="AK166" s="60">
        <v>0.42850500000000002</v>
      </c>
      <c r="AL166" s="59" t="s">
        <v>179</v>
      </c>
      <c r="AM166" s="60">
        <v>1.7821689999999999</v>
      </c>
      <c r="AN166" s="59">
        <v>0.51662600000000003</v>
      </c>
      <c r="AO166" s="60" t="s">
        <v>179</v>
      </c>
      <c r="AP166" s="59" t="s">
        <v>179</v>
      </c>
      <c r="AQ166" s="60">
        <v>0.94567699999999999</v>
      </c>
      <c r="AR166" s="59">
        <v>0.47722999999999999</v>
      </c>
      <c r="AS166" s="60">
        <v>0.421317</v>
      </c>
      <c r="AT166" s="59" t="s">
        <v>179</v>
      </c>
      <c r="AU166" s="60">
        <v>0.833368</v>
      </c>
      <c r="AV166" s="59" t="s">
        <v>179</v>
      </c>
      <c r="AW166" s="60" t="s">
        <v>179</v>
      </c>
      <c r="AX166" s="59" t="s">
        <v>179</v>
      </c>
      <c r="AY166" s="60" t="s">
        <v>179</v>
      </c>
      <c r="AZ166" s="59" t="s">
        <v>179</v>
      </c>
      <c r="BA166" s="60" t="s">
        <v>179</v>
      </c>
      <c r="BB166" s="59" t="s">
        <v>179</v>
      </c>
      <c r="BC166" s="60" t="s">
        <v>179</v>
      </c>
      <c r="BD166" s="59" t="s">
        <v>179</v>
      </c>
      <c r="BE166" s="60">
        <v>1.5029429999999999</v>
      </c>
    </row>
    <row r="167" spans="1:57" x14ac:dyDescent="0.35">
      <c r="A167" s="240"/>
      <c r="B167" s="240"/>
      <c r="C167" s="58" t="s">
        <v>343</v>
      </c>
      <c r="D167" s="59">
        <v>7.1219000000000005E-2</v>
      </c>
      <c r="E167" s="60">
        <v>1.835161</v>
      </c>
      <c r="F167" s="59">
        <v>0.93208000000000002</v>
      </c>
      <c r="G167" s="60">
        <v>0.88565799999999995</v>
      </c>
      <c r="H167" s="59" t="s">
        <v>179</v>
      </c>
      <c r="I167" s="60" t="s">
        <v>179</v>
      </c>
      <c r="J167" s="59" t="s">
        <v>179</v>
      </c>
      <c r="K167" s="60">
        <v>5.5030999999999997E-2</v>
      </c>
      <c r="L167" s="59" t="s">
        <v>179</v>
      </c>
      <c r="M167" s="60">
        <v>0.804068</v>
      </c>
      <c r="N167" s="59">
        <v>0.66776999999999997</v>
      </c>
      <c r="O167" s="60">
        <v>1.812832</v>
      </c>
      <c r="P167" s="59">
        <v>-3.7119469999999999</v>
      </c>
      <c r="Q167" s="60" t="s">
        <v>179</v>
      </c>
      <c r="R167" s="59">
        <v>-0.62217599999999995</v>
      </c>
      <c r="S167" s="60">
        <v>1.1365700000000001</v>
      </c>
      <c r="T167" s="59" t="s">
        <v>179</v>
      </c>
      <c r="U167" s="60">
        <v>0.63527</v>
      </c>
      <c r="V167" s="59">
        <v>-0.14599699999999999</v>
      </c>
      <c r="W167" s="60">
        <v>-2.1607370000000001</v>
      </c>
      <c r="X167" s="59" t="s">
        <v>179</v>
      </c>
      <c r="Y167" s="60" t="s">
        <v>179</v>
      </c>
      <c r="Z167" s="59">
        <v>2.6128149999999999</v>
      </c>
      <c r="AA167" s="60">
        <v>-0.320853</v>
      </c>
      <c r="AB167" s="59">
        <v>0.76187199999999999</v>
      </c>
      <c r="AC167" s="60">
        <v>-0.47604000000000002</v>
      </c>
      <c r="AD167" s="59">
        <v>-1.53304</v>
      </c>
      <c r="AE167" s="60" t="s">
        <v>179</v>
      </c>
      <c r="AF167" s="59">
        <v>0.45499400000000001</v>
      </c>
      <c r="AG167" s="60" t="s">
        <v>179</v>
      </c>
      <c r="AH167" s="59" t="s">
        <v>179</v>
      </c>
      <c r="AI167" s="60">
        <v>1.223182</v>
      </c>
      <c r="AJ167" s="59">
        <v>0.193407</v>
      </c>
      <c r="AK167" s="60">
        <v>0.765038</v>
      </c>
      <c r="AL167" s="59" t="s">
        <v>179</v>
      </c>
      <c r="AM167" s="60">
        <v>0.58947899999999998</v>
      </c>
      <c r="AN167" s="59">
        <v>1.3138669999999999</v>
      </c>
      <c r="AO167" s="60" t="s">
        <v>179</v>
      </c>
      <c r="AP167" s="59" t="s">
        <v>179</v>
      </c>
      <c r="AQ167" s="60">
        <v>0.93964700000000001</v>
      </c>
      <c r="AR167" s="59">
        <v>1.1245590000000001</v>
      </c>
      <c r="AS167" s="60">
        <v>0.74103399999999997</v>
      </c>
      <c r="AT167" s="59" t="s">
        <v>179</v>
      </c>
      <c r="AU167" s="60">
        <v>0.71433800000000003</v>
      </c>
      <c r="AV167" s="59" t="s">
        <v>179</v>
      </c>
      <c r="AW167" s="60" t="s">
        <v>179</v>
      </c>
      <c r="AX167" s="59" t="s">
        <v>179</v>
      </c>
      <c r="AY167" s="60" t="s">
        <v>179</v>
      </c>
      <c r="AZ167" s="59" t="s">
        <v>179</v>
      </c>
      <c r="BA167" s="60" t="s">
        <v>179</v>
      </c>
      <c r="BB167" s="59" t="s">
        <v>179</v>
      </c>
      <c r="BC167" s="60" t="s">
        <v>179</v>
      </c>
      <c r="BD167" s="59" t="s">
        <v>179</v>
      </c>
      <c r="BE167" s="60">
        <v>0.71005499999999999</v>
      </c>
    </row>
    <row r="168" spans="1:57" x14ac:dyDescent="0.35">
      <c r="A168" s="240"/>
      <c r="B168" s="240"/>
      <c r="C168" s="58" t="s">
        <v>344</v>
      </c>
      <c r="D168" s="59">
        <v>0.82565500000000003</v>
      </c>
      <c r="E168" s="60">
        <v>1.6612640000000001</v>
      </c>
      <c r="F168" s="59">
        <v>1.2289060000000001</v>
      </c>
      <c r="G168" s="60">
        <v>9.0989999999999994E-3</v>
      </c>
      <c r="H168" s="59" t="s">
        <v>179</v>
      </c>
      <c r="I168" s="60" t="s">
        <v>179</v>
      </c>
      <c r="J168" s="59" t="s">
        <v>179</v>
      </c>
      <c r="K168" s="60">
        <v>-1.901254</v>
      </c>
      <c r="L168" s="59" t="s">
        <v>179</v>
      </c>
      <c r="M168" s="60">
        <v>1.2316720000000001</v>
      </c>
      <c r="N168" s="59">
        <v>1.3220000000000001</v>
      </c>
      <c r="O168" s="60">
        <v>1.133076</v>
      </c>
      <c r="P168" s="59">
        <v>0.73963999999999996</v>
      </c>
      <c r="Q168" s="60" t="s">
        <v>179</v>
      </c>
      <c r="R168" s="59">
        <v>-0.413715</v>
      </c>
      <c r="S168" s="60">
        <v>1.018049</v>
      </c>
      <c r="T168" s="59" t="s">
        <v>179</v>
      </c>
      <c r="U168" s="60">
        <v>1.313966</v>
      </c>
      <c r="V168" s="59">
        <v>2.230947</v>
      </c>
      <c r="W168" s="60">
        <v>3.1456550000000001</v>
      </c>
      <c r="X168" s="59" t="s">
        <v>179</v>
      </c>
      <c r="Y168" s="60" t="s">
        <v>179</v>
      </c>
      <c r="Z168" s="59">
        <v>2.8806560000000001</v>
      </c>
      <c r="AA168" s="60">
        <v>0.123422</v>
      </c>
      <c r="AB168" s="59">
        <v>0.85158900000000004</v>
      </c>
      <c r="AC168" s="60">
        <v>0.22352900000000001</v>
      </c>
      <c r="AD168" s="59">
        <v>0.84511700000000001</v>
      </c>
      <c r="AE168" s="60" t="s">
        <v>179</v>
      </c>
      <c r="AF168" s="59">
        <v>0.76261299999999999</v>
      </c>
      <c r="AG168" s="60" t="s">
        <v>179</v>
      </c>
      <c r="AH168" s="59" t="s">
        <v>179</v>
      </c>
      <c r="AI168" s="60">
        <v>1.802908</v>
      </c>
      <c r="AJ168" s="59">
        <v>0.16533900000000001</v>
      </c>
      <c r="AK168" s="60">
        <v>1.11191</v>
      </c>
      <c r="AL168" s="59" t="s">
        <v>179</v>
      </c>
      <c r="AM168" s="60">
        <v>1.523026</v>
      </c>
      <c r="AN168" s="59">
        <v>0.58592900000000003</v>
      </c>
      <c r="AO168" s="60" t="s">
        <v>179</v>
      </c>
      <c r="AP168" s="59" t="s">
        <v>179</v>
      </c>
      <c r="AQ168" s="60">
        <v>1.0878410000000001</v>
      </c>
      <c r="AR168" s="59">
        <v>0.496444</v>
      </c>
      <c r="AS168" s="60">
        <v>1.1690160000000001</v>
      </c>
      <c r="AT168" s="59" t="s">
        <v>179</v>
      </c>
      <c r="AU168" s="60">
        <v>1.0606599999999999</v>
      </c>
      <c r="AV168" s="59" t="s">
        <v>179</v>
      </c>
      <c r="AW168" s="60" t="s">
        <v>179</v>
      </c>
      <c r="AX168" s="59" t="s">
        <v>179</v>
      </c>
      <c r="AY168" s="60" t="s">
        <v>179</v>
      </c>
      <c r="AZ168" s="59" t="s">
        <v>179</v>
      </c>
      <c r="BA168" s="60" t="s">
        <v>179</v>
      </c>
      <c r="BB168" s="59" t="s">
        <v>179</v>
      </c>
      <c r="BC168" s="60" t="s">
        <v>179</v>
      </c>
      <c r="BD168" s="59" t="s">
        <v>179</v>
      </c>
      <c r="BE168" s="60">
        <v>1.344919</v>
      </c>
    </row>
    <row r="169" spans="1:57" x14ac:dyDescent="0.35">
      <c r="A169" s="240"/>
      <c r="B169" s="240"/>
      <c r="C169" s="58" t="s">
        <v>345</v>
      </c>
      <c r="D169" s="59">
        <v>1.5518110000000001</v>
      </c>
      <c r="E169" s="60">
        <v>1.1833</v>
      </c>
      <c r="F169" s="59">
        <v>0.97988500000000001</v>
      </c>
      <c r="G169" s="60">
        <v>0.69744099999999998</v>
      </c>
      <c r="H169" s="59" t="s">
        <v>179</v>
      </c>
      <c r="I169" s="60" t="s">
        <v>179</v>
      </c>
      <c r="J169" s="59" t="s">
        <v>179</v>
      </c>
      <c r="K169" s="60">
        <v>2.4601929999999999</v>
      </c>
      <c r="L169" s="59" t="s">
        <v>179</v>
      </c>
      <c r="M169" s="60">
        <v>1.8501350000000001</v>
      </c>
      <c r="N169" s="59">
        <v>0.94694100000000003</v>
      </c>
      <c r="O169" s="60">
        <v>1.1775469999999999</v>
      </c>
      <c r="P169" s="59">
        <v>1.817496</v>
      </c>
      <c r="Q169" s="60" t="s">
        <v>179</v>
      </c>
      <c r="R169" s="59">
        <v>-5.7924000000000003E-2</v>
      </c>
      <c r="S169" s="60">
        <v>1.010502</v>
      </c>
      <c r="T169" s="59" t="s">
        <v>179</v>
      </c>
      <c r="U169" s="60">
        <v>1.193897</v>
      </c>
      <c r="V169" s="59">
        <v>1.0538240000000001</v>
      </c>
      <c r="W169" s="60">
        <v>3.2546360000000001</v>
      </c>
      <c r="X169" s="59" t="s">
        <v>179</v>
      </c>
      <c r="Y169" s="60" t="s">
        <v>179</v>
      </c>
      <c r="Z169" s="59">
        <v>2.9262959999999998</v>
      </c>
      <c r="AA169" s="60">
        <v>1.9922310000000001</v>
      </c>
      <c r="AB169" s="59">
        <v>0.93032999999999999</v>
      </c>
      <c r="AC169" s="60">
        <v>-0.88140399999999997</v>
      </c>
      <c r="AD169" s="59">
        <v>0.14305000000000001</v>
      </c>
      <c r="AE169" s="60" t="s">
        <v>179</v>
      </c>
      <c r="AF169" s="59">
        <v>1.3191900000000001</v>
      </c>
      <c r="AG169" s="60" t="s">
        <v>179</v>
      </c>
      <c r="AH169" s="59" t="s">
        <v>179</v>
      </c>
      <c r="AI169" s="60">
        <v>-0.22428200000000001</v>
      </c>
      <c r="AJ169" s="59">
        <v>2.1167570000000002</v>
      </c>
      <c r="AK169" s="60">
        <v>1.397197</v>
      </c>
      <c r="AL169" s="59" t="s">
        <v>179</v>
      </c>
      <c r="AM169" s="60">
        <v>0.86113600000000001</v>
      </c>
      <c r="AN169" s="59">
        <v>1.3324959999999999</v>
      </c>
      <c r="AO169" s="60" t="s">
        <v>179</v>
      </c>
      <c r="AP169" s="59" t="s">
        <v>179</v>
      </c>
      <c r="AQ169" s="60">
        <v>1.1630469999999999</v>
      </c>
      <c r="AR169" s="59">
        <v>1.343148</v>
      </c>
      <c r="AS169" s="60">
        <v>0.91378899999999996</v>
      </c>
      <c r="AT169" s="59" t="s">
        <v>179</v>
      </c>
      <c r="AU169" s="60">
        <v>1.164258</v>
      </c>
      <c r="AV169" s="59" t="s">
        <v>179</v>
      </c>
      <c r="AW169" s="60" t="s">
        <v>179</v>
      </c>
      <c r="AX169" s="59" t="s">
        <v>179</v>
      </c>
      <c r="AY169" s="60" t="s">
        <v>179</v>
      </c>
      <c r="AZ169" s="59" t="s">
        <v>179</v>
      </c>
      <c r="BA169" s="60" t="s">
        <v>179</v>
      </c>
      <c r="BB169" s="59" t="s">
        <v>179</v>
      </c>
      <c r="BC169" s="60" t="s">
        <v>179</v>
      </c>
      <c r="BD169" s="59" t="s">
        <v>179</v>
      </c>
      <c r="BE169" s="60">
        <v>0.93898000000000004</v>
      </c>
    </row>
    <row r="170" spans="1:57" x14ac:dyDescent="0.35">
      <c r="A170" s="240"/>
      <c r="B170" s="240"/>
      <c r="C170" s="58" t="s">
        <v>346</v>
      </c>
      <c r="D170" s="59">
        <v>1.0284869999999999</v>
      </c>
      <c r="E170" s="60">
        <v>0.82313999999999998</v>
      </c>
      <c r="F170" s="59">
        <v>0.76019000000000003</v>
      </c>
      <c r="G170" s="60">
        <v>1.14072</v>
      </c>
      <c r="H170" s="59" t="s">
        <v>179</v>
      </c>
      <c r="I170" s="60" t="s">
        <v>179</v>
      </c>
      <c r="J170" s="59" t="s">
        <v>179</v>
      </c>
      <c r="K170" s="60">
        <v>1.1303000000000001</v>
      </c>
      <c r="L170" s="59" t="s">
        <v>179</v>
      </c>
      <c r="M170" s="60">
        <v>1.194585</v>
      </c>
      <c r="N170" s="59">
        <v>1.3831990000000001</v>
      </c>
      <c r="O170" s="60">
        <v>1.0451429999999999</v>
      </c>
      <c r="P170" s="59">
        <v>3.492845</v>
      </c>
      <c r="Q170" s="60" t="s">
        <v>179</v>
      </c>
      <c r="R170" s="59">
        <v>0.198631</v>
      </c>
      <c r="S170" s="60">
        <v>1.2065300000000001</v>
      </c>
      <c r="T170" s="59" t="s">
        <v>179</v>
      </c>
      <c r="U170" s="60">
        <v>0.62120399999999998</v>
      </c>
      <c r="V170" s="59">
        <v>2.6980400000000002</v>
      </c>
      <c r="W170" s="60">
        <v>4.3277999999999997E-2</v>
      </c>
      <c r="X170" s="59" t="s">
        <v>179</v>
      </c>
      <c r="Y170" s="60" t="s">
        <v>179</v>
      </c>
      <c r="Z170" s="59">
        <v>2.6483680000000001</v>
      </c>
      <c r="AA170" s="60">
        <v>1.873678</v>
      </c>
      <c r="AB170" s="59">
        <v>1.5177320000000001</v>
      </c>
      <c r="AC170" s="60">
        <v>1.2737830000000001</v>
      </c>
      <c r="AD170" s="59">
        <v>-0.65375000000000005</v>
      </c>
      <c r="AE170" s="60" t="s">
        <v>179</v>
      </c>
      <c r="AF170" s="59">
        <v>3.7660290000000001</v>
      </c>
      <c r="AG170" s="60" t="s">
        <v>179</v>
      </c>
      <c r="AH170" s="59" t="s">
        <v>179</v>
      </c>
      <c r="AI170" s="60">
        <v>2.3581300000000001</v>
      </c>
      <c r="AJ170" s="59">
        <v>0.164712</v>
      </c>
      <c r="AK170" s="60">
        <v>0.44122499999999998</v>
      </c>
      <c r="AL170" s="59" t="s">
        <v>179</v>
      </c>
      <c r="AM170" s="60">
        <v>0.44074099999999999</v>
      </c>
      <c r="AN170" s="59">
        <v>1.016602</v>
      </c>
      <c r="AO170" s="60" t="s">
        <v>179</v>
      </c>
      <c r="AP170" s="59" t="s">
        <v>179</v>
      </c>
      <c r="AQ170" s="60">
        <v>1.2637309999999999</v>
      </c>
      <c r="AR170" s="59">
        <v>1.107297</v>
      </c>
      <c r="AS170" s="60">
        <v>0.93876899999999996</v>
      </c>
      <c r="AT170" s="59" t="s">
        <v>179</v>
      </c>
      <c r="AU170" s="60">
        <v>1.228831</v>
      </c>
      <c r="AV170" s="59" t="s">
        <v>179</v>
      </c>
      <c r="AW170" s="60" t="s">
        <v>179</v>
      </c>
      <c r="AX170" s="59" t="s">
        <v>179</v>
      </c>
      <c r="AY170" s="60" t="s">
        <v>179</v>
      </c>
      <c r="AZ170" s="59" t="s">
        <v>179</v>
      </c>
      <c r="BA170" s="60" t="s">
        <v>179</v>
      </c>
      <c r="BB170" s="59" t="s">
        <v>179</v>
      </c>
      <c r="BC170" s="60" t="s">
        <v>179</v>
      </c>
      <c r="BD170" s="59" t="s">
        <v>179</v>
      </c>
      <c r="BE170" s="60">
        <v>0.61931599999999998</v>
      </c>
    </row>
    <row r="171" spans="1:57" x14ac:dyDescent="0.35">
      <c r="A171" s="240"/>
      <c r="B171" s="240"/>
      <c r="C171" s="58" t="s">
        <v>347</v>
      </c>
      <c r="D171" s="59">
        <v>2.1224210000000001</v>
      </c>
      <c r="E171" s="60">
        <v>0.47564899999999999</v>
      </c>
      <c r="F171" s="59">
        <v>0.96112399999999998</v>
      </c>
      <c r="G171" s="60">
        <v>0.38218299999999999</v>
      </c>
      <c r="H171" s="59" t="s">
        <v>179</v>
      </c>
      <c r="I171" s="60" t="s">
        <v>179</v>
      </c>
      <c r="J171" s="59" t="s">
        <v>179</v>
      </c>
      <c r="K171" s="60">
        <v>-2.0015839999999998</v>
      </c>
      <c r="L171" s="59" t="s">
        <v>179</v>
      </c>
      <c r="M171" s="60">
        <v>1.7576080000000001</v>
      </c>
      <c r="N171" s="59">
        <v>0.74861699999999998</v>
      </c>
      <c r="O171" s="60">
        <v>0.40254800000000002</v>
      </c>
      <c r="P171" s="59">
        <v>-1.108916</v>
      </c>
      <c r="Q171" s="60" t="s">
        <v>179</v>
      </c>
      <c r="R171" s="59">
        <v>0.31522699999999998</v>
      </c>
      <c r="S171" s="60">
        <v>1.5816669999999999</v>
      </c>
      <c r="T171" s="59" t="s">
        <v>179</v>
      </c>
      <c r="U171" s="60">
        <v>0.43239699999999998</v>
      </c>
      <c r="V171" s="59">
        <v>-1.3057319999999999</v>
      </c>
      <c r="W171" s="60">
        <v>1.4605859999999999</v>
      </c>
      <c r="X171" s="59" t="s">
        <v>179</v>
      </c>
      <c r="Y171" s="60" t="s">
        <v>179</v>
      </c>
      <c r="Z171" s="59">
        <v>2.1408209999999999</v>
      </c>
      <c r="AA171" s="60">
        <v>3.8205999999999997E-2</v>
      </c>
      <c r="AB171" s="59">
        <v>1.2458020000000001</v>
      </c>
      <c r="AC171" s="60">
        <v>0.58738100000000004</v>
      </c>
      <c r="AD171" s="59">
        <v>1.1794249999999999</v>
      </c>
      <c r="AE171" s="60" t="s">
        <v>179</v>
      </c>
      <c r="AF171" s="59">
        <v>-1.4141349999999999</v>
      </c>
      <c r="AG171" s="60" t="s">
        <v>179</v>
      </c>
      <c r="AH171" s="59" t="s">
        <v>179</v>
      </c>
      <c r="AI171" s="60">
        <v>0.98408899999999999</v>
      </c>
      <c r="AJ171" s="59">
        <v>0.67541200000000001</v>
      </c>
      <c r="AK171" s="60">
        <v>1.6313759999999999</v>
      </c>
      <c r="AL171" s="59" t="s">
        <v>179</v>
      </c>
      <c r="AM171" s="60">
        <v>0.65838200000000002</v>
      </c>
      <c r="AN171" s="59">
        <v>0.76326899999999998</v>
      </c>
      <c r="AO171" s="60" t="s">
        <v>179</v>
      </c>
      <c r="AP171" s="59" t="s">
        <v>179</v>
      </c>
      <c r="AQ171" s="60">
        <v>0.31228899999999998</v>
      </c>
      <c r="AR171" s="59">
        <v>0.66409600000000002</v>
      </c>
      <c r="AS171" s="60">
        <v>0.55947100000000005</v>
      </c>
      <c r="AT171" s="59" t="s">
        <v>179</v>
      </c>
      <c r="AU171" s="60">
        <v>0.39500200000000002</v>
      </c>
      <c r="AV171" s="59" t="s">
        <v>179</v>
      </c>
      <c r="AW171" s="60" t="s">
        <v>179</v>
      </c>
      <c r="AX171" s="59" t="s">
        <v>179</v>
      </c>
      <c r="AY171" s="60" t="s">
        <v>179</v>
      </c>
      <c r="AZ171" s="59" t="s">
        <v>179</v>
      </c>
      <c r="BA171" s="60" t="s">
        <v>179</v>
      </c>
      <c r="BB171" s="59" t="s">
        <v>179</v>
      </c>
      <c r="BC171" s="60" t="s">
        <v>179</v>
      </c>
      <c r="BD171" s="59" t="s">
        <v>179</v>
      </c>
      <c r="BE171" s="60">
        <v>0.43385699999999999</v>
      </c>
    </row>
    <row r="172" spans="1:57" x14ac:dyDescent="0.35">
      <c r="A172" s="240"/>
      <c r="B172" s="240"/>
      <c r="C172" s="58" t="s">
        <v>348</v>
      </c>
      <c r="D172" s="59">
        <v>0.81096100000000004</v>
      </c>
      <c r="E172" s="60">
        <v>0.829098</v>
      </c>
      <c r="F172" s="59">
        <v>0.371448</v>
      </c>
      <c r="G172" s="60">
        <v>0.35779300000000003</v>
      </c>
      <c r="H172" s="59" t="s">
        <v>179</v>
      </c>
      <c r="I172" s="60" t="s">
        <v>179</v>
      </c>
      <c r="J172" s="59" t="s">
        <v>179</v>
      </c>
      <c r="K172" s="60">
        <v>-1.486353</v>
      </c>
      <c r="L172" s="59" t="s">
        <v>179</v>
      </c>
      <c r="M172" s="60">
        <v>1.178507</v>
      </c>
      <c r="N172" s="59">
        <v>1.1754990000000001</v>
      </c>
      <c r="O172" s="60">
        <v>0.91324499999999997</v>
      </c>
      <c r="P172" s="59">
        <v>-1.37456</v>
      </c>
      <c r="Q172" s="60" t="s">
        <v>179</v>
      </c>
      <c r="R172" s="59">
        <v>0.32213799999999998</v>
      </c>
      <c r="S172" s="60">
        <v>2.164625</v>
      </c>
      <c r="T172" s="59" t="s">
        <v>179</v>
      </c>
      <c r="U172" s="60">
        <v>1.0424370000000001</v>
      </c>
      <c r="V172" s="59">
        <v>1.7496780000000001</v>
      </c>
      <c r="W172" s="60">
        <v>2.5643829999999999</v>
      </c>
      <c r="X172" s="59" t="s">
        <v>179</v>
      </c>
      <c r="Y172" s="60" t="s">
        <v>179</v>
      </c>
      <c r="Z172" s="59">
        <v>1.463473</v>
      </c>
      <c r="AA172" s="60">
        <v>1.8641239999999999</v>
      </c>
      <c r="AB172" s="59">
        <v>0.87768199999999996</v>
      </c>
      <c r="AC172" s="60">
        <v>-1.1272089999999999</v>
      </c>
      <c r="AD172" s="59">
        <v>0.97323099999999996</v>
      </c>
      <c r="AE172" s="60" t="s">
        <v>179</v>
      </c>
      <c r="AF172" s="59">
        <v>1.9729540000000001</v>
      </c>
      <c r="AG172" s="60" t="s">
        <v>179</v>
      </c>
      <c r="AH172" s="59" t="s">
        <v>179</v>
      </c>
      <c r="AI172" s="60">
        <v>1.33968</v>
      </c>
      <c r="AJ172" s="59">
        <v>3.0821999999999999E-2</v>
      </c>
      <c r="AK172" s="60">
        <v>1.0590459999999999</v>
      </c>
      <c r="AL172" s="59" t="s">
        <v>179</v>
      </c>
      <c r="AM172" s="60">
        <v>9.9652000000000004E-2</v>
      </c>
      <c r="AN172" s="59">
        <v>0.74088100000000001</v>
      </c>
      <c r="AO172" s="60" t="s">
        <v>179</v>
      </c>
      <c r="AP172" s="59" t="s">
        <v>179</v>
      </c>
      <c r="AQ172" s="60">
        <v>0.921983</v>
      </c>
      <c r="AR172" s="59">
        <v>0.81672</v>
      </c>
      <c r="AS172" s="60">
        <v>0.90325</v>
      </c>
      <c r="AT172" s="59" t="s">
        <v>179</v>
      </c>
      <c r="AU172" s="60">
        <v>0.99439699999999998</v>
      </c>
      <c r="AV172" s="59" t="s">
        <v>179</v>
      </c>
      <c r="AW172" s="60" t="s">
        <v>179</v>
      </c>
      <c r="AX172" s="59" t="s">
        <v>179</v>
      </c>
      <c r="AY172" s="60" t="s">
        <v>179</v>
      </c>
      <c r="AZ172" s="59" t="s">
        <v>179</v>
      </c>
      <c r="BA172" s="60" t="s">
        <v>179</v>
      </c>
      <c r="BB172" s="59" t="s">
        <v>179</v>
      </c>
      <c r="BC172" s="60" t="s">
        <v>179</v>
      </c>
      <c r="BD172" s="59" t="s">
        <v>179</v>
      </c>
      <c r="BE172" s="60">
        <v>8.0345E-2</v>
      </c>
    </row>
    <row r="173" spans="1:57" x14ac:dyDescent="0.35">
      <c r="A173" s="240"/>
      <c r="B173" s="240"/>
      <c r="C173" s="58" t="s">
        <v>349</v>
      </c>
      <c r="D173" s="59">
        <v>-0.26781100000000002</v>
      </c>
      <c r="E173" s="60">
        <v>1.3003960000000001</v>
      </c>
      <c r="F173" s="59">
        <v>1.298638</v>
      </c>
      <c r="G173" s="60">
        <v>-0.213453</v>
      </c>
      <c r="H173" s="59" t="s">
        <v>179</v>
      </c>
      <c r="I173" s="60" t="s">
        <v>179</v>
      </c>
      <c r="J173" s="59" t="s">
        <v>179</v>
      </c>
      <c r="K173" s="60">
        <v>1.6576390000000001</v>
      </c>
      <c r="L173" s="59" t="s">
        <v>179</v>
      </c>
      <c r="M173" s="60">
        <v>4.7319E-2</v>
      </c>
      <c r="N173" s="59">
        <v>1.290842</v>
      </c>
      <c r="O173" s="60">
        <v>1.158806</v>
      </c>
      <c r="P173" s="59">
        <v>4.2863980000000002</v>
      </c>
      <c r="Q173" s="60" t="s">
        <v>179</v>
      </c>
      <c r="R173" s="59">
        <v>0.28022000000000002</v>
      </c>
      <c r="S173" s="60">
        <v>2.5935299999999999</v>
      </c>
      <c r="T173" s="59" t="s">
        <v>179</v>
      </c>
      <c r="U173" s="60">
        <v>1.0291399999999999</v>
      </c>
      <c r="V173" s="59">
        <v>3.098252</v>
      </c>
      <c r="W173" s="60">
        <v>4.1297759999999997</v>
      </c>
      <c r="X173" s="59" t="s">
        <v>179</v>
      </c>
      <c r="Y173" s="60" t="s">
        <v>179</v>
      </c>
      <c r="Z173" s="59">
        <v>0.90085400000000004</v>
      </c>
      <c r="AA173" s="60">
        <v>-0.881772</v>
      </c>
      <c r="AB173" s="59">
        <v>0.80527400000000005</v>
      </c>
      <c r="AC173" s="60">
        <v>-0.191663</v>
      </c>
      <c r="AD173" s="59">
        <v>0.69976000000000005</v>
      </c>
      <c r="AE173" s="60" t="s">
        <v>179</v>
      </c>
      <c r="AF173" s="59">
        <v>0.83261300000000005</v>
      </c>
      <c r="AG173" s="60" t="s">
        <v>179</v>
      </c>
      <c r="AH173" s="59" t="s">
        <v>179</v>
      </c>
      <c r="AI173" s="60">
        <v>-0.16600500000000001</v>
      </c>
      <c r="AJ173" s="59">
        <v>1.30721</v>
      </c>
      <c r="AK173" s="60">
        <v>1.3313200000000001</v>
      </c>
      <c r="AL173" s="59" t="s">
        <v>179</v>
      </c>
      <c r="AM173" s="60">
        <v>9.5105999999999996E-2</v>
      </c>
      <c r="AN173" s="59">
        <v>0.197047</v>
      </c>
      <c r="AO173" s="60" t="s">
        <v>179</v>
      </c>
      <c r="AP173" s="59" t="s">
        <v>179</v>
      </c>
      <c r="AQ173" s="60">
        <v>0.926207</v>
      </c>
      <c r="AR173" s="59">
        <v>6.1719999999999997E-2</v>
      </c>
      <c r="AS173" s="60">
        <v>1.040718</v>
      </c>
      <c r="AT173" s="59" t="s">
        <v>179</v>
      </c>
      <c r="AU173" s="60">
        <v>0.94925199999999998</v>
      </c>
      <c r="AV173" s="59" t="s">
        <v>179</v>
      </c>
      <c r="AW173" s="60" t="s">
        <v>179</v>
      </c>
      <c r="AX173" s="59" t="s">
        <v>179</v>
      </c>
      <c r="AY173" s="60" t="s">
        <v>179</v>
      </c>
      <c r="AZ173" s="59" t="s">
        <v>179</v>
      </c>
      <c r="BA173" s="60" t="s">
        <v>179</v>
      </c>
      <c r="BB173" s="59" t="s">
        <v>179</v>
      </c>
      <c r="BC173" s="60" t="s">
        <v>179</v>
      </c>
      <c r="BD173" s="59" t="s">
        <v>179</v>
      </c>
      <c r="BE173" s="60">
        <v>-0.61883200000000005</v>
      </c>
    </row>
    <row r="174" spans="1:57" x14ac:dyDescent="0.35">
      <c r="A174" s="240"/>
      <c r="B174" s="240"/>
      <c r="C174" s="58" t="s">
        <v>350</v>
      </c>
      <c r="D174" s="59">
        <v>0.82322399999999996</v>
      </c>
      <c r="E174" s="60">
        <v>1.2323550000000001</v>
      </c>
      <c r="F174" s="59">
        <v>1.5632459999999999</v>
      </c>
      <c r="G174" s="60">
        <v>0.94276000000000004</v>
      </c>
      <c r="H174" s="59" t="s">
        <v>179</v>
      </c>
      <c r="I174" s="60" t="s">
        <v>179</v>
      </c>
      <c r="J174" s="59" t="s">
        <v>179</v>
      </c>
      <c r="K174" s="60">
        <v>-0.55573899999999998</v>
      </c>
      <c r="L174" s="59" t="s">
        <v>179</v>
      </c>
      <c r="M174" s="60">
        <v>1.3471850000000001</v>
      </c>
      <c r="N174" s="59">
        <v>0.67860100000000001</v>
      </c>
      <c r="O174" s="60">
        <v>2.075707</v>
      </c>
      <c r="P174" s="59">
        <v>0.94345400000000001</v>
      </c>
      <c r="Q174" s="60" t="s">
        <v>179</v>
      </c>
      <c r="R174" s="59">
        <v>0.26179200000000002</v>
      </c>
      <c r="S174" s="60">
        <v>2.52529</v>
      </c>
      <c r="T174" s="59" t="s">
        <v>179</v>
      </c>
      <c r="U174" s="60">
        <v>0.398617</v>
      </c>
      <c r="V174" s="59">
        <v>-0.47576400000000002</v>
      </c>
      <c r="W174" s="60">
        <v>1.018551</v>
      </c>
      <c r="X174" s="59" t="s">
        <v>179</v>
      </c>
      <c r="Y174" s="60" t="s">
        <v>179</v>
      </c>
      <c r="Z174" s="59">
        <v>0.788354</v>
      </c>
      <c r="AA174" s="60">
        <v>2.174245</v>
      </c>
      <c r="AB174" s="59">
        <v>1.2534369999999999</v>
      </c>
      <c r="AC174" s="60">
        <v>-0.171127</v>
      </c>
      <c r="AD174" s="59">
        <v>-0.363566</v>
      </c>
      <c r="AE174" s="60" t="s">
        <v>179</v>
      </c>
      <c r="AF174" s="59">
        <v>1.017439</v>
      </c>
      <c r="AG174" s="60" t="s">
        <v>179</v>
      </c>
      <c r="AH174" s="59" t="s">
        <v>179</v>
      </c>
      <c r="AI174" s="60">
        <v>0.87601899999999999</v>
      </c>
      <c r="AJ174" s="59">
        <v>0.21235699999999999</v>
      </c>
      <c r="AK174" s="60">
        <v>1.541258</v>
      </c>
      <c r="AL174" s="59" t="s">
        <v>179</v>
      </c>
      <c r="AM174" s="60">
        <v>0.67399399999999998</v>
      </c>
      <c r="AN174" s="59">
        <v>1.0927899999999999</v>
      </c>
      <c r="AO174" s="60" t="s">
        <v>179</v>
      </c>
      <c r="AP174" s="59" t="s">
        <v>179</v>
      </c>
      <c r="AQ174" s="60">
        <v>0.80091299999999999</v>
      </c>
      <c r="AR174" s="59">
        <v>1.182536</v>
      </c>
      <c r="AS174" s="60">
        <v>1.2394099999999999</v>
      </c>
      <c r="AT174" s="59" t="s">
        <v>179</v>
      </c>
      <c r="AU174" s="60">
        <v>0.96908899999999998</v>
      </c>
      <c r="AV174" s="59" t="s">
        <v>179</v>
      </c>
      <c r="AW174" s="60" t="s">
        <v>179</v>
      </c>
      <c r="AX174" s="59" t="s">
        <v>179</v>
      </c>
      <c r="AY174" s="60" t="s">
        <v>179</v>
      </c>
      <c r="AZ174" s="59" t="s">
        <v>179</v>
      </c>
      <c r="BA174" s="60" t="s">
        <v>179</v>
      </c>
      <c r="BB174" s="59" t="s">
        <v>179</v>
      </c>
      <c r="BC174" s="60" t="s">
        <v>179</v>
      </c>
      <c r="BD174" s="59" t="s">
        <v>179</v>
      </c>
      <c r="BE174" s="60">
        <v>8.0050999999999997E-2</v>
      </c>
    </row>
    <row r="175" spans="1:57" x14ac:dyDescent="0.35">
      <c r="A175" s="240"/>
      <c r="B175" s="240"/>
      <c r="C175" s="58" t="s">
        <v>351</v>
      </c>
      <c r="D175" s="59">
        <v>0.13441800000000001</v>
      </c>
      <c r="E175" s="60">
        <v>1.0781430000000001</v>
      </c>
      <c r="F175" s="59">
        <v>-0.35372799999999999</v>
      </c>
      <c r="G175" s="60">
        <v>-0.41411300000000001</v>
      </c>
      <c r="H175" s="59" t="s">
        <v>179</v>
      </c>
      <c r="I175" s="60" t="s">
        <v>179</v>
      </c>
      <c r="J175" s="59" t="s">
        <v>179</v>
      </c>
      <c r="K175" s="60">
        <v>2.2486860000000002</v>
      </c>
      <c r="L175" s="59" t="s">
        <v>179</v>
      </c>
      <c r="M175" s="60">
        <v>-1.3848689999999999</v>
      </c>
      <c r="N175" s="59">
        <v>0.35289399999999999</v>
      </c>
      <c r="O175" s="60">
        <v>0.49165999999999999</v>
      </c>
      <c r="P175" s="59">
        <v>-2.7842159999999998</v>
      </c>
      <c r="Q175" s="60" t="s">
        <v>179</v>
      </c>
      <c r="R175" s="59">
        <v>0.27918799999999999</v>
      </c>
      <c r="S175" s="60">
        <v>2.0592800000000002</v>
      </c>
      <c r="T175" s="59" t="s">
        <v>179</v>
      </c>
      <c r="U175" s="60">
        <v>0.304784</v>
      </c>
      <c r="V175" s="59">
        <v>3.1539700000000002</v>
      </c>
      <c r="W175" s="60">
        <v>2.2306219999999999</v>
      </c>
      <c r="X175" s="59" t="s">
        <v>179</v>
      </c>
      <c r="Y175" s="60" t="s">
        <v>179</v>
      </c>
      <c r="Z175" s="59">
        <v>1.144336</v>
      </c>
      <c r="AA175" s="60">
        <v>2.1698019999999998</v>
      </c>
      <c r="AB175" s="59">
        <v>0.83691400000000005</v>
      </c>
      <c r="AC175" s="60">
        <v>-1.3316E-2</v>
      </c>
      <c r="AD175" s="59">
        <v>1.0803499999999999</v>
      </c>
      <c r="AE175" s="60" t="s">
        <v>179</v>
      </c>
      <c r="AF175" s="59">
        <v>1.8702970000000001</v>
      </c>
      <c r="AG175" s="60" t="s">
        <v>179</v>
      </c>
      <c r="AH175" s="59" t="s">
        <v>179</v>
      </c>
      <c r="AI175" s="60">
        <v>1.6996340000000001</v>
      </c>
      <c r="AJ175" s="59">
        <v>-0.30510900000000002</v>
      </c>
      <c r="AK175" s="60">
        <v>0.293292</v>
      </c>
      <c r="AL175" s="59" t="s">
        <v>179</v>
      </c>
      <c r="AM175" s="60">
        <v>0.51365400000000005</v>
      </c>
      <c r="AN175" s="59">
        <v>0.36290800000000001</v>
      </c>
      <c r="AO175" s="60" t="s">
        <v>179</v>
      </c>
      <c r="AP175" s="59" t="s">
        <v>179</v>
      </c>
      <c r="AQ175" s="60">
        <v>0.83718199999999998</v>
      </c>
      <c r="AR175" s="59">
        <v>0.472719</v>
      </c>
      <c r="AS175" s="60">
        <v>0.58214500000000002</v>
      </c>
      <c r="AT175" s="59" t="s">
        <v>179</v>
      </c>
      <c r="AU175" s="60">
        <v>0.90656800000000004</v>
      </c>
      <c r="AV175" s="59" t="s">
        <v>179</v>
      </c>
      <c r="AW175" s="60" t="s">
        <v>179</v>
      </c>
      <c r="AX175" s="59" t="s">
        <v>179</v>
      </c>
      <c r="AY175" s="60" t="s">
        <v>179</v>
      </c>
      <c r="AZ175" s="59" t="s">
        <v>179</v>
      </c>
      <c r="BA175" s="60">
        <v>2.4652609999999999</v>
      </c>
      <c r="BB175" s="59" t="s">
        <v>179</v>
      </c>
      <c r="BC175" s="60" t="s">
        <v>179</v>
      </c>
      <c r="BD175" s="59" t="s">
        <v>179</v>
      </c>
      <c r="BE175" s="60">
        <v>-8.2521999999999998E-2</v>
      </c>
    </row>
    <row r="176" spans="1:57" x14ac:dyDescent="0.35">
      <c r="A176" s="240"/>
      <c r="B176" s="240"/>
      <c r="C176" s="58" t="s">
        <v>352</v>
      </c>
      <c r="D176" s="59">
        <v>-0.59034600000000004</v>
      </c>
      <c r="E176" s="60">
        <v>0.82636299999999996</v>
      </c>
      <c r="F176" s="59">
        <v>0.13286500000000001</v>
      </c>
      <c r="G176" s="60">
        <v>-0.70754799999999995</v>
      </c>
      <c r="H176" s="59" t="s">
        <v>179</v>
      </c>
      <c r="I176" s="60" t="s">
        <v>179</v>
      </c>
      <c r="J176" s="59" t="s">
        <v>179</v>
      </c>
      <c r="K176" s="60">
        <v>0.28845900000000002</v>
      </c>
      <c r="L176" s="59" t="s">
        <v>179</v>
      </c>
      <c r="M176" s="60">
        <v>-2.1048979999999999</v>
      </c>
      <c r="N176" s="59">
        <v>0.44362299999999999</v>
      </c>
      <c r="O176" s="60">
        <v>2.1059350000000001</v>
      </c>
      <c r="P176" s="59">
        <v>-6.8482479999999999</v>
      </c>
      <c r="Q176" s="60" t="s">
        <v>179</v>
      </c>
      <c r="R176" s="59">
        <v>0.32783899999999999</v>
      </c>
      <c r="S176" s="60">
        <v>1.2576700000000001</v>
      </c>
      <c r="T176" s="59" t="s">
        <v>179</v>
      </c>
      <c r="U176" s="60">
        <v>0.16034499999999999</v>
      </c>
      <c r="V176" s="59">
        <v>1.676742</v>
      </c>
      <c r="W176" s="60">
        <v>3.2329279999999998</v>
      </c>
      <c r="X176" s="59" t="s">
        <v>179</v>
      </c>
      <c r="Y176" s="60" t="s">
        <v>179</v>
      </c>
      <c r="Z176" s="59">
        <v>1.9335310000000001</v>
      </c>
      <c r="AA176" s="60">
        <v>1.3641369999999999</v>
      </c>
      <c r="AB176" s="59">
        <v>1.362325</v>
      </c>
      <c r="AC176" s="60">
        <v>0.90364599999999995</v>
      </c>
      <c r="AD176" s="59">
        <v>-0.98375599999999996</v>
      </c>
      <c r="AE176" s="60" t="s">
        <v>179</v>
      </c>
      <c r="AF176" s="59">
        <v>0.69860699999999998</v>
      </c>
      <c r="AG176" s="60" t="s">
        <v>179</v>
      </c>
      <c r="AH176" s="59" t="s">
        <v>179</v>
      </c>
      <c r="AI176" s="60">
        <v>-0.29846899999999998</v>
      </c>
      <c r="AJ176" s="59">
        <v>-0.79288499999999995</v>
      </c>
      <c r="AK176" s="60">
        <v>-0.24895999999999999</v>
      </c>
      <c r="AL176" s="59" t="s">
        <v>179</v>
      </c>
      <c r="AM176" s="60">
        <v>-1.0440130000000001</v>
      </c>
      <c r="AN176" s="59">
        <v>6.6522999999999999E-2</v>
      </c>
      <c r="AO176" s="60" t="s">
        <v>179</v>
      </c>
      <c r="AP176" s="59" t="s">
        <v>179</v>
      </c>
      <c r="AQ176" s="60">
        <v>0.49947200000000003</v>
      </c>
      <c r="AR176" s="59">
        <v>0.131046</v>
      </c>
      <c r="AS176" s="60">
        <v>7.0204000000000003E-2</v>
      </c>
      <c r="AT176" s="59" t="s">
        <v>179</v>
      </c>
      <c r="AU176" s="60">
        <v>0.36930800000000003</v>
      </c>
      <c r="AV176" s="59" t="s">
        <v>179</v>
      </c>
      <c r="AW176" s="60" t="s">
        <v>179</v>
      </c>
      <c r="AX176" s="59" t="s">
        <v>179</v>
      </c>
      <c r="AY176" s="60" t="s">
        <v>179</v>
      </c>
      <c r="AZ176" s="59" t="s">
        <v>179</v>
      </c>
      <c r="BA176" s="60">
        <v>1.0050790000000001</v>
      </c>
      <c r="BB176" s="59" t="s">
        <v>179</v>
      </c>
      <c r="BC176" s="60" t="s">
        <v>179</v>
      </c>
      <c r="BD176" s="59" t="s">
        <v>179</v>
      </c>
      <c r="BE176" s="60">
        <v>-8.4042000000000006E-2</v>
      </c>
    </row>
    <row r="177" spans="1:57" x14ac:dyDescent="0.35">
      <c r="A177" s="240"/>
      <c r="B177" s="240"/>
      <c r="C177" s="58" t="s">
        <v>353</v>
      </c>
      <c r="D177" s="59">
        <v>0.57929399999999998</v>
      </c>
      <c r="E177" s="60">
        <v>0.683751</v>
      </c>
      <c r="F177" s="59">
        <v>1.213354</v>
      </c>
      <c r="G177" s="60">
        <v>-0.89119700000000002</v>
      </c>
      <c r="H177" s="59" t="s">
        <v>179</v>
      </c>
      <c r="I177" s="60" t="s">
        <v>179</v>
      </c>
      <c r="J177" s="59" t="s">
        <v>179</v>
      </c>
      <c r="K177" s="60">
        <v>-1.0739620000000001</v>
      </c>
      <c r="L177" s="59" t="s">
        <v>179</v>
      </c>
      <c r="M177" s="60">
        <v>-0.59636999999999996</v>
      </c>
      <c r="N177" s="59">
        <v>0.24776300000000001</v>
      </c>
      <c r="O177" s="60">
        <v>1.760421</v>
      </c>
      <c r="P177" s="59">
        <v>10.427887999999999</v>
      </c>
      <c r="Q177" s="60" t="s">
        <v>179</v>
      </c>
      <c r="R177" s="59">
        <v>0.31654599999999999</v>
      </c>
      <c r="S177" s="60">
        <v>0.45468199999999998</v>
      </c>
      <c r="T177" s="59" t="s">
        <v>179</v>
      </c>
      <c r="U177" s="60">
        <v>-0.64958400000000005</v>
      </c>
      <c r="V177" s="59">
        <v>-0.18998000000000001</v>
      </c>
      <c r="W177" s="60">
        <v>2.0332659999999998</v>
      </c>
      <c r="X177" s="59" t="s">
        <v>179</v>
      </c>
      <c r="Y177" s="60" t="s">
        <v>179</v>
      </c>
      <c r="Z177" s="59">
        <v>2.6328879999999999</v>
      </c>
      <c r="AA177" s="60">
        <v>1.2709539999999999</v>
      </c>
      <c r="AB177" s="59">
        <v>0.79273300000000002</v>
      </c>
      <c r="AC177" s="60">
        <v>1.1793819999999999</v>
      </c>
      <c r="AD177" s="59">
        <v>2.6778909999999998</v>
      </c>
      <c r="AE177" s="60" t="s">
        <v>179</v>
      </c>
      <c r="AF177" s="59">
        <v>2.6589809999999998</v>
      </c>
      <c r="AG177" s="60" t="s">
        <v>179</v>
      </c>
      <c r="AH177" s="59" t="s">
        <v>179</v>
      </c>
      <c r="AI177" s="60">
        <v>3.7816830000000001</v>
      </c>
      <c r="AJ177" s="59">
        <v>1.1359429999999999</v>
      </c>
      <c r="AK177" s="60">
        <v>-0.13336300000000001</v>
      </c>
      <c r="AL177" s="59" t="s">
        <v>179</v>
      </c>
      <c r="AM177" s="60">
        <v>-0.344053</v>
      </c>
      <c r="AN177" s="59">
        <v>-0.91037900000000005</v>
      </c>
      <c r="AO177" s="60" t="s">
        <v>179</v>
      </c>
      <c r="AP177" s="59" t="s">
        <v>179</v>
      </c>
      <c r="AQ177" s="60">
        <v>-0.32597599999999999</v>
      </c>
      <c r="AR177" s="59">
        <v>-0.69670399999999999</v>
      </c>
      <c r="AS177" s="60">
        <v>1.22906</v>
      </c>
      <c r="AT177" s="59" t="s">
        <v>179</v>
      </c>
      <c r="AU177" s="60">
        <v>0.247306</v>
      </c>
      <c r="AV177" s="59" t="s">
        <v>179</v>
      </c>
      <c r="AW177" s="60" t="s">
        <v>179</v>
      </c>
      <c r="AX177" s="59" t="s">
        <v>179</v>
      </c>
      <c r="AY177" s="60" t="s">
        <v>179</v>
      </c>
      <c r="AZ177" s="59" t="s">
        <v>179</v>
      </c>
      <c r="BA177" s="60">
        <v>1.332368</v>
      </c>
      <c r="BB177" s="59" t="s">
        <v>179</v>
      </c>
      <c r="BC177" s="60" t="s">
        <v>179</v>
      </c>
      <c r="BD177" s="59" t="s">
        <v>179</v>
      </c>
      <c r="BE177" s="60">
        <v>9.2814999999999995E-2</v>
      </c>
    </row>
    <row r="178" spans="1:57" x14ac:dyDescent="0.35">
      <c r="A178" s="240"/>
      <c r="B178" s="240"/>
      <c r="C178" s="58" t="s">
        <v>354</v>
      </c>
      <c r="D178" s="59">
        <v>-1.2921609999999999</v>
      </c>
      <c r="E178" s="60">
        <v>0.69270500000000002</v>
      </c>
      <c r="F178" s="59">
        <v>-0.43152499999999999</v>
      </c>
      <c r="G178" s="60">
        <v>-1.4270689999999999</v>
      </c>
      <c r="H178" s="59" t="s">
        <v>179</v>
      </c>
      <c r="I178" s="60" t="s">
        <v>179</v>
      </c>
      <c r="J178" s="59" t="s">
        <v>179</v>
      </c>
      <c r="K178" s="60">
        <v>0.29559099999999999</v>
      </c>
      <c r="L178" s="59" t="s">
        <v>179</v>
      </c>
      <c r="M178" s="60">
        <v>-1.991179</v>
      </c>
      <c r="N178" s="59">
        <v>-3.7878000000000002E-2</v>
      </c>
      <c r="O178" s="60">
        <v>2.8275800000000002</v>
      </c>
      <c r="P178" s="59">
        <v>0.42565399999999998</v>
      </c>
      <c r="Q178" s="60" t="s">
        <v>179</v>
      </c>
      <c r="R178" s="59">
        <v>0.14893200000000001</v>
      </c>
      <c r="S178" s="60">
        <v>2.4823000000000001E-2</v>
      </c>
      <c r="T178" s="59" t="s">
        <v>179</v>
      </c>
      <c r="U178" s="60">
        <v>1.9735549999999999</v>
      </c>
      <c r="V178" s="59">
        <v>0.87131700000000001</v>
      </c>
      <c r="W178" s="60">
        <v>3.7501760000000002</v>
      </c>
      <c r="X178" s="59" t="s">
        <v>179</v>
      </c>
      <c r="Y178" s="60" t="s">
        <v>179</v>
      </c>
      <c r="Z178" s="59">
        <v>2.708053</v>
      </c>
      <c r="AA178" s="60">
        <v>0.27560800000000002</v>
      </c>
      <c r="AB178" s="59">
        <v>-0.40631800000000001</v>
      </c>
      <c r="AC178" s="60">
        <v>-2.4224389999999998</v>
      </c>
      <c r="AD178" s="59">
        <v>0.848437</v>
      </c>
      <c r="AE178" s="60" t="s">
        <v>179</v>
      </c>
      <c r="AF178" s="59">
        <v>-2.3305769999999999</v>
      </c>
      <c r="AG178" s="60" t="s">
        <v>179</v>
      </c>
      <c r="AH178" s="59" t="s">
        <v>179</v>
      </c>
      <c r="AI178" s="60">
        <v>-1.921754</v>
      </c>
      <c r="AJ178" s="59">
        <v>-0.311367</v>
      </c>
      <c r="AK178" s="60">
        <v>-0.31965500000000002</v>
      </c>
      <c r="AL178" s="59" t="s">
        <v>179</v>
      </c>
      <c r="AM178" s="60">
        <v>-0.29181099999999999</v>
      </c>
      <c r="AN178" s="59">
        <v>-0.46784399999999998</v>
      </c>
      <c r="AO178" s="60" t="s">
        <v>179</v>
      </c>
      <c r="AP178" s="59" t="s">
        <v>179</v>
      </c>
      <c r="AQ178" s="60">
        <v>0.35053299999999998</v>
      </c>
      <c r="AR178" s="59">
        <v>-0.46599499999999999</v>
      </c>
      <c r="AS178" s="60">
        <v>0.339839</v>
      </c>
      <c r="AT178" s="59" t="s">
        <v>179</v>
      </c>
      <c r="AU178" s="60">
        <v>0.118395</v>
      </c>
      <c r="AV178" s="59" t="s">
        <v>179</v>
      </c>
      <c r="AW178" s="60" t="s">
        <v>179</v>
      </c>
      <c r="AX178" s="59" t="s">
        <v>179</v>
      </c>
      <c r="AY178" s="60" t="s">
        <v>179</v>
      </c>
      <c r="AZ178" s="59" t="s">
        <v>179</v>
      </c>
      <c r="BA178" s="60">
        <v>3.568991</v>
      </c>
      <c r="BB178" s="59" t="s">
        <v>179</v>
      </c>
      <c r="BC178" s="60" t="s">
        <v>179</v>
      </c>
      <c r="BD178" s="59" t="s">
        <v>179</v>
      </c>
      <c r="BE178" s="60">
        <v>-0.79542299999999999</v>
      </c>
    </row>
    <row r="179" spans="1:57" x14ac:dyDescent="0.35">
      <c r="A179" s="240"/>
      <c r="B179" s="240"/>
      <c r="C179" s="58" t="s">
        <v>355</v>
      </c>
      <c r="D179" s="59">
        <v>-0.13247500000000001</v>
      </c>
      <c r="E179" s="60">
        <v>0.91216399999999997</v>
      </c>
      <c r="F179" s="59">
        <v>1.1675329999999999</v>
      </c>
      <c r="G179" s="60">
        <v>0.46626099999999998</v>
      </c>
      <c r="H179" s="59" t="s">
        <v>179</v>
      </c>
      <c r="I179" s="60" t="s">
        <v>179</v>
      </c>
      <c r="J179" s="59" t="s">
        <v>179</v>
      </c>
      <c r="K179" s="60">
        <v>1.078705</v>
      </c>
      <c r="L179" s="59" t="s">
        <v>179</v>
      </c>
      <c r="M179" s="60">
        <v>-1.1580969999999999</v>
      </c>
      <c r="N179" s="59">
        <v>0.33942299999999997</v>
      </c>
      <c r="O179" s="60">
        <v>-0.529389</v>
      </c>
      <c r="P179" s="59">
        <v>-1.7180260000000001</v>
      </c>
      <c r="Q179" s="60" t="s">
        <v>179</v>
      </c>
      <c r="R179" s="59">
        <v>-0.147786</v>
      </c>
      <c r="S179" s="60">
        <v>2.2641000000000001E-2</v>
      </c>
      <c r="T179" s="59" t="s">
        <v>179</v>
      </c>
      <c r="U179" s="60">
        <v>-0.54724099999999998</v>
      </c>
      <c r="V179" s="59">
        <v>1.1864110000000001</v>
      </c>
      <c r="W179" s="60">
        <v>1.661478</v>
      </c>
      <c r="X179" s="59" t="s">
        <v>179</v>
      </c>
      <c r="Y179" s="60" t="s">
        <v>179</v>
      </c>
      <c r="Z179" s="59">
        <v>2.245889</v>
      </c>
      <c r="AA179" s="60">
        <v>1.5302260000000001</v>
      </c>
      <c r="AB179" s="59">
        <v>1.17201</v>
      </c>
      <c r="AC179" s="60">
        <v>-0.67886000000000002</v>
      </c>
      <c r="AD179" s="59">
        <v>0.52310800000000002</v>
      </c>
      <c r="AE179" s="60" t="s">
        <v>179</v>
      </c>
      <c r="AF179" s="59">
        <v>1.9625889999999999</v>
      </c>
      <c r="AG179" s="60" t="s">
        <v>179</v>
      </c>
      <c r="AH179" s="59" t="s">
        <v>179</v>
      </c>
      <c r="AI179" s="60">
        <v>1.2192750000000001</v>
      </c>
      <c r="AJ179" s="59">
        <v>-1.147189</v>
      </c>
      <c r="AK179" s="60">
        <v>-0.52381900000000003</v>
      </c>
      <c r="AL179" s="59" t="s">
        <v>179</v>
      </c>
      <c r="AM179" s="60">
        <v>-0.12606600000000001</v>
      </c>
      <c r="AN179" s="59">
        <v>0.77971900000000005</v>
      </c>
      <c r="AO179" s="60" t="s">
        <v>179</v>
      </c>
      <c r="AP179" s="59" t="s">
        <v>179</v>
      </c>
      <c r="AQ179" s="60">
        <v>0.47936899999999999</v>
      </c>
      <c r="AR179" s="59">
        <v>0.83126</v>
      </c>
      <c r="AS179" s="60">
        <v>0.129944</v>
      </c>
      <c r="AT179" s="59" t="s">
        <v>179</v>
      </c>
      <c r="AU179" s="60">
        <v>0.58767499999999995</v>
      </c>
      <c r="AV179" s="59" t="s">
        <v>179</v>
      </c>
      <c r="AW179" s="60" t="s">
        <v>179</v>
      </c>
      <c r="AX179" s="59" t="s">
        <v>179</v>
      </c>
      <c r="AY179" s="60" t="s">
        <v>179</v>
      </c>
      <c r="AZ179" s="59" t="s">
        <v>179</v>
      </c>
      <c r="BA179" s="60">
        <v>2.555984</v>
      </c>
      <c r="BB179" s="59" t="s">
        <v>179</v>
      </c>
      <c r="BC179" s="60" t="s">
        <v>179</v>
      </c>
      <c r="BD179" s="59" t="s">
        <v>179</v>
      </c>
      <c r="BE179" s="60">
        <v>-0.22564899999999999</v>
      </c>
    </row>
    <row r="180" spans="1:57" x14ac:dyDescent="0.35">
      <c r="A180" s="240"/>
      <c r="B180" s="240"/>
      <c r="C180" s="58" t="s">
        <v>356</v>
      </c>
      <c r="D180" s="59">
        <v>0.41465999999999997</v>
      </c>
      <c r="E180" s="60">
        <v>1.109097</v>
      </c>
      <c r="F180" s="59">
        <v>0.674732</v>
      </c>
      <c r="G180" s="60">
        <v>0.133908</v>
      </c>
      <c r="H180" s="59" t="s">
        <v>179</v>
      </c>
      <c r="I180" s="60" t="s">
        <v>179</v>
      </c>
      <c r="J180" s="59" t="s">
        <v>179</v>
      </c>
      <c r="K180" s="60">
        <v>0.74082400000000004</v>
      </c>
      <c r="L180" s="59" t="s">
        <v>179</v>
      </c>
      <c r="M180" s="60">
        <v>-2.0487410000000001</v>
      </c>
      <c r="N180" s="59">
        <v>0.32515100000000002</v>
      </c>
      <c r="O180" s="60">
        <v>-0.20469799999999999</v>
      </c>
      <c r="P180" s="59">
        <v>1.849351</v>
      </c>
      <c r="Q180" s="60" t="s">
        <v>179</v>
      </c>
      <c r="R180" s="59">
        <v>-0.59156399999999998</v>
      </c>
      <c r="S180" s="60">
        <v>0.38784000000000002</v>
      </c>
      <c r="T180" s="59" t="s">
        <v>179</v>
      </c>
      <c r="U180" s="60">
        <v>3.5819999999999998E-2</v>
      </c>
      <c r="V180" s="59">
        <v>-0.22137899999999999</v>
      </c>
      <c r="W180" s="60">
        <v>2.1452969999999998</v>
      </c>
      <c r="X180" s="59" t="s">
        <v>179</v>
      </c>
      <c r="Y180" s="60" t="s">
        <v>179</v>
      </c>
      <c r="Z180" s="59">
        <v>1.345213</v>
      </c>
      <c r="AA180" s="60">
        <v>0.185943</v>
      </c>
      <c r="AB180" s="59">
        <v>0.40886499999999998</v>
      </c>
      <c r="AC180" s="60">
        <v>0.31647799999999998</v>
      </c>
      <c r="AD180" s="59">
        <v>-0.24444399999999999</v>
      </c>
      <c r="AE180" s="60" t="s">
        <v>179</v>
      </c>
      <c r="AF180" s="59">
        <v>1.073591</v>
      </c>
      <c r="AG180" s="60" t="s">
        <v>179</v>
      </c>
      <c r="AH180" s="59" t="s">
        <v>179</v>
      </c>
      <c r="AI180" s="60">
        <v>0.75527200000000005</v>
      </c>
      <c r="AJ180" s="59">
        <v>-0.48588799999999999</v>
      </c>
      <c r="AK180" s="60">
        <v>4.1995999999999999E-2</v>
      </c>
      <c r="AL180" s="59" t="s">
        <v>179</v>
      </c>
      <c r="AM180" s="60">
        <v>-0.21840000000000001</v>
      </c>
      <c r="AN180" s="59">
        <v>0.505297</v>
      </c>
      <c r="AO180" s="60" t="s">
        <v>179</v>
      </c>
      <c r="AP180" s="59" t="s">
        <v>179</v>
      </c>
      <c r="AQ180" s="60">
        <v>0.17008599999999999</v>
      </c>
      <c r="AR180" s="59">
        <v>0.44480900000000001</v>
      </c>
      <c r="AS180" s="60">
        <v>0.21817300000000001</v>
      </c>
      <c r="AT180" s="59" t="s">
        <v>179</v>
      </c>
      <c r="AU180" s="60">
        <v>0.29634300000000002</v>
      </c>
      <c r="AV180" s="59" t="s">
        <v>179</v>
      </c>
      <c r="AW180" s="60" t="s">
        <v>179</v>
      </c>
      <c r="AX180" s="59" t="s">
        <v>179</v>
      </c>
      <c r="AY180" s="60" t="s">
        <v>179</v>
      </c>
      <c r="AZ180" s="59" t="s">
        <v>179</v>
      </c>
      <c r="BA180" s="60">
        <v>1.339736</v>
      </c>
      <c r="BB180" s="59" t="s">
        <v>179</v>
      </c>
      <c r="BC180" s="60" t="s">
        <v>179</v>
      </c>
      <c r="BD180" s="59" t="s">
        <v>179</v>
      </c>
      <c r="BE180" s="60">
        <v>-3.8786000000000001E-2</v>
      </c>
    </row>
    <row r="181" spans="1:57" x14ac:dyDescent="0.35">
      <c r="A181" s="240"/>
      <c r="B181" s="240"/>
      <c r="C181" s="58" t="s">
        <v>357</v>
      </c>
      <c r="D181" s="59">
        <v>6.9077E-2</v>
      </c>
      <c r="E181" s="60">
        <v>0.61183100000000001</v>
      </c>
      <c r="F181" s="59">
        <v>0.50590400000000002</v>
      </c>
      <c r="G181" s="60">
        <v>0.184531</v>
      </c>
      <c r="H181" s="59" t="s">
        <v>179</v>
      </c>
      <c r="I181" s="60" t="s">
        <v>179</v>
      </c>
      <c r="J181" s="59" t="s">
        <v>179</v>
      </c>
      <c r="K181" s="60">
        <v>-0.98514599999999997</v>
      </c>
      <c r="L181" s="59" t="s">
        <v>179</v>
      </c>
      <c r="M181" s="60">
        <v>-1.1551610000000001</v>
      </c>
      <c r="N181" s="59">
        <v>0.418603</v>
      </c>
      <c r="O181" s="60">
        <v>1.2990619999999999</v>
      </c>
      <c r="P181" s="59">
        <v>-0.37822299999999998</v>
      </c>
      <c r="Q181" s="60" t="s">
        <v>179</v>
      </c>
      <c r="R181" s="59">
        <v>-0.98579399999999995</v>
      </c>
      <c r="S181" s="60">
        <v>0.84502500000000003</v>
      </c>
      <c r="T181" s="59" t="s">
        <v>179</v>
      </c>
      <c r="U181" s="60">
        <v>1.173646</v>
      </c>
      <c r="V181" s="59">
        <v>0.70233299999999999</v>
      </c>
      <c r="W181" s="60">
        <v>2.5035720000000001</v>
      </c>
      <c r="X181" s="59" t="s">
        <v>179</v>
      </c>
      <c r="Y181" s="60" t="s">
        <v>179</v>
      </c>
      <c r="Z181" s="59">
        <v>0.41994199999999998</v>
      </c>
      <c r="AA181" s="60">
        <v>1.8061689999999999</v>
      </c>
      <c r="AB181" s="59">
        <v>1.109337</v>
      </c>
      <c r="AC181" s="60">
        <v>0.648451</v>
      </c>
      <c r="AD181" s="59">
        <v>0.73334999999999995</v>
      </c>
      <c r="AE181" s="60" t="s">
        <v>179</v>
      </c>
      <c r="AF181" s="59">
        <v>2.3667000000000001E-2</v>
      </c>
      <c r="AG181" s="60" t="s">
        <v>179</v>
      </c>
      <c r="AH181" s="59" t="s">
        <v>179</v>
      </c>
      <c r="AI181" s="60">
        <v>0.49751200000000001</v>
      </c>
      <c r="AJ181" s="59">
        <v>-0.15493599999999999</v>
      </c>
      <c r="AK181" s="60">
        <v>0.102257</v>
      </c>
      <c r="AL181" s="59" t="s">
        <v>179</v>
      </c>
      <c r="AM181" s="60">
        <v>0.17372399999999999</v>
      </c>
      <c r="AN181" s="59">
        <v>0.348499</v>
      </c>
      <c r="AO181" s="60" t="s">
        <v>179</v>
      </c>
      <c r="AP181" s="59" t="s">
        <v>179</v>
      </c>
      <c r="AQ181" s="60">
        <v>0.57383099999999998</v>
      </c>
      <c r="AR181" s="59">
        <v>0.48319600000000001</v>
      </c>
      <c r="AS181" s="60">
        <v>0.68386400000000003</v>
      </c>
      <c r="AT181" s="59" t="s">
        <v>179</v>
      </c>
      <c r="AU181" s="60">
        <v>0.63387800000000005</v>
      </c>
      <c r="AV181" s="59" t="s">
        <v>179</v>
      </c>
      <c r="AW181" s="60" t="s">
        <v>179</v>
      </c>
      <c r="AX181" s="59" t="s">
        <v>179</v>
      </c>
      <c r="AY181" s="60" t="s">
        <v>179</v>
      </c>
      <c r="AZ181" s="59" t="s">
        <v>179</v>
      </c>
      <c r="BA181" s="60">
        <v>1.5335490000000001</v>
      </c>
      <c r="BB181" s="59" t="s">
        <v>179</v>
      </c>
      <c r="BC181" s="60" t="s">
        <v>179</v>
      </c>
      <c r="BD181" s="59" t="s">
        <v>179</v>
      </c>
      <c r="BE181" s="60">
        <v>-0.172065</v>
      </c>
    </row>
    <row r="182" spans="1:57" x14ac:dyDescent="0.35">
      <c r="A182" s="240"/>
      <c r="B182" s="240"/>
      <c r="C182" s="58" t="s">
        <v>358</v>
      </c>
      <c r="D182" s="59">
        <v>0.74773100000000003</v>
      </c>
      <c r="E182" s="60">
        <v>0.38370399999999999</v>
      </c>
      <c r="F182" s="59">
        <v>1.401939</v>
      </c>
      <c r="G182" s="60">
        <v>7.2894E-2</v>
      </c>
      <c r="H182" s="59" t="s">
        <v>179</v>
      </c>
      <c r="I182" s="60" t="s">
        <v>179</v>
      </c>
      <c r="J182" s="59" t="s">
        <v>179</v>
      </c>
      <c r="K182" s="60">
        <v>1.4410559999999999</v>
      </c>
      <c r="L182" s="59" t="s">
        <v>179</v>
      </c>
      <c r="M182" s="60">
        <v>0.31118200000000001</v>
      </c>
      <c r="N182" s="59">
        <v>1.0269919999999999</v>
      </c>
      <c r="O182" s="60">
        <v>1.5084850000000001</v>
      </c>
      <c r="P182" s="59">
        <v>2.2174489999999998</v>
      </c>
      <c r="Q182" s="60" t="s">
        <v>179</v>
      </c>
      <c r="R182" s="59">
        <v>-1.1090310000000001</v>
      </c>
      <c r="S182" s="60">
        <v>1.0788960000000001</v>
      </c>
      <c r="T182" s="59" t="s">
        <v>179</v>
      </c>
      <c r="U182" s="60">
        <v>0.26894600000000002</v>
      </c>
      <c r="V182" s="59">
        <v>3.1101E-2</v>
      </c>
      <c r="W182" s="60">
        <v>1.7803929999999999</v>
      </c>
      <c r="X182" s="59" t="s">
        <v>179</v>
      </c>
      <c r="Y182" s="60" t="s">
        <v>179</v>
      </c>
      <c r="Z182" s="59">
        <v>-7.5741000000000003E-2</v>
      </c>
      <c r="AA182" s="60">
        <v>-8.7410000000000005E-3</v>
      </c>
      <c r="AB182" s="59">
        <v>0.70769800000000005</v>
      </c>
      <c r="AC182" s="60">
        <v>0.28484999999999999</v>
      </c>
      <c r="AD182" s="59">
        <v>2.1266400000000001</v>
      </c>
      <c r="AE182" s="60" t="s">
        <v>179</v>
      </c>
      <c r="AF182" s="59">
        <v>1.76895</v>
      </c>
      <c r="AG182" s="60" t="s">
        <v>179</v>
      </c>
      <c r="AH182" s="59" t="s">
        <v>179</v>
      </c>
      <c r="AI182" s="60">
        <v>0.99770099999999995</v>
      </c>
      <c r="AJ182" s="59">
        <v>0.91757299999999997</v>
      </c>
      <c r="AK182" s="60">
        <v>0.60887100000000005</v>
      </c>
      <c r="AL182" s="59" t="s">
        <v>179</v>
      </c>
      <c r="AM182" s="60">
        <v>7.2259999999999998E-3</v>
      </c>
      <c r="AN182" s="59">
        <v>1.197052</v>
      </c>
      <c r="AO182" s="60" t="s">
        <v>179</v>
      </c>
      <c r="AP182" s="59" t="s">
        <v>179</v>
      </c>
      <c r="AQ182" s="60">
        <v>0.80372299999999997</v>
      </c>
      <c r="AR182" s="59">
        <v>0.98891200000000001</v>
      </c>
      <c r="AS182" s="60">
        <v>1.0120549999999999</v>
      </c>
      <c r="AT182" s="59" t="s">
        <v>179</v>
      </c>
      <c r="AU182" s="60">
        <v>0.87707900000000005</v>
      </c>
      <c r="AV182" s="59" t="s">
        <v>179</v>
      </c>
      <c r="AW182" s="60" t="s">
        <v>179</v>
      </c>
      <c r="AX182" s="59" t="s">
        <v>179</v>
      </c>
      <c r="AY182" s="60" t="s">
        <v>179</v>
      </c>
      <c r="AZ182" s="59" t="s">
        <v>179</v>
      </c>
      <c r="BA182" s="60">
        <v>1.0913649999999999</v>
      </c>
      <c r="BB182" s="59" t="s">
        <v>179</v>
      </c>
      <c r="BC182" s="60" t="s">
        <v>179</v>
      </c>
      <c r="BD182" s="59" t="s">
        <v>179</v>
      </c>
      <c r="BE182" s="60">
        <v>-0.70074800000000004</v>
      </c>
    </row>
    <row r="183" spans="1:57" x14ac:dyDescent="0.35">
      <c r="A183" s="240"/>
      <c r="B183" s="240"/>
      <c r="C183" s="58" t="s">
        <v>359</v>
      </c>
      <c r="D183" s="59">
        <v>0.71667599999999998</v>
      </c>
      <c r="E183" s="60">
        <v>0.47916999999999998</v>
      </c>
      <c r="F183" s="59">
        <v>-1.2157340000000001</v>
      </c>
      <c r="G183" s="60">
        <v>0.122115</v>
      </c>
      <c r="H183" s="59" t="s">
        <v>179</v>
      </c>
      <c r="I183" s="60" t="s">
        <v>179</v>
      </c>
      <c r="J183" s="59" t="s">
        <v>179</v>
      </c>
      <c r="K183" s="60">
        <v>-0.79803800000000003</v>
      </c>
      <c r="L183" s="59" t="s">
        <v>179</v>
      </c>
      <c r="M183" s="60">
        <v>-1.106439</v>
      </c>
      <c r="N183" s="59">
        <v>-8.1049999999999997E-2</v>
      </c>
      <c r="O183" s="60">
        <v>-0.77128300000000005</v>
      </c>
      <c r="P183" s="59">
        <v>-3.066087</v>
      </c>
      <c r="Q183" s="60" t="s">
        <v>179</v>
      </c>
      <c r="R183" s="59">
        <v>-0.95096000000000003</v>
      </c>
      <c r="S183" s="60">
        <v>1.070613</v>
      </c>
      <c r="T183" s="59" t="s">
        <v>179</v>
      </c>
      <c r="U183" s="60">
        <v>-5.7244999999999997E-2</v>
      </c>
      <c r="V183" s="59">
        <v>0.35015400000000002</v>
      </c>
      <c r="W183" s="60">
        <v>0.70169499999999996</v>
      </c>
      <c r="X183" s="59" t="s">
        <v>179</v>
      </c>
      <c r="Y183" s="60" t="s">
        <v>179</v>
      </c>
      <c r="Z183" s="59">
        <v>-7.3511000000000007E-2</v>
      </c>
      <c r="AA183" s="60">
        <v>1.639826</v>
      </c>
      <c r="AB183" s="59">
        <v>-0.918964</v>
      </c>
      <c r="AC183" s="60">
        <v>-7.79E-3</v>
      </c>
      <c r="AD183" s="59">
        <v>0.52134599999999998</v>
      </c>
      <c r="AE183" s="60" t="s">
        <v>179</v>
      </c>
      <c r="AF183" s="59">
        <v>-0.91937199999999997</v>
      </c>
      <c r="AG183" s="60" t="s">
        <v>179</v>
      </c>
      <c r="AH183" s="59" t="s">
        <v>179</v>
      </c>
      <c r="AI183" s="60">
        <v>-1.303955</v>
      </c>
      <c r="AJ183" s="59">
        <v>-0.51364799999999999</v>
      </c>
      <c r="AK183" s="60">
        <v>-0.24853900000000001</v>
      </c>
      <c r="AL183" s="59" t="s">
        <v>179</v>
      </c>
      <c r="AM183" s="60">
        <v>-0.11801499999999999</v>
      </c>
      <c r="AN183" s="59">
        <v>1.0843529999999999</v>
      </c>
      <c r="AO183" s="60" t="s">
        <v>179</v>
      </c>
      <c r="AP183" s="59" t="s">
        <v>179</v>
      </c>
      <c r="AQ183" s="60">
        <v>0.427817</v>
      </c>
      <c r="AR183" s="59">
        <v>1.067669</v>
      </c>
      <c r="AS183" s="60">
        <v>-0.51378599999999996</v>
      </c>
      <c r="AT183" s="59" t="s">
        <v>179</v>
      </c>
      <c r="AU183" s="60">
        <v>0.30065599999999998</v>
      </c>
      <c r="AV183" s="59" t="s">
        <v>179</v>
      </c>
      <c r="AW183" s="60" t="s">
        <v>179</v>
      </c>
      <c r="AX183" s="59" t="s">
        <v>179</v>
      </c>
      <c r="AY183" s="60" t="s">
        <v>179</v>
      </c>
      <c r="AZ183" s="59" t="s">
        <v>179</v>
      </c>
      <c r="BA183" s="60">
        <v>1.2906249999999999</v>
      </c>
      <c r="BB183" s="59" t="s">
        <v>179</v>
      </c>
      <c r="BC183" s="60" t="s">
        <v>179</v>
      </c>
      <c r="BD183" s="59" t="s">
        <v>179</v>
      </c>
      <c r="BE183" s="60">
        <v>-0.61337299999999995</v>
      </c>
    </row>
    <row r="184" spans="1:57" x14ac:dyDescent="0.35">
      <c r="A184" s="240"/>
      <c r="B184" s="240"/>
      <c r="C184" s="58" t="s">
        <v>360</v>
      </c>
      <c r="D184" s="59">
        <v>1.012494</v>
      </c>
      <c r="E184" s="60">
        <v>7.9118999999999995E-2</v>
      </c>
      <c r="F184" s="59">
        <v>0.30894100000000002</v>
      </c>
      <c r="G184" s="60">
        <v>0.53698500000000005</v>
      </c>
      <c r="H184" s="59" t="s">
        <v>179</v>
      </c>
      <c r="I184" s="60" t="s">
        <v>179</v>
      </c>
      <c r="J184" s="59" t="s">
        <v>179</v>
      </c>
      <c r="K184" s="60">
        <v>2.7126429999999999</v>
      </c>
      <c r="L184" s="59" t="s">
        <v>179</v>
      </c>
      <c r="M184" s="60">
        <v>-0.85741199999999995</v>
      </c>
      <c r="N184" s="59">
        <v>3.9767999999999998E-2</v>
      </c>
      <c r="O184" s="60">
        <v>-0.17421500000000001</v>
      </c>
      <c r="P184" s="59">
        <v>1.5479499999999999</v>
      </c>
      <c r="Q184" s="60" t="s">
        <v>179</v>
      </c>
      <c r="R184" s="59">
        <v>-0.51906099999999999</v>
      </c>
      <c r="S184" s="60">
        <v>0.86265999999999998</v>
      </c>
      <c r="T184" s="59" t="s">
        <v>179</v>
      </c>
      <c r="U184" s="60">
        <v>-0.222056</v>
      </c>
      <c r="V184" s="59">
        <v>0.11766500000000001</v>
      </c>
      <c r="W184" s="60">
        <v>6.7624000000000004E-2</v>
      </c>
      <c r="X184" s="59" t="s">
        <v>179</v>
      </c>
      <c r="Y184" s="60" t="s">
        <v>179</v>
      </c>
      <c r="Z184" s="59">
        <v>0.35716500000000001</v>
      </c>
      <c r="AA184" s="60">
        <v>0.92857800000000001</v>
      </c>
      <c r="AB184" s="59">
        <v>0.30420999999999998</v>
      </c>
      <c r="AC184" s="60">
        <v>-0.72368500000000002</v>
      </c>
      <c r="AD184" s="59">
        <v>1.3101510000000001</v>
      </c>
      <c r="AE184" s="60" t="s">
        <v>179</v>
      </c>
      <c r="AF184" s="59">
        <v>-0.34595999999999999</v>
      </c>
      <c r="AG184" s="60" t="s">
        <v>179</v>
      </c>
      <c r="AH184" s="59" t="s">
        <v>179</v>
      </c>
      <c r="AI184" s="60">
        <v>6.3866999999999993E-2</v>
      </c>
      <c r="AJ184" s="59">
        <v>-1.4474359999999999</v>
      </c>
      <c r="AK184" s="60">
        <v>-0.75363400000000003</v>
      </c>
      <c r="AL184" s="59" t="s">
        <v>179</v>
      </c>
      <c r="AM184" s="60">
        <v>0.63693200000000005</v>
      </c>
      <c r="AN184" s="59">
        <v>0.98827200000000004</v>
      </c>
      <c r="AO184" s="60" t="s">
        <v>179</v>
      </c>
      <c r="AP184" s="59" t="s">
        <v>179</v>
      </c>
      <c r="AQ184" s="60">
        <v>0.48685600000000001</v>
      </c>
      <c r="AR184" s="59">
        <v>0.948824</v>
      </c>
      <c r="AS184" s="60">
        <v>0.23481399999999999</v>
      </c>
      <c r="AT184" s="59" t="s">
        <v>179</v>
      </c>
      <c r="AU184" s="60">
        <v>0.514019</v>
      </c>
      <c r="AV184" s="59" t="s">
        <v>179</v>
      </c>
      <c r="AW184" s="60" t="s">
        <v>179</v>
      </c>
      <c r="AX184" s="59" t="s">
        <v>179</v>
      </c>
      <c r="AY184" s="60" t="s">
        <v>179</v>
      </c>
      <c r="AZ184" s="59" t="s">
        <v>179</v>
      </c>
      <c r="BA184" s="60">
        <v>3.4687429999999999</v>
      </c>
      <c r="BB184" s="59" t="s">
        <v>179</v>
      </c>
      <c r="BC184" s="60" t="s">
        <v>179</v>
      </c>
      <c r="BD184" s="59" t="s">
        <v>179</v>
      </c>
      <c r="BE184" s="60">
        <v>-1.1577360000000001</v>
      </c>
    </row>
    <row r="185" spans="1:57" x14ac:dyDescent="0.35">
      <c r="A185" s="240"/>
      <c r="B185" s="240"/>
      <c r="C185" s="58" t="s">
        <v>361</v>
      </c>
      <c r="D185" s="59">
        <v>2.055323</v>
      </c>
      <c r="E185" s="60">
        <v>-0.30246699999999999</v>
      </c>
      <c r="F185" s="59">
        <v>-1.2325740000000001</v>
      </c>
      <c r="G185" s="60">
        <v>0.56891099999999994</v>
      </c>
      <c r="H185" s="59" t="s">
        <v>179</v>
      </c>
      <c r="I185" s="60" t="s">
        <v>179</v>
      </c>
      <c r="J185" s="59" t="s">
        <v>179</v>
      </c>
      <c r="K185" s="60">
        <v>-0.44045099999999998</v>
      </c>
      <c r="L185" s="59" t="s">
        <v>179</v>
      </c>
      <c r="M185" s="60">
        <v>-0.73826700000000001</v>
      </c>
      <c r="N185" s="59">
        <v>-0.21640000000000001</v>
      </c>
      <c r="O185" s="60">
        <v>-0.30876700000000001</v>
      </c>
      <c r="P185" s="59">
        <v>-0.53217099999999995</v>
      </c>
      <c r="Q185" s="60" t="s">
        <v>179</v>
      </c>
      <c r="R185" s="59">
        <v>3.4807999999999999E-2</v>
      </c>
      <c r="S185" s="60">
        <v>0.61684000000000005</v>
      </c>
      <c r="T185" s="59" t="s">
        <v>179</v>
      </c>
      <c r="U185" s="60">
        <v>-0.689307</v>
      </c>
      <c r="V185" s="59">
        <v>-0.63750099999999998</v>
      </c>
      <c r="W185" s="60">
        <v>1.560678</v>
      </c>
      <c r="X185" s="59" t="s">
        <v>179</v>
      </c>
      <c r="Y185" s="60" t="s">
        <v>179</v>
      </c>
      <c r="Z185" s="59">
        <v>0.92005300000000001</v>
      </c>
      <c r="AA185" s="60">
        <v>8.3307000000000006E-2</v>
      </c>
      <c r="AB185" s="59">
        <v>0.37670500000000001</v>
      </c>
      <c r="AC185" s="60">
        <v>1.246262</v>
      </c>
      <c r="AD185" s="59">
        <v>-0.71590200000000004</v>
      </c>
      <c r="AE185" s="60" t="s">
        <v>179</v>
      </c>
      <c r="AF185" s="59">
        <v>-0.15954199999999999</v>
      </c>
      <c r="AG185" s="60" t="s">
        <v>179</v>
      </c>
      <c r="AH185" s="59" t="s">
        <v>179</v>
      </c>
      <c r="AI185" s="60">
        <v>-0.65159599999999995</v>
      </c>
      <c r="AJ185" s="59">
        <v>-1.3723000000000001</v>
      </c>
      <c r="AK185" s="60">
        <v>-0.71053599999999995</v>
      </c>
      <c r="AL185" s="59" t="s">
        <v>179</v>
      </c>
      <c r="AM185" s="60">
        <v>0.69656700000000005</v>
      </c>
      <c r="AN185" s="59">
        <v>1.0431649999999999</v>
      </c>
      <c r="AO185" s="60" t="s">
        <v>179</v>
      </c>
      <c r="AP185" s="59" t="s">
        <v>179</v>
      </c>
      <c r="AQ185" s="60">
        <v>0.31320100000000001</v>
      </c>
      <c r="AR185" s="59">
        <v>0.91197700000000004</v>
      </c>
      <c r="AS185" s="60">
        <v>-0.21661900000000001</v>
      </c>
      <c r="AT185" s="59" t="s">
        <v>179</v>
      </c>
      <c r="AU185" s="60">
        <v>0.27130399999999999</v>
      </c>
      <c r="AV185" s="59" t="s">
        <v>179</v>
      </c>
      <c r="AW185" s="60" t="s">
        <v>179</v>
      </c>
      <c r="AX185" s="59" t="s">
        <v>179</v>
      </c>
      <c r="AY185" s="60" t="s">
        <v>179</v>
      </c>
      <c r="AZ185" s="59" t="s">
        <v>179</v>
      </c>
      <c r="BA185" s="60">
        <v>0.50228899999999999</v>
      </c>
      <c r="BB185" s="59" t="s">
        <v>179</v>
      </c>
      <c r="BC185" s="60" t="s">
        <v>179</v>
      </c>
      <c r="BD185" s="59" t="s">
        <v>179</v>
      </c>
      <c r="BE185" s="60">
        <v>-0.84971399999999997</v>
      </c>
    </row>
    <row r="186" spans="1:57" x14ac:dyDescent="0.35">
      <c r="A186" s="240"/>
      <c r="B186" s="240"/>
      <c r="C186" s="58" t="s">
        <v>362</v>
      </c>
      <c r="D186" s="59">
        <v>0.69362800000000002</v>
      </c>
      <c r="E186" s="60">
        <v>-0.239481</v>
      </c>
      <c r="F186" s="59">
        <v>-0.75971900000000003</v>
      </c>
      <c r="G186" s="60">
        <v>0.63994600000000001</v>
      </c>
      <c r="H186" s="59" t="s">
        <v>179</v>
      </c>
      <c r="I186" s="60" t="s">
        <v>179</v>
      </c>
      <c r="J186" s="59" t="s">
        <v>179</v>
      </c>
      <c r="K186" s="60">
        <v>-1.2010419999999999</v>
      </c>
      <c r="L186" s="59" t="s">
        <v>179</v>
      </c>
      <c r="M186" s="60">
        <v>0.25146099999999999</v>
      </c>
      <c r="N186" s="59">
        <v>-0.62290400000000001</v>
      </c>
      <c r="O186" s="60">
        <v>-0.73395900000000003</v>
      </c>
      <c r="P186" s="59">
        <v>-2.653931</v>
      </c>
      <c r="Q186" s="60" t="s">
        <v>179</v>
      </c>
      <c r="R186" s="59">
        <v>0.53090800000000005</v>
      </c>
      <c r="S186" s="60">
        <v>0.50061199999999995</v>
      </c>
      <c r="T186" s="59" t="s">
        <v>179</v>
      </c>
      <c r="U186" s="60">
        <v>-0.13946500000000001</v>
      </c>
      <c r="V186" s="59">
        <v>1.1268579999999999</v>
      </c>
      <c r="W186" s="60">
        <v>1.990658</v>
      </c>
      <c r="X186" s="59" t="s">
        <v>179</v>
      </c>
      <c r="Y186" s="60" t="s">
        <v>179</v>
      </c>
      <c r="Z186" s="59">
        <v>1.277109</v>
      </c>
      <c r="AA186" s="60">
        <v>-6.6283999999999996E-2</v>
      </c>
      <c r="AB186" s="59">
        <v>0.61591300000000004</v>
      </c>
      <c r="AC186" s="60">
        <v>1.6343080000000001</v>
      </c>
      <c r="AD186" s="59">
        <v>-0.65800000000000003</v>
      </c>
      <c r="AE186" s="60" t="s">
        <v>179</v>
      </c>
      <c r="AF186" s="59">
        <v>-1.318635</v>
      </c>
      <c r="AG186" s="60" t="s">
        <v>179</v>
      </c>
      <c r="AH186" s="59" t="s">
        <v>179</v>
      </c>
      <c r="AI186" s="60">
        <v>-0.93298400000000004</v>
      </c>
      <c r="AJ186" s="59">
        <v>-1.759533</v>
      </c>
      <c r="AK186" s="60">
        <v>4.3778999999999998E-2</v>
      </c>
      <c r="AL186" s="59" t="s">
        <v>179</v>
      </c>
      <c r="AM186" s="60">
        <v>0.72336199999999995</v>
      </c>
      <c r="AN186" s="59">
        <v>0.16739999999999999</v>
      </c>
      <c r="AO186" s="60" t="s">
        <v>179</v>
      </c>
      <c r="AP186" s="59" t="s">
        <v>179</v>
      </c>
      <c r="AQ186" s="60">
        <v>0.21057799999999999</v>
      </c>
      <c r="AR186" s="59">
        <v>0.179233</v>
      </c>
      <c r="AS186" s="60">
        <v>-0.20006299999999999</v>
      </c>
      <c r="AT186" s="59" t="s">
        <v>179</v>
      </c>
      <c r="AU186" s="60">
        <v>0.21141699999999999</v>
      </c>
      <c r="AV186" s="59" t="s">
        <v>179</v>
      </c>
      <c r="AW186" s="60" t="s">
        <v>179</v>
      </c>
      <c r="AX186" s="59" t="s">
        <v>179</v>
      </c>
      <c r="AY186" s="60" t="s">
        <v>179</v>
      </c>
      <c r="AZ186" s="59" t="s">
        <v>179</v>
      </c>
      <c r="BA186" s="60">
        <v>1.9219539999999999</v>
      </c>
      <c r="BB186" s="59" t="s">
        <v>179</v>
      </c>
      <c r="BC186" s="60" t="s">
        <v>179</v>
      </c>
      <c r="BD186" s="59" t="s">
        <v>179</v>
      </c>
      <c r="BE186" s="60">
        <v>0.88590199999999997</v>
      </c>
    </row>
    <row r="187" spans="1:57" x14ac:dyDescent="0.35">
      <c r="A187" s="240"/>
      <c r="B187" s="240"/>
      <c r="C187" s="58" t="s">
        <v>363</v>
      </c>
      <c r="D187" s="59">
        <v>0.56303899999999996</v>
      </c>
      <c r="E187" s="60">
        <v>0.57054899999999997</v>
      </c>
      <c r="F187" s="59">
        <v>1.0102580000000001</v>
      </c>
      <c r="G187" s="60">
        <v>0.91043300000000005</v>
      </c>
      <c r="H187" s="59" t="s">
        <v>179</v>
      </c>
      <c r="I187" s="60" t="s">
        <v>179</v>
      </c>
      <c r="J187" s="59" t="s">
        <v>179</v>
      </c>
      <c r="K187" s="60">
        <v>-0.41351900000000003</v>
      </c>
      <c r="L187" s="59" t="s">
        <v>179</v>
      </c>
      <c r="M187" s="60">
        <v>-0.18370700000000001</v>
      </c>
      <c r="N187" s="59">
        <v>6.9556999999999994E-2</v>
      </c>
      <c r="O187" s="60">
        <v>-2.7136E-2</v>
      </c>
      <c r="P187" s="59">
        <v>1.709362</v>
      </c>
      <c r="Q187" s="60" t="s">
        <v>179</v>
      </c>
      <c r="R187" s="59">
        <v>0.90494399999999997</v>
      </c>
      <c r="S187" s="60">
        <v>0.53079200000000004</v>
      </c>
      <c r="T187" s="59" t="s">
        <v>179</v>
      </c>
      <c r="U187" s="60">
        <v>-0.241254</v>
      </c>
      <c r="V187" s="59">
        <v>-0.63314599999999999</v>
      </c>
      <c r="W187" s="60">
        <v>2.5653320000000002</v>
      </c>
      <c r="X187" s="59" t="s">
        <v>179</v>
      </c>
      <c r="Y187" s="60" t="s">
        <v>179</v>
      </c>
      <c r="Z187" s="59">
        <v>1.3923680000000001</v>
      </c>
      <c r="AA187" s="60">
        <v>0.28159000000000001</v>
      </c>
      <c r="AB187" s="59">
        <v>0.24989600000000001</v>
      </c>
      <c r="AC187" s="60">
        <v>2.2160410000000001</v>
      </c>
      <c r="AD187" s="59">
        <v>1.7361629999999999</v>
      </c>
      <c r="AE187" s="60" t="s">
        <v>179</v>
      </c>
      <c r="AF187" s="59">
        <v>5.0113999999999999E-2</v>
      </c>
      <c r="AG187" s="60">
        <v>1.390938</v>
      </c>
      <c r="AH187" s="59" t="s">
        <v>179</v>
      </c>
      <c r="AI187" s="60">
        <v>-6.7749999999999998E-3</v>
      </c>
      <c r="AJ187" s="59">
        <v>1.220529</v>
      </c>
      <c r="AK187" s="60">
        <v>0.77367399999999997</v>
      </c>
      <c r="AL187" s="59" t="s">
        <v>179</v>
      </c>
      <c r="AM187" s="60">
        <v>0.49576500000000001</v>
      </c>
      <c r="AN187" s="59">
        <v>0.58242000000000005</v>
      </c>
      <c r="AO187" s="60" t="s">
        <v>179</v>
      </c>
      <c r="AP187" s="59" t="s">
        <v>179</v>
      </c>
      <c r="AQ187" s="60">
        <v>0.20130500000000001</v>
      </c>
      <c r="AR187" s="59">
        <v>0.57697200000000004</v>
      </c>
      <c r="AS187" s="60">
        <v>0.50845899999999999</v>
      </c>
      <c r="AT187" s="59" t="s">
        <v>179</v>
      </c>
      <c r="AU187" s="60">
        <v>0.43033900000000003</v>
      </c>
      <c r="AV187" s="59">
        <v>2.8529589999999998</v>
      </c>
      <c r="AW187" s="60" t="s">
        <v>179</v>
      </c>
      <c r="AX187" s="59" t="s">
        <v>179</v>
      </c>
      <c r="AY187" s="60" t="s">
        <v>179</v>
      </c>
      <c r="AZ187" s="59" t="s">
        <v>179</v>
      </c>
      <c r="BA187" s="60">
        <v>1.1461539999999999</v>
      </c>
      <c r="BB187" s="59" t="s">
        <v>179</v>
      </c>
      <c r="BC187" s="60" t="s">
        <v>179</v>
      </c>
      <c r="BD187" s="59" t="s">
        <v>179</v>
      </c>
      <c r="BE187" s="60">
        <v>1.096857</v>
      </c>
    </row>
    <row r="188" spans="1:57" x14ac:dyDescent="0.35">
      <c r="A188" s="240"/>
      <c r="B188" s="240"/>
      <c r="C188" s="58" t="s">
        <v>364</v>
      </c>
      <c r="D188" s="59">
        <v>0.10607900000000001</v>
      </c>
      <c r="E188" s="60">
        <v>1.019557</v>
      </c>
      <c r="F188" s="59">
        <v>0.31644800000000001</v>
      </c>
      <c r="G188" s="60">
        <v>0.95304699999999998</v>
      </c>
      <c r="H188" s="59" t="s">
        <v>179</v>
      </c>
      <c r="I188" s="60" t="s">
        <v>179</v>
      </c>
      <c r="J188" s="59" t="s">
        <v>179</v>
      </c>
      <c r="K188" s="60">
        <v>0.16574700000000001</v>
      </c>
      <c r="L188" s="59" t="s">
        <v>179</v>
      </c>
      <c r="M188" s="60">
        <v>0.61230300000000004</v>
      </c>
      <c r="N188" s="59">
        <v>0.156527</v>
      </c>
      <c r="O188" s="60">
        <v>0.59709900000000005</v>
      </c>
      <c r="P188" s="59">
        <v>0.34040100000000001</v>
      </c>
      <c r="Q188" s="60" t="s">
        <v>179</v>
      </c>
      <c r="R188" s="59">
        <v>1.210699</v>
      </c>
      <c r="S188" s="60">
        <v>0.71341299999999996</v>
      </c>
      <c r="T188" s="59" t="s">
        <v>179</v>
      </c>
      <c r="U188" s="60">
        <v>-0.15770899999999999</v>
      </c>
      <c r="V188" s="59">
        <v>-0.717862</v>
      </c>
      <c r="W188" s="60">
        <v>1.843683</v>
      </c>
      <c r="X188" s="59" t="s">
        <v>179</v>
      </c>
      <c r="Y188" s="60" t="s">
        <v>179</v>
      </c>
      <c r="Z188" s="59">
        <v>1.3364560000000001</v>
      </c>
      <c r="AA188" s="60">
        <v>1.089796</v>
      </c>
      <c r="AB188" s="59">
        <v>0.81725800000000004</v>
      </c>
      <c r="AC188" s="60">
        <v>2.0211459999999999</v>
      </c>
      <c r="AD188" s="59">
        <v>1.9925079999999999</v>
      </c>
      <c r="AE188" s="60" t="s">
        <v>179</v>
      </c>
      <c r="AF188" s="59">
        <v>0.69552899999999995</v>
      </c>
      <c r="AG188" s="60">
        <v>1.1598250000000001</v>
      </c>
      <c r="AH188" s="59" t="s">
        <v>179</v>
      </c>
      <c r="AI188" s="60">
        <v>1.203187</v>
      </c>
      <c r="AJ188" s="59">
        <v>1.242977</v>
      </c>
      <c r="AK188" s="60">
        <v>0.220969</v>
      </c>
      <c r="AL188" s="59" t="s">
        <v>179</v>
      </c>
      <c r="AM188" s="60">
        <v>0.78783300000000001</v>
      </c>
      <c r="AN188" s="59">
        <v>0.47731499999999999</v>
      </c>
      <c r="AO188" s="60" t="s">
        <v>179</v>
      </c>
      <c r="AP188" s="59" t="s">
        <v>179</v>
      </c>
      <c r="AQ188" s="60">
        <v>0.249829</v>
      </c>
      <c r="AR188" s="59">
        <v>0.572936</v>
      </c>
      <c r="AS188" s="60">
        <v>0.50832599999999994</v>
      </c>
      <c r="AT188" s="59" t="s">
        <v>179</v>
      </c>
      <c r="AU188" s="60">
        <v>0.39910600000000002</v>
      </c>
      <c r="AV188" s="59">
        <v>2.0102359999999999</v>
      </c>
      <c r="AW188" s="60" t="s">
        <v>179</v>
      </c>
      <c r="AX188" s="59" t="s">
        <v>179</v>
      </c>
      <c r="AY188" s="60" t="s">
        <v>179</v>
      </c>
      <c r="AZ188" s="59" t="s">
        <v>179</v>
      </c>
      <c r="BA188" s="60">
        <v>3.3595899999999999</v>
      </c>
      <c r="BB188" s="59" t="s">
        <v>179</v>
      </c>
      <c r="BC188" s="60" t="s">
        <v>179</v>
      </c>
      <c r="BD188" s="59" t="s">
        <v>179</v>
      </c>
      <c r="BE188" s="60">
        <v>1.4395180000000001</v>
      </c>
    </row>
    <row r="189" spans="1:57" x14ac:dyDescent="0.35">
      <c r="A189" s="240"/>
      <c r="B189" s="240"/>
      <c r="C189" s="58" t="s">
        <v>365</v>
      </c>
      <c r="D189" s="59">
        <v>1.850849</v>
      </c>
      <c r="E189" s="60">
        <v>0.70270100000000002</v>
      </c>
      <c r="F189" s="59">
        <v>0.95239700000000005</v>
      </c>
      <c r="G189" s="60">
        <v>0.43168400000000001</v>
      </c>
      <c r="H189" s="59" t="s">
        <v>179</v>
      </c>
      <c r="I189" s="60" t="s">
        <v>179</v>
      </c>
      <c r="J189" s="59" t="s">
        <v>179</v>
      </c>
      <c r="K189" s="60">
        <v>2.1882640000000002</v>
      </c>
      <c r="L189" s="59" t="s">
        <v>179</v>
      </c>
      <c r="M189" s="60">
        <v>0.74225200000000002</v>
      </c>
      <c r="N189" s="59">
        <v>0.20766999999999999</v>
      </c>
      <c r="O189" s="60">
        <v>-9.4431000000000001E-2</v>
      </c>
      <c r="P189" s="59">
        <v>0.19928799999999999</v>
      </c>
      <c r="Q189" s="60" t="s">
        <v>179</v>
      </c>
      <c r="R189" s="59">
        <v>1.3417049999999999</v>
      </c>
      <c r="S189" s="60">
        <v>1.002046</v>
      </c>
      <c r="T189" s="59" t="s">
        <v>179</v>
      </c>
      <c r="U189" s="60">
        <v>0.73313099999999998</v>
      </c>
      <c r="V189" s="59">
        <v>0.63000199999999995</v>
      </c>
      <c r="W189" s="60">
        <v>1.913664</v>
      </c>
      <c r="X189" s="59" t="s">
        <v>179</v>
      </c>
      <c r="Y189" s="60" t="s">
        <v>179</v>
      </c>
      <c r="Z189" s="59">
        <v>1.162644</v>
      </c>
      <c r="AA189" s="60">
        <v>1.26084</v>
      </c>
      <c r="AB189" s="59">
        <v>-0.62038700000000002</v>
      </c>
      <c r="AC189" s="60">
        <v>0.93433100000000002</v>
      </c>
      <c r="AD189" s="59">
        <v>3.5579260000000001</v>
      </c>
      <c r="AE189" s="60" t="s">
        <v>179</v>
      </c>
      <c r="AF189" s="59">
        <v>0.33546199999999998</v>
      </c>
      <c r="AG189" s="60">
        <v>1.506507</v>
      </c>
      <c r="AH189" s="59" t="s">
        <v>179</v>
      </c>
      <c r="AI189" s="60">
        <v>0.37684600000000001</v>
      </c>
      <c r="AJ189" s="59">
        <v>5.3159999999999999E-2</v>
      </c>
      <c r="AK189" s="60">
        <v>0.48010799999999998</v>
      </c>
      <c r="AL189" s="59" t="s">
        <v>179</v>
      </c>
      <c r="AM189" s="60">
        <v>0.66372299999999995</v>
      </c>
      <c r="AN189" s="59">
        <v>1.3601129999999999</v>
      </c>
      <c r="AO189" s="60" t="s">
        <v>179</v>
      </c>
      <c r="AP189" s="59" t="s">
        <v>179</v>
      </c>
      <c r="AQ189" s="60">
        <v>0.84293499999999999</v>
      </c>
      <c r="AR189" s="59">
        <v>1.2811220000000001</v>
      </c>
      <c r="AS189" s="60">
        <v>0.41261399999999998</v>
      </c>
      <c r="AT189" s="59" t="s">
        <v>179</v>
      </c>
      <c r="AU189" s="60">
        <v>0.867483</v>
      </c>
      <c r="AV189" s="59">
        <v>0.80545500000000003</v>
      </c>
      <c r="AW189" s="60" t="s">
        <v>179</v>
      </c>
      <c r="AX189" s="59" t="s">
        <v>179</v>
      </c>
      <c r="AY189" s="60" t="s">
        <v>179</v>
      </c>
      <c r="AZ189" s="59" t="s">
        <v>179</v>
      </c>
      <c r="BA189" s="60">
        <v>3.3401329999999998</v>
      </c>
      <c r="BB189" s="59" t="s">
        <v>179</v>
      </c>
      <c r="BC189" s="60" t="s">
        <v>179</v>
      </c>
      <c r="BD189" s="59" t="s">
        <v>179</v>
      </c>
      <c r="BE189" s="60">
        <v>0.74085199999999996</v>
      </c>
    </row>
    <row r="190" spans="1:57" x14ac:dyDescent="0.35">
      <c r="A190" s="240"/>
      <c r="B190" s="240"/>
      <c r="C190" s="58" t="s">
        <v>366</v>
      </c>
      <c r="D190" s="59">
        <v>1.67445</v>
      </c>
      <c r="E190" s="60">
        <v>0.32151600000000002</v>
      </c>
      <c r="F190" s="59">
        <v>0.70359499999999997</v>
      </c>
      <c r="G190" s="60">
        <v>1.4735689999999999</v>
      </c>
      <c r="H190" s="59" t="s">
        <v>179</v>
      </c>
      <c r="I190" s="60" t="s">
        <v>179</v>
      </c>
      <c r="J190" s="59" t="s">
        <v>179</v>
      </c>
      <c r="K190" s="60">
        <v>1.2224470000000001</v>
      </c>
      <c r="L190" s="59" t="s">
        <v>179</v>
      </c>
      <c r="M190" s="60">
        <v>0.65297899999999998</v>
      </c>
      <c r="N190" s="59">
        <v>0.75335799999999997</v>
      </c>
      <c r="O190" s="60">
        <v>1.4008389999999999</v>
      </c>
      <c r="P190" s="59">
        <v>-0.79252999999999996</v>
      </c>
      <c r="Q190" s="60" t="s">
        <v>179</v>
      </c>
      <c r="R190" s="59">
        <v>1.2024589999999999</v>
      </c>
      <c r="S190" s="60">
        <v>1.3507579999999999</v>
      </c>
      <c r="T190" s="59" t="s">
        <v>179</v>
      </c>
      <c r="U190" s="60">
        <v>0.76166900000000004</v>
      </c>
      <c r="V190" s="59">
        <v>0.85789400000000005</v>
      </c>
      <c r="W190" s="60">
        <v>2.9168560000000001</v>
      </c>
      <c r="X190" s="59" t="s">
        <v>179</v>
      </c>
      <c r="Y190" s="60" t="s">
        <v>179</v>
      </c>
      <c r="Z190" s="59">
        <v>0.94974899999999995</v>
      </c>
      <c r="AA190" s="60">
        <v>1.0012369999999999</v>
      </c>
      <c r="AB190" s="59">
        <v>1.496532</v>
      </c>
      <c r="AC190" s="60">
        <v>1.527094</v>
      </c>
      <c r="AD190" s="59">
        <v>-1.1400889999999999</v>
      </c>
      <c r="AE190" s="60" t="s">
        <v>179</v>
      </c>
      <c r="AF190" s="59">
        <v>0.338694</v>
      </c>
      <c r="AG190" s="60">
        <v>1.7882290000000001</v>
      </c>
      <c r="AH190" s="59" t="s">
        <v>179</v>
      </c>
      <c r="AI190" s="60">
        <v>0.82709200000000005</v>
      </c>
      <c r="AJ190" s="59">
        <v>1.050465</v>
      </c>
      <c r="AK190" s="60">
        <v>0.46631699999999998</v>
      </c>
      <c r="AL190" s="59" t="s">
        <v>179</v>
      </c>
      <c r="AM190" s="60">
        <v>1.1757029999999999</v>
      </c>
      <c r="AN190" s="59">
        <v>0.97021599999999997</v>
      </c>
      <c r="AO190" s="60" t="s">
        <v>179</v>
      </c>
      <c r="AP190" s="59" t="s">
        <v>179</v>
      </c>
      <c r="AQ190" s="60">
        <v>1.0039910000000001</v>
      </c>
      <c r="AR190" s="59">
        <v>1.0089060000000001</v>
      </c>
      <c r="AS190" s="60">
        <v>0.73650599999999999</v>
      </c>
      <c r="AT190" s="59" t="s">
        <v>179</v>
      </c>
      <c r="AU190" s="60">
        <v>0.94196800000000003</v>
      </c>
      <c r="AV190" s="59">
        <v>1.4213389999999999</v>
      </c>
      <c r="AW190" s="60" t="s">
        <v>179</v>
      </c>
      <c r="AX190" s="59" t="s">
        <v>179</v>
      </c>
      <c r="AY190" s="60" t="s">
        <v>179</v>
      </c>
      <c r="AZ190" s="59" t="s">
        <v>179</v>
      </c>
      <c r="BA190" s="60">
        <v>0.91382200000000002</v>
      </c>
      <c r="BB190" s="59" t="s">
        <v>179</v>
      </c>
      <c r="BC190" s="60" t="s">
        <v>179</v>
      </c>
      <c r="BD190" s="59" t="s">
        <v>179</v>
      </c>
      <c r="BE190" s="60">
        <v>-0.14249200000000001</v>
      </c>
    </row>
    <row r="191" spans="1:57" x14ac:dyDescent="0.35">
      <c r="A191" s="240"/>
      <c r="B191" s="240"/>
      <c r="C191" s="58" t="s">
        <v>367</v>
      </c>
      <c r="D191" s="59">
        <v>1.248578</v>
      </c>
      <c r="E191" s="60">
        <v>0.172232</v>
      </c>
      <c r="F191" s="59">
        <v>1.149796</v>
      </c>
      <c r="G191" s="60">
        <v>1.4613290000000001</v>
      </c>
      <c r="H191" s="59" t="s">
        <v>179</v>
      </c>
      <c r="I191" s="60" t="s">
        <v>179</v>
      </c>
      <c r="J191" s="59">
        <v>0.96711000000000003</v>
      </c>
      <c r="K191" s="60">
        <v>2.9288270000000001</v>
      </c>
      <c r="L191" s="59" t="s">
        <v>179</v>
      </c>
      <c r="M191" s="60">
        <v>0.88464900000000002</v>
      </c>
      <c r="N191" s="59">
        <v>1.064656</v>
      </c>
      <c r="O191" s="60">
        <v>0.239678</v>
      </c>
      <c r="P191" s="59">
        <v>1.2181869999999999</v>
      </c>
      <c r="Q191" s="60" t="s">
        <v>179</v>
      </c>
      <c r="R191" s="59">
        <v>0.85341500000000003</v>
      </c>
      <c r="S191" s="60">
        <v>1.7295240000000001</v>
      </c>
      <c r="T191" s="59" t="s">
        <v>179</v>
      </c>
      <c r="U191" s="60">
        <v>0.72363900000000003</v>
      </c>
      <c r="V191" s="59">
        <v>-0.48715199999999997</v>
      </c>
      <c r="W191" s="60">
        <v>1.6315919999999999</v>
      </c>
      <c r="X191" s="59" t="s">
        <v>179</v>
      </c>
      <c r="Y191" s="60" t="s">
        <v>179</v>
      </c>
      <c r="Z191" s="59">
        <v>0.75336499999999995</v>
      </c>
      <c r="AA191" s="60">
        <v>2.1159780000000001</v>
      </c>
      <c r="AB191" s="59">
        <v>1.150385</v>
      </c>
      <c r="AC191" s="60">
        <v>0.67266499999999996</v>
      </c>
      <c r="AD191" s="59">
        <v>2.3289589999999998</v>
      </c>
      <c r="AE191" s="60" t="s">
        <v>179</v>
      </c>
      <c r="AF191" s="59">
        <v>1.2958179999999999</v>
      </c>
      <c r="AG191" s="60">
        <v>1.218534</v>
      </c>
      <c r="AH191" s="59" t="s">
        <v>179</v>
      </c>
      <c r="AI191" s="60">
        <v>0.219253</v>
      </c>
      <c r="AJ191" s="59">
        <v>1.064856</v>
      </c>
      <c r="AK191" s="60">
        <v>-0.319434</v>
      </c>
      <c r="AL191" s="59" t="s">
        <v>179</v>
      </c>
      <c r="AM191" s="60">
        <v>1.166949</v>
      </c>
      <c r="AN191" s="59">
        <v>1.355046</v>
      </c>
      <c r="AO191" s="60" t="s">
        <v>179</v>
      </c>
      <c r="AP191" s="59" t="s">
        <v>179</v>
      </c>
      <c r="AQ191" s="60">
        <v>0.82687900000000003</v>
      </c>
      <c r="AR191" s="59">
        <v>1.433233</v>
      </c>
      <c r="AS191" s="60">
        <v>-3.8497000000000003E-2</v>
      </c>
      <c r="AT191" s="59" t="s">
        <v>179</v>
      </c>
      <c r="AU191" s="60">
        <v>0.57750500000000005</v>
      </c>
      <c r="AV191" s="59">
        <v>2.06826</v>
      </c>
      <c r="AW191" s="60" t="s">
        <v>179</v>
      </c>
      <c r="AX191" s="59" t="s">
        <v>179</v>
      </c>
      <c r="AY191" s="60" t="s">
        <v>179</v>
      </c>
      <c r="AZ191" s="59" t="s">
        <v>179</v>
      </c>
      <c r="BA191" s="60">
        <v>2.7421639999999998</v>
      </c>
      <c r="BB191" s="59" t="s">
        <v>179</v>
      </c>
      <c r="BC191" s="60" t="s">
        <v>179</v>
      </c>
      <c r="BD191" s="59" t="s">
        <v>179</v>
      </c>
      <c r="BE191" s="60">
        <v>1.084857</v>
      </c>
    </row>
    <row r="192" spans="1:57" x14ac:dyDescent="0.35">
      <c r="A192" s="240"/>
      <c r="B192" s="240"/>
      <c r="C192" s="58" t="s">
        <v>368</v>
      </c>
      <c r="D192" s="59">
        <v>0.76275000000000004</v>
      </c>
      <c r="E192" s="60">
        <v>0.90674100000000002</v>
      </c>
      <c r="F192" s="59">
        <v>0.27973100000000001</v>
      </c>
      <c r="G192" s="60">
        <v>1.278408</v>
      </c>
      <c r="H192" s="59" t="s">
        <v>179</v>
      </c>
      <c r="I192" s="60" t="s">
        <v>179</v>
      </c>
      <c r="J192" s="59">
        <v>1.3591439999999999</v>
      </c>
      <c r="K192" s="60">
        <v>-0.46887200000000001</v>
      </c>
      <c r="L192" s="59" t="s">
        <v>179</v>
      </c>
      <c r="M192" s="60">
        <v>2.24553</v>
      </c>
      <c r="N192" s="59">
        <v>0.58305300000000004</v>
      </c>
      <c r="O192" s="60">
        <v>0.71731999999999996</v>
      </c>
      <c r="P192" s="59">
        <v>2.6822300000000001</v>
      </c>
      <c r="Q192" s="60" t="s">
        <v>179</v>
      </c>
      <c r="R192" s="59">
        <v>0.30634899999999998</v>
      </c>
      <c r="S192" s="60">
        <v>2.1888920000000001</v>
      </c>
      <c r="T192" s="59" t="s">
        <v>179</v>
      </c>
      <c r="U192" s="60">
        <v>0.62346900000000005</v>
      </c>
      <c r="V192" s="59">
        <v>1.1333800000000001</v>
      </c>
      <c r="W192" s="60">
        <v>1.682264</v>
      </c>
      <c r="X192" s="59" t="s">
        <v>179</v>
      </c>
      <c r="Y192" s="60" t="s">
        <v>179</v>
      </c>
      <c r="Z192" s="59">
        <v>0.55705700000000002</v>
      </c>
      <c r="AA192" s="60">
        <v>0.82918700000000001</v>
      </c>
      <c r="AB192" s="59">
        <v>0.75816799999999995</v>
      </c>
      <c r="AC192" s="60">
        <v>1.7052659999999999</v>
      </c>
      <c r="AD192" s="59">
        <v>-1.3586039999999999</v>
      </c>
      <c r="AE192" s="60" t="s">
        <v>179</v>
      </c>
      <c r="AF192" s="59">
        <v>0.45218999999999998</v>
      </c>
      <c r="AG192" s="60">
        <v>1.8996710000000001</v>
      </c>
      <c r="AH192" s="59" t="s">
        <v>179</v>
      </c>
      <c r="AI192" s="60">
        <v>0.79399500000000001</v>
      </c>
      <c r="AJ192" s="59">
        <v>1.107003</v>
      </c>
      <c r="AK192" s="60">
        <v>0.69041600000000003</v>
      </c>
      <c r="AL192" s="59" t="s">
        <v>179</v>
      </c>
      <c r="AM192" s="60">
        <v>1.1428160000000001</v>
      </c>
      <c r="AN192" s="59">
        <v>0.58451500000000001</v>
      </c>
      <c r="AO192" s="60" t="s">
        <v>179</v>
      </c>
      <c r="AP192" s="59" t="s">
        <v>179</v>
      </c>
      <c r="AQ192" s="60">
        <v>0.767293</v>
      </c>
      <c r="AR192" s="59">
        <v>0.65914099999999998</v>
      </c>
      <c r="AS192" s="60">
        <v>1.0216130000000001</v>
      </c>
      <c r="AT192" s="59" t="s">
        <v>179</v>
      </c>
      <c r="AU192" s="60">
        <v>0.89547100000000002</v>
      </c>
      <c r="AV192" s="59">
        <v>0.25239099999999998</v>
      </c>
      <c r="AW192" s="60" t="s">
        <v>179</v>
      </c>
      <c r="AX192" s="59" t="s">
        <v>179</v>
      </c>
      <c r="AY192" s="60" t="s">
        <v>179</v>
      </c>
      <c r="AZ192" s="59" t="s">
        <v>179</v>
      </c>
      <c r="BA192" s="60">
        <v>-3.7291999999999999E-2</v>
      </c>
      <c r="BB192" s="59" t="s">
        <v>179</v>
      </c>
      <c r="BC192" s="60" t="s">
        <v>179</v>
      </c>
      <c r="BD192" s="59" t="s">
        <v>179</v>
      </c>
      <c r="BE192" s="60">
        <v>1.1247549999999999</v>
      </c>
    </row>
    <row r="193" spans="1:57" x14ac:dyDescent="0.35">
      <c r="A193" s="240"/>
      <c r="B193" s="240"/>
      <c r="C193" s="58" t="s">
        <v>369</v>
      </c>
      <c r="D193" s="59">
        <v>0.96837200000000001</v>
      </c>
      <c r="E193" s="60">
        <v>1.350074</v>
      </c>
      <c r="F193" s="59">
        <v>1.6821120000000001</v>
      </c>
      <c r="G193" s="60">
        <v>0.72964700000000005</v>
      </c>
      <c r="H193" s="59" t="s">
        <v>179</v>
      </c>
      <c r="I193" s="60" t="s">
        <v>179</v>
      </c>
      <c r="J193" s="59">
        <v>2.1862550000000001</v>
      </c>
      <c r="K193" s="60">
        <v>2.508937</v>
      </c>
      <c r="L193" s="59" t="s">
        <v>179</v>
      </c>
      <c r="M193" s="60">
        <v>2.53254</v>
      </c>
      <c r="N193" s="59">
        <v>0.87905800000000001</v>
      </c>
      <c r="O193" s="60">
        <v>1.1606479999999999</v>
      </c>
      <c r="P193" s="59">
        <v>-0.82163900000000001</v>
      </c>
      <c r="Q193" s="60" t="s">
        <v>179</v>
      </c>
      <c r="R193" s="59">
        <v>-0.182251</v>
      </c>
      <c r="S193" s="60">
        <v>2.532276</v>
      </c>
      <c r="T193" s="59" t="s">
        <v>179</v>
      </c>
      <c r="U193" s="60">
        <v>0.93894699999999998</v>
      </c>
      <c r="V193" s="59">
        <v>-0.412296</v>
      </c>
      <c r="W193" s="60">
        <v>3.9303720000000002</v>
      </c>
      <c r="X193" s="59" t="s">
        <v>179</v>
      </c>
      <c r="Y193" s="60" t="s">
        <v>179</v>
      </c>
      <c r="Z193" s="59">
        <v>0.38391599999999998</v>
      </c>
      <c r="AA193" s="60">
        <v>1.1192139999999999</v>
      </c>
      <c r="AB193" s="59">
        <v>0.94689800000000002</v>
      </c>
      <c r="AC193" s="60">
        <v>1.3120799999999999</v>
      </c>
      <c r="AD193" s="59">
        <v>3.9521320000000002</v>
      </c>
      <c r="AE193" s="60" t="s">
        <v>179</v>
      </c>
      <c r="AF193" s="59">
        <v>1.201951</v>
      </c>
      <c r="AG193" s="60">
        <v>1.416355</v>
      </c>
      <c r="AH193" s="59" t="s">
        <v>179</v>
      </c>
      <c r="AI193" s="60">
        <v>0.37422299999999997</v>
      </c>
      <c r="AJ193" s="59">
        <v>1.5183279999999999</v>
      </c>
      <c r="AK193" s="60">
        <v>0.33766400000000002</v>
      </c>
      <c r="AL193" s="59" t="s">
        <v>179</v>
      </c>
      <c r="AM193" s="60">
        <v>0.60651600000000006</v>
      </c>
      <c r="AN193" s="59">
        <v>1.145524</v>
      </c>
      <c r="AO193" s="60" t="s">
        <v>179</v>
      </c>
      <c r="AP193" s="59" t="s">
        <v>179</v>
      </c>
      <c r="AQ193" s="60">
        <v>0.78493900000000005</v>
      </c>
      <c r="AR193" s="59">
        <v>1.111785</v>
      </c>
      <c r="AS193" s="60">
        <v>1.095669</v>
      </c>
      <c r="AT193" s="59" t="s">
        <v>179</v>
      </c>
      <c r="AU193" s="60">
        <v>0.971584</v>
      </c>
      <c r="AV193" s="59">
        <v>1.2409349999999999</v>
      </c>
      <c r="AW193" s="60" t="s">
        <v>179</v>
      </c>
      <c r="AX193" s="59" t="s">
        <v>179</v>
      </c>
      <c r="AY193" s="60" t="s">
        <v>179</v>
      </c>
      <c r="AZ193" s="59" t="s">
        <v>179</v>
      </c>
      <c r="BA193" s="60">
        <v>-5.1386000000000001E-2</v>
      </c>
      <c r="BB193" s="59" t="s">
        <v>179</v>
      </c>
      <c r="BC193" s="60" t="s">
        <v>179</v>
      </c>
      <c r="BD193" s="59" t="s">
        <v>179</v>
      </c>
      <c r="BE193" s="60">
        <v>1.6691180000000001</v>
      </c>
    </row>
    <row r="194" spans="1:57" x14ac:dyDescent="0.35">
      <c r="A194" s="240"/>
      <c r="B194" s="240"/>
      <c r="C194" s="58" t="s">
        <v>370</v>
      </c>
      <c r="D194" s="59">
        <v>-2.8510000000000001E-2</v>
      </c>
      <c r="E194" s="60">
        <v>0.83618000000000003</v>
      </c>
      <c r="F194" s="59">
        <v>-5.4235999999999999E-2</v>
      </c>
      <c r="G194" s="60">
        <v>0.92948699999999995</v>
      </c>
      <c r="H194" s="59" t="s">
        <v>179</v>
      </c>
      <c r="I194" s="60" t="s">
        <v>179</v>
      </c>
      <c r="J194" s="59">
        <v>1.7080420000000001</v>
      </c>
      <c r="K194" s="60">
        <v>0.51421899999999998</v>
      </c>
      <c r="L194" s="59" t="s">
        <v>179</v>
      </c>
      <c r="M194" s="60">
        <v>-0.83645000000000003</v>
      </c>
      <c r="N194" s="59">
        <v>0.55543299999999995</v>
      </c>
      <c r="O194" s="60">
        <v>-0.33898699999999998</v>
      </c>
      <c r="P194" s="59">
        <v>-3.8824999999999998E-2</v>
      </c>
      <c r="Q194" s="60" t="s">
        <v>179</v>
      </c>
      <c r="R194" s="59">
        <v>-3.5645289999999998</v>
      </c>
      <c r="S194" s="60">
        <v>3.8180710000000002</v>
      </c>
      <c r="T194" s="59" t="s">
        <v>179</v>
      </c>
      <c r="U194" s="60">
        <v>1.2555750000000001</v>
      </c>
      <c r="V194" s="59">
        <v>1.149186</v>
      </c>
      <c r="W194" s="60">
        <v>2.0904889999999998</v>
      </c>
      <c r="X194" s="59" t="s">
        <v>179</v>
      </c>
      <c r="Y194" s="60" t="s">
        <v>179</v>
      </c>
      <c r="Z194" s="59">
        <v>-0.157725</v>
      </c>
      <c r="AA194" s="60">
        <v>-5.7940589999999998</v>
      </c>
      <c r="AB194" s="59">
        <v>0.68030299999999999</v>
      </c>
      <c r="AC194" s="60">
        <v>1.2068859999999999</v>
      </c>
      <c r="AD194" s="59">
        <v>-0.78110999999999997</v>
      </c>
      <c r="AE194" s="60" t="s">
        <v>179</v>
      </c>
      <c r="AF194" s="59">
        <v>0.17401700000000001</v>
      </c>
      <c r="AG194" s="60">
        <v>1.5338499999999999</v>
      </c>
      <c r="AH194" s="59" t="s">
        <v>179</v>
      </c>
      <c r="AI194" s="60">
        <v>1.1420349999999999</v>
      </c>
      <c r="AJ194" s="59">
        <v>1.1559170000000001</v>
      </c>
      <c r="AK194" s="60">
        <v>-0.56778899999999999</v>
      </c>
      <c r="AL194" s="59" t="s">
        <v>179</v>
      </c>
      <c r="AM194" s="60">
        <v>0.42457600000000001</v>
      </c>
      <c r="AN194" s="59">
        <v>0.35475600000000002</v>
      </c>
      <c r="AO194" s="60" t="s">
        <v>179</v>
      </c>
      <c r="AP194" s="59" t="s">
        <v>179</v>
      </c>
      <c r="AQ194" s="60">
        <v>0.52198999999999995</v>
      </c>
      <c r="AR194" s="59">
        <v>-0.17458599999999999</v>
      </c>
      <c r="AS194" s="60">
        <v>0.58226699999999998</v>
      </c>
      <c r="AT194" s="59" t="s">
        <v>179</v>
      </c>
      <c r="AU194" s="60">
        <v>0.37262299999999998</v>
      </c>
      <c r="AV194" s="59">
        <v>-1.5431220000000001</v>
      </c>
      <c r="AW194" s="60" t="s">
        <v>179</v>
      </c>
      <c r="AX194" s="59" t="s">
        <v>179</v>
      </c>
      <c r="AY194" s="60" t="s">
        <v>179</v>
      </c>
      <c r="AZ194" s="59" t="s">
        <v>179</v>
      </c>
      <c r="BA194" s="60">
        <v>5.3704219999999996</v>
      </c>
      <c r="BB194" s="59" t="s">
        <v>179</v>
      </c>
      <c r="BC194" s="60" t="s">
        <v>179</v>
      </c>
      <c r="BD194" s="59" t="s">
        <v>179</v>
      </c>
      <c r="BE194" s="60">
        <v>0.36122300000000002</v>
      </c>
    </row>
    <row r="195" spans="1:57" x14ac:dyDescent="0.35">
      <c r="A195" s="240"/>
      <c r="B195" s="240"/>
      <c r="C195" s="58" t="s">
        <v>371</v>
      </c>
      <c r="D195" s="59">
        <v>0.36582999999999999</v>
      </c>
      <c r="E195" s="60">
        <v>0.42404399999999998</v>
      </c>
      <c r="F195" s="59">
        <v>0.41916900000000001</v>
      </c>
      <c r="G195" s="60">
        <v>4.0377999999999997E-2</v>
      </c>
      <c r="H195" s="59">
        <v>2.7578149999999999</v>
      </c>
      <c r="I195" s="60" t="s">
        <v>179</v>
      </c>
      <c r="J195" s="59">
        <v>0.395625</v>
      </c>
      <c r="K195" s="60">
        <v>-0.28609800000000002</v>
      </c>
      <c r="L195" s="59">
        <v>-0.99375199999999997</v>
      </c>
      <c r="M195" s="60">
        <v>2.6992159999999998</v>
      </c>
      <c r="N195" s="59">
        <v>0.41802699999999998</v>
      </c>
      <c r="O195" s="60">
        <v>0.74568699999999999</v>
      </c>
      <c r="P195" s="59">
        <v>0.94575699999999996</v>
      </c>
      <c r="Q195" s="60">
        <v>-0.127885</v>
      </c>
      <c r="R195" s="59">
        <v>2.7271190000000001</v>
      </c>
      <c r="S195" s="60">
        <v>1.48048</v>
      </c>
      <c r="T195" s="59">
        <v>2.4798550000000001</v>
      </c>
      <c r="U195" s="60">
        <v>7.0151000000000005E-2</v>
      </c>
      <c r="V195" s="59">
        <v>1.043504</v>
      </c>
      <c r="W195" s="60">
        <v>2.0218250000000002</v>
      </c>
      <c r="X195" s="59">
        <v>0.51131400000000005</v>
      </c>
      <c r="Y195" s="60">
        <v>2.0943879999999999</v>
      </c>
      <c r="Z195" s="59">
        <v>-4.5947000000000002E-2</v>
      </c>
      <c r="AA195" s="60">
        <v>-4.8567299999999998</v>
      </c>
      <c r="AB195" s="59">
        <v>0.78454999999999997</v>
      </c>
      <c r="AC195" s="60">
        <v>1.298975</v>
      </c>
      <c r="AD195" s="59">
        <v>0.87248400000000004</v>
      </c>
      <c r="AE195" s="60">
        <v>1.7935449999999999</v>
      </c>
      <c r="AF195" s="59">
        <v>1.1799040000000001</v>
      </c>
      <c r="AG195" s="60">
        <v>1.6423749999999999</v>
      </c>
      <c r="AH195" s="59">
        <v>0.24660899999999999</v>
      </c>
      <c r="AI195" s="60">
        <v>0.62025699999999995</v>
      </c>
      <c r="AJ195" s="59">
        <v>0.69001900000000005</v>
      </c>
      <c r="AK195" s="60">
        <v>0.26955499999999999</v>
      </c>
      <c r="AL195" s="59" t="s">
        <v>179</v>
      </c>
      <c r="AM195" s="60">
        <v>0.36961699999999997</v>
      </c>
      <c r="AN195" s="59">
        <v>0.29834100000000002</v>
      </c>
      <c r="AO195" s="60">
        <v>0.54066199999999998</v>
      </c>
      <c r="AP195" s="59">
        <v>1.069477</v>
      </c>
      <c r="AQ195" s="60">
        <v>0.463669</v>
      </c>
      <c r="AR195" s="59">
        <v>-0.17410200000000001</v>
      </c>
      <c r="AS195" s="60">
        <v>0.61848499999999995</v>
      </c>
      <c r="AT195" s="59" t="s">
        <v>179</v>
      </c>
      <c r="AU195" s="60">
        <v>0.38388899999999998</v>
      </c>
      <c r="AV195" s="59">
        <v>-3.7903039999999999</v>
      </c>
      <c r="AW195" s="60" t="s">
        <v>179</v>
      </c>
      <c r="AX195" s="59">
        <v>11.780249</v>
      </c>
      <c r="AY195" s="60" t="s">
        <v>179</v>
      </c>
      <c r="AZ195" s="59" t="s">
        <v>179</v>
      </c>
      <c r="BA195" s="60">
        <v>2.0376949999999998</v>
      </c>
      <c r="BB195" s="59">
        <v>0.45660699999999999</v>
      </c>
      <c r="BC195" s="60" t="s">
        <v>179</v>
      </c>
      <c r="BD195" s="59" t="s">
        <v>179</v>
      </c>
      <c r="BE195" s="60">
        <v>0.444021</v>
      </c>
    </row>
    <row r="196" spans="1:57" x14ac:dyDescent="0.35">
      <c r="A196" s="240"/>
      <c r="B196" s="240"/>
      <c r="C196" s="58" t="s">
        <v>372</v>
      </c>
      <c r="D196" s="59">
        <v>2.271779</v>
      </c>
      <c r="E196" s="60">
        <v>0.22681299999999999</v>
      </c>
      <c r="F196" s="59">
        <v>0.59951500000000002</v>
      </c>
      <c r="G196" s="60">
        <v>0.13178500000000001</v>
      </c>
      <c r="H196" s="59">
        <v>0.489261</v>
      </c>
      <c r="I196" s="60" t="s">
        <v>179</v>
      </c>
      <c r="J196" s="59">
        <v>2.9190670000000001</v>
      </c>
      <c r="K196" s="60">
        <v>0.41705199999999998</v>
      </c>
      <c r="L196" s="59">
        <v>-0.34053899999999998</v>
      </c>
      <c r="M196" s="60">
        <v>-0.467034</v>
      </c>
      <c r="N196" s="59">
        <v>0.15810299999999999</v>
      </c>
      <c r="O196" s="60">
        <v>0.19478000000000001</v>
      </c>
      <c r="P196" s="59">
        <v>0.53673000000000004</v>
      </c>
      <c r="Q196" s="60">
        <v>3.0669999999999999E-2</v>
      </c>
      <c r="R196" s="59">
        <v>-0.38287199999999999</v>
      </c>
      <c r="S196" s="60">
        <v>3.0658470000000002</v>
      </c>
      <c r="T196" s="59">
        <v>1.218011</v>
      </c>
      <c r="U196" s="60">
        <v>0.44480599999999998</v>
      </c>
      <c r="V196" s="59">
        <v>1.165065</v>
      </c>
      <c r="W196" s="60">
        <v>2.0758730000000001</v>
      </c>
      <c r="X196" s="59">
        <v>-1.1104989999999999</v>
      </c>
      <c r="Y196" s="60">
        <v>-0.38823200000000002</v>
      </c>
      <c r="Z196" s="59">
        <v>0.27864800000000001</v>
      </c>
      <c r="AA196" s="60">
        <v>1.9492210000000001</v>
      </c>
      <c r="AB196" s="59">
        <v>0.78569599999999995</v>
      </c>
      <c r="AC196" s="60">
        <v>0.91569100000000003</v>
      </c>
      <c r="AD196" s="59">
        <v>2.356395</v>
      </c>
      <c r="AE196" s="60">
        <v>3.498459</v>
      </c>
      <c r="AF196" s="59">
        <v>0.434255</v>
      </c>
      <c r="AG196" s="60">
        <v>0.58907100000000001</v>
      </c>
      <c r="AH196" s="59">
        <v>0.21909200000000001</v>
      </c>
      <c r="AI196" s="60">
        <v>0.40367700000000001</v>
      </c>
      <c r="AJ196" s="59">
        <v>0.520455</v>
      </c>
      <c r="AK196" s="60">
        <v>0.71103899999999998</v>
      </c>
      <c r="AL196" s="59" t="s">
        <v>179</v>
      </c>
      <c r="AM196" s="60">
        <v>0.92410700000000001</v>
      </c>
      <c r="AN196" s="59">
        <v>0.85067800000000005</v>
      </c>
      <c r="AO196" s="60">
        <v>0.220221</v>
      </c>
      <c r="AP196" s="59">
        <v>0.39461000000000002</v>
      </c>
      <c r="AQ196" s="60">
        <v>0.72583600000000004</v>
      </c>
      <c r="AR196" s="59">
        <v>0.88806399999999996</v>
      </c>
      <c r="AS196" s="60">
        <v>0.59003799999999995</v>
      </c>
      <c r="AT196" s="59" t="s">
        <v>179</v>
      </c>
      <c r="AU196" s="60">
        <v>0.85883600000000004</v>
      </c>
      <c r="AV196" s="59">
        <v>-0.38629999999999998</v>
      </c>
      <c r="AW196" s="60" t="s">
        <v>179</v>
      </c>
      <c r="AX196" s="59">
        <v>0.49501899999999999</v>
      </c>
      <c r="AY196" s="60" t="s">
        <v>179</v>
      </c>
      <c r="AZ196" s="59" t="s">
        <v>179</v>
      </c>
      <c r="BA196" s="60">
        <v>0.38897599999999999</v>
      </c>
      <c r="BB196" s="59">
        <v>2.0493380000000001</v>
      </c>
      <c r="BC196" s="60" t="s">
        <v>179</v>
      </c>
      <c r="BD196" s="59" t="s">
        <v>179</v>
      </c>
      <c r="BE196" s="60">
        <v>0.431641</v>
      </c>
    </row>
    <row r="197" spans="1:57" x14ac:dyDescent="0.35">
      <c r="A197" s="240"/>
      <c r="B197" s="240"/>
      <c r="C197" s="58" t="s">
        <v>373</v>
      </c>
      <c r="D197" s="59">
        <v>6.5984000000000001E-2</v>
      </c>
      <c r="E197" s="60">
        <v>0.34477200000000002</v>
      </c>
      <c r="F197" s="59">
        <v>0.20607400000000001</v>
      </c>
      <c r="G197" s="60">
        <v>0.40981299999999998</v>
      </c>
      <c r="H197" s="59">
        <v>1.839742</v>
      </c>
      <c r="I197" s="60" t="s">
        <v>179</v>
      </c>
      <c r="J197" s="59">
        <v>-0.77060399999999996</v>
      </c>
      <c r="K197" s="60">
        <v>0.73168699999999998</v>
      </c>
      <c r="L197" s="59">
        <v>1.167915</v>
      </c>
      <c r="M197" s="60">
        <v>9.7081000000000001E-2</v>
      </c>
      <c r="N197" s="59">
        <v>0.18163199999999999</v>
      </c>
      <c r="O197" s="60">
        <v>1.2961E-2</v>
      </c>
      <c r="P197" s="59">
        <v>0.57949300000000004</v>
      </c>
      <c r="Q197" s="60">
        <v>-0.419157</v>
      </c>
      <c r="R197" s="59">
        <v>0.92958499999999999</v>
      </c>
      <c r="S197" s="60">
        <v>1.4354849999999999</v>
      </c>
      <c r="T197" s="59">
        <v>0.74850499999999998</v>
      </c>
      <c r="U197" s="60">
        <v>0.82815300000000003</v>
      </c>
      <c r="V197" s="59">
        <v>0.24337700000000001</v>
      </c>
      <c r="W197" s="60">
        <v>1.870552</v>
      </c>
      <c r="X197" s="59">
        <v>1.2977190000000001</v>
      </c>
      <c r="Y197" s="60">
        <v>2.5044659999999999</v>
      </c>
      <c r="Z197" s="59">
        <v>6.6648230000000002</v>
      </c>
      <c r="AA197" s="60">
        <v>1.8685</v>
      </c>
      <c r="AB197" s="59">
        <v>0.71237600000000001</v>
      </c>
      <c r="AC197" s="60">
        <v>0.676701</v>
      </c>
      <c r="AD197" s="59">
        <v>1.233616</v>
      </c>
      <c r="AE197" s="60">
        <v>1.441684</v>
      </c>
      <c r="AF197" s="59">
        <v>0.677616</v>
      </c>
      <c r="AG197" s="60">
        <v>1.8915360000000001</v>
      </c>
      <c r="AH197" s="59">
        <v>0.241843</v>
      </c>
      <c r="AI197" s="60">
        <v>0.76005599999999995</v>
      </c>
      <c r="AJ197" s="59">
        <v>0.84160900000000005</v>
      </c>
      <c r="AK197" s="60">
        <v>0.11286599999999999</v>
      </c>
      <c r="AL197" s="59" t="s">
        <v>179</v>
      </c>
      <c r="AM197" s="60">
        <v>0.12870899999999999</v>
      </c>
      <c r="AN197" s="59">
        <v>0.67902099999999999</v>
      </c>
      <c r="AO197" s="60">
        <v>0.34717599999999998</v>
      </c>
      <c r="AP197" s="59">
        <v>0.55935699999999999</v>
      </c>
      <c r="AQ197" s="60">
        <v>0.45057999999999998</v>
      </c>
      <c r="AR197" s="59">
        <v>0.75937500000000002</v>
      </c>
      <c r="AS197" s="60">
        <v>0.39191100000000001</v>
      </c>
      <c r="AT197" s="59" t="s">
        <v>179</v>
      </c>
      <c r="AU197" s="60">
        <v>0.56129399999999996</v>
      </c>
      <c r="AV197" s="59">
        <v>0.76678500000000005</v>
      </c>
      <c r="AW197" s="60" t="s">
        <v>179</v>
      </c>
      <c r="AX197" s="59">
        <v>8.8593430000000009</v>
      </c>
      <c r="AY197" s="60" t="s">
        <v>179</v>
      </c>
      <c r="AZ197" s="59" t="s">
        <v>179</v>
      </c>
      <c r="BA197" s="60">
        <v>1.3691930000000001</v>
      </c>
      <c r="BB197" s="59">
        <v>-2.7796699999999999</v>
      </c>
      <c r="BC197" s="60" t="s">
        <v>179</v>
      </c>
      <c r="BD197" s="59" t="s">
        <v>179</v>
      </c>
      <c r="BE197" s="60">
        <v>0.39465299999999998</v>
      </c>
    </row>
    <row r="198" spans="1:57" x14ac:dyDescent="0.35">
      <c r="A198" s="240"/>
      <c r="B198" s="240"/>
      <c r="C198" s="58" t="s">
        <v>374</v>
      </c>
      <c r="D198" s="59">
        <v>1.673673</v>
      </c>
      <c r="E198" s="60">
        <v>0.78864900000000004</v>
      </c>
      <c r="F198" s="59">
        <v>-0.20009199999999999</v>
      </c>
      <c r="G198" s="60">
        <v>6.8806000000000006E-2</v>
      </c>
      <c r="H198" s="59">
        <v>3.0792519999999999</v>
      </c>
      <c r="I198" s="60" t="s">
        <v>179</v>
      </c>
      <c r="J198" s="59">
        <v>2.381027</v>
      </c>
      <c r="K198" s="60">
        <v>1.503E-2</v>
      </c>
      <c r="L198" s="59">
        <v>0.90038499999999999</v>
      </c>
      <c r="M198" s="60">
        <v>1.7392989999999999</v>
      </c>
      <c r="N198" s="59">
        <v>0.56411</v>
      </c>
      <c r="O198" s="60">
        <v>-0.81638200000000005</v>
      </c>
      <c r="P198" s="59">
        <v>0.54386000000000001</v>
      </c>
      <c r="Q198" s="60">
        <v>0.51144400000000001</v>
      </c>
      <c r="R198" s="59">
        <v>2.7029420000000002</v>
      </c>
      <c r="S198" s="60">
        <v>2.1085660000000002</v>
      </c>
      <c r="T198" s="59">
        <v>1.0085040000000001</v>
      </c>
      <c r="U198" s="60">
        <v>0.162496</v>
      </c>
      <c r="V198" s="59">
        <v>0.81386000000000003</v>
      </c>
      <c r="W198" s="60">
        <v>1.9081349999999999</v>
      </c>
      <c r="X198" s="59">
        <v>-1.319337</v>
      </c>
      <c r="Y198" s="60">
        <v>1.0248930000000001</v>
      </c>
      <c r="Z198" s="59">
        <v>-4.3565899999999997</v>
      </c>
      <c r="AA198" s="60">
        <v>2.6082010000000002</v>
      </c>
      <c r="AB198" s="59">
        <v>0.41082800000000003</v>
      </c>
      <c r="AC198" s="60">
        <v>1.3842350000000001</v>
      </c>
      <c r="AD198" s="59">
        <v>1.510292</v>
      </c>
      <c r="AE198" s="60">
        <v>1.2526269999999999</v>
      </c>
      <c r="AF198" s="59">
        <v>0.789605</v>
      </c>
      <c r="AG198" s="60">
        <v>1.68699</v>
      </c>
      <c r="AH198" s="59">
        <v>0.67167699999999997</v>
      </c>
      <c r="AI198" s="60">
        <v>0.59106099999999995</v>
      </c>
      <c r="AJ198" s="59">
        <v>0.55704699999999996</v>
      </c>
      <c r="AK198" s="60">
        <v>0.243562</v>
      </c>
      <c r="AL198" s="59" t="s">
        <v>179</v>
      </c>
      <c r="AM198" s="60">
        <v>0.91821299999999995</v>
      </c>
      <c r="AN198" s="59">
        <v>0.74894700000000003</v>
      </c>
      <c r="AO198" s="60">
        <v>0.13131799999999999</v>
      </c>
      <c r="AP198" s="59">
        <v>-8.9631000000000002E-2</v>
      </c>
      <c r="AQ198" s="60">
        <v>0.51067700000000005</v>
      </c>
      <c r="AR198" s="59">
        <v>0.856908</v>
      </c>
      <c r="AS198" s="60">
        <v>0.41874899999999998</v>
      </c>
      <c r="AT198" s="59" t="s">
        <v>179</v>
      </c>
      <c r="AU198" s="60">
        <v>0.72058500000000003</v>
      </c>
      <c r="AV198" s="59">
        <v>2.74966</v>
      </c>
      <c r="AW198" s="60" t="s">
        <v>179</v>
      </c>
      <c r="AX198" s="59">
        <v>1.132525</v>
      </c>
      <c r="AY198" s="60" t="s">
        <v>179</v>
      </c>
      <c r="AZ198" s="59" t="s">
        <v>179</v>
      </c>
      <c r="BA198" s="60">
        <v>1.687403</v>
      </c>
      <c r="BB198" s="59">
        <v>3.3123149999999999</v>
      </c>
      <c r="BC198" s="60" t="s">
        <v>179</v>
      </c>
      <c r="BD198" s="59" t="s">
        <v>179</v>
      </c>
      <c r="BE198" s="60">
        <v>1.4032389999999999</v>
      </c>
    </row>
    <row r="199" spans="1:57" x14ac:dyDescent="0.35">
      <c r="A199" s="240"/>
      <c r="B199" s="240"/>
      <c r="C199" s="58" t="s">
        <v>375</v>
      </c>
      <c r="D199" s="59">
        <v>0.70103099999999996</v>
      </c>
      <c r="E199" s="60">
        <v>0.74126199999999998</v>
      </c>
      <c r="F199" s="59">
        <v>0.70033299999999998</v>
      </c>
      <c r="G199" s="60">
        <v>0.69629300000000005</v>
      </c>
      <c r="H199" s="59">
        <v>1.1847460000000001</v>
      </c>
      <c r="I199" s="60" t="s">
        <v>179</v>
      </c>
      <c r="J199" s="59">
        <v>0.70795799999999998</v>
      </c>
      <c r="K199" s="60">
        <v>2.7080129999999998</v>
      </c>
      <c r="L199" s="59">
        <v>1.7000919999999999</v>
      </c>
      <c r="M199" s="60">
        <v>0.31776300000000002</v>
      </c>
      <c r="N199" s="59">
        <v>0.24557100000000001</v>
      </c>
      <c r="O199" s="60">
        <v>1.3587689999999999</v>
      </c>
      <c r="P199" s="59">
        <v>0.57336500000000001</v>
      </c>
      <c r="Q199" s="60">
        <v>-0.53916900000000001</v>
      </c>
      <c r="R199" s="59">
        <v>0.995529</v>
      </c>
      <c r="S199" s="60">
        <v>2.119151</v>
      </c>
      <c r="T199" s="59">
        <v>1.2140200000000001</v>
      </c>
      <c r="U199" s="60">
        <v>-9.0100000000000006E-3</v>
      </c>
      <c r="V199" s="59">
        <v>1.241617</v>
      </c>
      <c r="W199" s="60">
        <v>2.0201519999999999</v>
      </c>
      <c r="X199" s="59">
        <v>-1.2026E-2</v>
      </c>
      <c r="Y199" s="60">
        <v>-0.60133999999999999</v>
      </c>
      <c r="Z199" s="59">
        <v>1.1392070000000001</v>
      </c>
      <c r="AA199" s="60">
        <v>1.38835</v>
      </c>
      <c r="AB199" s="59">
        <v>1.114967</v>
      </c>
      <c r="AC199" s="60">
        <v>0.89844999999999997</v>
      </c>
      <c r="AD199" s="59">
        <v>-0.13699</v>
      </c>
      <c r="AE199" s="60">
        <v>2.1591369999999999</v>
      </c>
      <c r="AF199" s="59">
        <v>1.199317</v>
      </c>
      <c r="AG199" s="60">
        <v>1.1980980000000001</v>
      </c>
      <c r="AH199" s="59">
        <v>1.1197440000000001</v>
      </c>
      <c r="AI199" s="60">
        <v>0.73833599999999999</v>
      </c>
      <c r="AJ199" s="59">
        <v>-0.55633900000000003</v>
      </c>
      <c r="AK199" s="60">
        <v>-0.282476</v>
      </c>
      <c r="AL199" s="59" t="s">
        <v>179</v>
      </c>
      <c r="AM199" s="60">
        <v>0.35615200000000002</v>
      </c>
      <c r="AN199" s="59">
        <v>1.6678470000000001</v>
      </c>
      <c r="AO199" s="60">
        <v>0.76169299999999995</v>
      </c>
      <c r="AP199" s="59">
        <v>0.77921099999999999</v>
      </c>
      <c r="AQ199" s="60">
        <v>1.1972879999999999</v>
      </c>
      <c r="AR199" s="59">
        <v>1.5711139999999999</v>
      </c>
      <c r="AS199" s="60">
        <v>0.67293499999999995</v>
      </c>
      <c r="AT199" s="59" t="s">
        <v>179</v>
      </c>
      <c r="AU199" s="60">
        <v>1.164809</v>
      </c>
      <c r="AV199" s="59">
        <v>2.2287659999999998</v>
      </c>
      <c r="AW199" s="60">
        <v>-0.475161</v>
      </c>
      <c r="AX199" s="59">
        <v>-1.1204620000000001</v>
      </c>
      <c r="AY199" s="60" t="s">
        <v>179</v>
      </c>
      <c r="AZ199" s="59" t="s">
        <v>179</v>
      </c>
      <c r="BA199" s="60">
        <v>3.2165699999999999</v>
      </c>
      <c r="BB199" s="59">
        <v>1.8430610000000001</v>
      </c>
      <c r="BC199" s="60" t="s">
        <v>179</v>
      </c>
      <c r="BD199" s="59" t="s">
        <v>179</v>
      </c>
      <c r="BE199" s="60">
        <v>1.873041</v>
      </c>
    </row>
    <row r="200" spans="1:57" x14ac:dyDescent="0.35">
      <c r="A200" s="240"/>
      <c r="B200" s="240"/>
      <c r="C200" s="58" t="s">
        <v>376</v>
      </c>
      <c r="D200" s="59">
        <v>0.80038299999999996</v>
      </c>
      <c r="E200" s="60">
        <v>0.214976</v>
      </c>
      <c r="F200" s="59">
        <v>0.46041500000000002</v>
      </c>
      <c r="G200" s="60">
        <v>0.86397299999999999</v>
      </c>
      <c r="H200" s="59">
        <v>1.1716279999999999</v>
      </c>
      <c r="I200" s="60" t="s">
        <v>179</v>
      </c>
      <c r="J200" s="59">
        <v>0.44457000000000002</v>
      </c>
      <c r="K200" s="60">
        <v>0.28281899999999999</v>
      </c>
      <c r="L200" s="59">
        <v>3.1765850000000002</v>
      </c>
      <c r="M200" s="60">
        <v>1.194172</v>
      </c>
      <c r="N200" s="59">
        <v>0.56583399999999995</v>
      </c>
      <c r="O200" s="60">
        <v>0.34802899999999998</v>
      </c>
      <c r="P200" s="59">
        <v>1.3603670000000001</v>
      </c>
      <c r="Q200" s="60">
        <v>-8.4959000000000007E-2</v>
      </c>
      <c r="R200" s="59">
        <v>-1.343523</v>
      </c>
      <c r="S200" s="60">
        <v>8.5361999999999993E-2</v>
      </c>
      <c r="T200" s="59">
        <v>1.1803589999999999</v>
      </c>
      <c r="U200" s="60">
        <v>0.119586</v>
      </c>
      <c r="V200" s="59">
        <v>4.5990000000000003E-2</v>
      </c>
      <c r="W200" s="60">
        <v>1.758931</v>
      </c>
      <c r="X200" s="59">
        <v>3.4694790000000002</v>
      </c>
      <c r="Y200" s="60">
        <v>4.0039550000000004</v>
      </c>
      <c r="Z200" s="59">
        <v>-0.75113300000000005</v>
      </c>
      <c r="AA200" s="60">
        <v>1.748996</v>
      </c>
      <c r="AB200" s="59">
        <v>1.4000729999999999</v>
      </c>
      <c r="AC200" s="60">
        <v>0.64854199999999995</v>
      </c>
      <c r="AD200" s="59">
        <v>3.3324950000000002</v>
      </c>
      <c r="AE200" s="60">
        <v>0.93227899999999997</v>
      </c>
      <c r="AF200" s="59">
        <v>1.356716</v>
      </c>
      <c r="AG200" s="60">
        <v>2.5027050000000002</v>
      </c>
      <c r="AH200" s="59">
        <v>1.29264</v>
      </c>
      <c r="AI200" s="60">
        <v>0.85689899999999997</v>
      </c>
      <c r="AJ200" s="59">
        <v>0.522455</v>
      </c>
      <c r="AK200" s="60">
        <v>-0.27572400000000002</v>
      </c>
      <c r="AL200" s="59" t="s">
        <v>179</v>
      </c>
      <c r="AM200" s="60">
        <v>0.88105999999999995</v>
      </c>
      <c r="AN200" s="59">
        <v>0.89699099999999998</v>
      </c>
      <c r="AO200" s="60">
        <v>0.51758800000000005</v>
      </c>
      <c r="AP200" s="59">
        <v>0.50524500000000006</v>
      </c>
      <c r="AQ200" s="60">
        <v>0.60268299999999997</v>
      </c>
      <c r="AR200" s="59">
        <v>0.96856900000000001</v>
      </c>
      <c r="AS200" s="60">
        <v>0.59735199999999999</v>
      </c>
      <c r="AT200" s="59" t="s">
        <v>179</v>
      </c>
      <c r="AU200" s="60">
        <v>0.71706700000000001</v>
      </c>
      <c r="AV200" s="59">
        <v>2.296678</v>
      </c>
      <c r="AW200" s="60">
        <v>4.0164580000000001</v>
      </c>
      <c r="AX200" s="59">
        <v>-4.8211880000000003</v>
      </c>
      <c r="AY200" s="60" t="s">
        <v>179</v>
      </c>
      <c r="AZ200" s="59">
        <v>0.488981</v>
      </c>
      <c r="BA200" s="60">
        <v>1.8721110000000001</v>
      </c>
      <c r="BB200" s="59">
        <v>0.74758999999999998</v>
      </c>
      <c r="BC200" s="60" t="s">
        <v>179</v>
      </c>
      <c r="BD200" s="59" t="s">
        <v>179</v>
      </c>
      <c r="BE200" s="60">
        <v>1.13476</v>
      </c>
    </row>
    <row r="201" spans="1:57" x14ac:dyDescent="0.35">
      <c r="A201" s="240"/>
      <c r="B201" s="240"/>
      <c r="C201" s="58" t="s">
        <v>377</v>
      </c>
      <c r="D201" s="59">
        <v>0.90541899999999997</v>
      </c>
      <c r="E201" s="60">
        <v>0.36057</v>
      </c>
      <c r="F201" s="59">
        <v>0.78999200000000003</v>
      </c>
      <c r="G201" s="60">
        <v>0.80536600000000003</v>
      </c>
      <c r="H201" s="59">
        <v>1.3238989999999999</v>
      </c>
      <c r="I201" s="60" t="s">
        <v>179</v>
      </c>
      <c r="J201" s="59">
        <v>9.6088999999999994E-2</v>
      </c>
      <c r="K201" s="60">
        <v>3.4008999999999998E-2</v>
      </c>
      <c r="L201" s="59">
        <v>2.029042</v>
      </c>
      <c r="M201" s="60">
        <v>2.162957</v>
      </c>
      <c r="N201" s="59">
        <v>0.14221900000000001</v>
      </c>
      <c r="O201" s="60">
        <v>0.74502100000000004</v>
      </c>
      <c r="P201" s="59">
        <v>1.0587549999999999</v>
      </c>
      <c r="Q201" s="60">
        <v>1.239555</v>
      </c>
      <c r="R201" s="59">
        <v>2.2931279999999998</v>
      </c>
      <c r="S201" s="60">
        <v>1.8120289999999999</v>
      </c>
      <c r="T201" s="59">
        <v>1.518276</v>
      </c>
      <c r="U201" s="60">
        <v>-0.30691099999999999</v>
      </c>
      <c r="V201" s="59">
        <v>1.1567499999999999</v>
      </c>
      <c r="W201" s="60">
        <v>1.6915789999999999</v>
      </c>
      <c r="X201" s="59">
        <v>6.5039619999999996</v>
      </c>
      <c r="Y201" s="60">
        <v>0.48905100000000001</v>
      </c>
      <c r="Z201" s="59">
        <v>1.742489</v>
      </c>
      <c r="AA201" s="60">
        <v>2.9539300000000002</v>
      </c>
      <c r="AB201" s="59">
        <v>0.71094100000000005</v>
      </c>
      <c r="AC201" s="60">
        <v>1.3277749999999999</v>
      </c>
      <c r="AD201" s="59">
        <v>-1.604247</v>
      </c>
      <c r="AE201" s="60">
        <v>-2.3545660000000002</v>
      </c>
      <c r="AF201" s="59">
        <v>0.28234500000000001</v>
      </c>
      <c r="AG201" s="60">
        <v>1.973257</v>
      </c>
      <c r="AH201" s="59">
        <v>1.757576</v>
      </c>
      <c r="AI201" s="60">
        <v>0.53338099999999999</v>
      </c>
      <c r="AJ201" s="59">
        <v>0.489232</v>
      </c>
      <c r="AK201" s="60">
        <v>0.53679100000000002</v>
      </c>
      <c r="AL201" s="59" t="s">
        <v>179</v>
      </c>
      <c r="AM201" s="60">
        <v>0.770455</v>
      </c>
      <c r="AN201" s="59">
        <v>1.0383819999999999</v>
      </c>
      <c r="AO201" s="60">
        <v>0.45072499999999999</v>
      </c>
      <c r="AP201" s="59">
        <v>0.38695200000000002</v>
      </c>
      <c r="AQ201" s="60">
        <v>0.83399400000000001</v>
      </c>
      <c r="AR201" s="59">
        <v>1.1888799999999999</v>
      </c>
      <c r="AS201" s="60">
        <v>0.55460399999999999</v>
      </c>
      <c r="AT201" s="59" t="s">
        <v>179</v>
      </c>
      <c r="AU201" s="60">
        <v>0.94080200000000003</v>
      </c>
      <c r="AV201" s="59">
        <v>1.8222659999999999</v>
      </c>
      <c r="AW201" s="60">
        <v>-1.072573</v>
      </c>
      <c r="AX201" s="59">
        <v>-2.1036100000000002</v>
      </c>
      <c r="AY201" s="60" t="s">
        <v>179</v>
      </c>
      <c r="AZ201" s="59">
        <v>1.585574</v>
      </c>
      <c r="BA201" s="60">
        <v>3.246264</v>
      </c>
      <c r="BB201" s="59">
        <v>-0.20344100000000001</v>
      </c>
      <c r="BC201" s="60" t="s">
        <v>179</v>
      </c>
      <c r="BD201" s="59" t="s">
        <v>179</v>
      </c>
      <c r="BE201" s="60">
        <v>0.94847400000000004</v>
      </c>
    </row>
    <row r="202" spans="1:57" x14ac:dyDescent="0.35">
      <c r="A202" s="240"/>
      <c r="B202" s="240"/>
      <c r="C202" s="58" t="s">
        <v>378</v>
      </c>
      <c r="D202" s="59">
        <v>0.62152399999999997</v>
      </c>
      <c r="E202" s="60">
        <v>0.50946000000000002</v>
      </c>
      <c r="F202" s="59">
        <v>1.0022800000000001</v>
      </c>
      <c r="G202" s="60">
        <v>1.3191740000000001</v>
      </c>
      <c r="H202" s="59">
        <v>1.094454</v>
      </c>
      <c r="I202" s="60" t="s">
        <v>179</v>
      </c>
      <c r="J202" s="59">
        <v>-0.41013300000000003</v>
      </c>
      <c r="K202" s="60">
        <v>1.2551060000000001</v>
      </c>
      <c r="L202" s="59">
        <v>3.6223100000000001</v>
      </c>
      <c r="M202" s="60">
        <v>0.11336499999999999</v>
      </c>
      <c r="N202" s="59">
        <v>0.34099000000000002</v>
      </c>
      <c r="O202" s="60">
        <v>-0.53236499999999998</v>
      </c>
      <c r="P202" s="59">
        <v>0.57005700000000004</v>
      </c>
      <c r="Q202" s="60">
        <v>0.90459000000000001</v>
      </c>
      <c r="R202" s="59">
        <v>3.6921300000000001</v>
      </c>
      <c r="S202" s="60">
        <v>3.7124769999999998</v>
      </c>
      <c r="T202" s="59">
        <v>1.2832440000000001</v>
      </c>
      <c r="U202" s="60">
        <v>0.358404</v>
      </c>
      <c r="V202" s="59">
        <v>0.29535099999999997</v>
      </c>
      <c r="W202" s="60">
        <v>0.46806399999999998</v>
      </c>
      <c r="X202" s="59">
        <v>-2.1126809999999998</v>
      </c>
      <c r="Y202" s="60">
        <v>1.516769</v>
      </c>
      <c r="Z202" s="59">
        <v>1.5900160000000001</v>
      </c>
      <c r="AA202" s="60">
        <v>0.13289100000000001</v>
      </c>
      <c r="AB202" s="59">
        <v>1.090973</v>
      </c>
      <c r="AC202" s="60">
        <v>-0.370087</v>
      </c>
      <c r="AD202" s="59">
        <v>2.6850070000000001</v>
      </c>
      <c r="AE202" s="60">
        <v>5.3402500000000002</v>
      </c>
      <c r="AF202" s="59">
        <v>1.6447860000000001</v>
      </c>
      <c r="AG202" s="60">
        <v>0.99301899999999999</v>
      </c>
      <c r="AH202" s="59">
        <v>0.54018299999999997</v>
      </c>
      <c r="AI202" s="60">
        <v>1.0153190000000001</v>
      </c>
      <c r="AJ202" s="59">
        <v>0.95114100000000001</v>
      </c>
      <c r="AK202" s="60">
        <v>0.74707000000000001</v>
      </c>
      <c r="AL202" s="59" t="s">
        <v>179</v>
      </c>
      <c r="AM202" s="60">
        <v>1.3806400000000001</v>
      </c>
      <c r="AN202" s="59">
        <v>0.64556400000000003</v>
      </c>
      <c r="AO202" s="60">
        <v>0.22863700000000001</v>
      </c>
      <c r="AP202" s="59">
        <v>0.35394599999999998</v>
      </c>
      <c r="AQ202" s="60">
        <v>0.49056</v>
      </c>
      <c r="AR202" s="59">
        <v>0.64942999999999995</v>
      </c>
      <c r="AS202" s="60">
        <v>0.67273700000000003</v>
      </c>
      <c r="AT202" s="59" t="s">
        <v>179</v>
      </c>
      <c r="AU202" s="60">
        <v>0.59373399999999998</v>
      </c>
      <c r="AV202" s="59">
        <v>2.1002049999999999</v>
      </c>
      <c r="AW202" s="60">
        <v>0.77155799999999997</v>
      </c>
      <c r="AX202" s="59">
        <v>-10.131994000000001</v>
      </c>
      <c r="AY202" s="60" t="s">
        <v>179</v>
      </c>
      <c r="AZ202" s="59">
        <v>0.75236199999999998</v>
      </c>
      <c r="BA202" s="60">
        <v>-1.2511110000000001</v>
      </c>
      <c r="BB202" s="59">
        <v>-2.3607770000000001</v>
      </c>
      <c r="BC202" s="60" t="s">
        <v>179</v>
      </c>
      <c r="BD202" s="59" t="s">
        <v>179</v>
      </c>
      <c r="BE202" s="60">
        <v>0.28728500000000001</v>
      </c>
    </row>
    <row r="203" spans="1:57" x14ac:dyDescent="0.35">
      <c r="A203" s="240"/>
      <c r="B203" s="240"/>
      <c r="C203" s="58" t="s">
        <v>379</v>
      </c>
      <c r="D203" s="59">
        <v>2.9551180000000001</v>
      </c>
      <c r="E203" s="60">
        <v>0.31823099999999999</v>
      </c>
      <c r="F203" s="59">
        <v>1.5452840000000001</v>
      </c>
      <c r="G203" s="60">
        <v>1.129632</v>
      </c>
      <c r="H203" s="59">
        <v>2.347896</v>
      </c>
      <c r="I203" s="60" t="s">
        <v>179</v>
      </c>
      <c r="J203" s="59">
        <v>-0.30358299999999999</v>
      </c>
      <c r="K203" s="60">
        <v>1.717487</v>
      </c>
      <c r="L203" s="59">
        <v>4.2092049999999999</v>
      </c>
      <c r="M203" s="60">
        <v>3.084927</v>
      </c>
      <c r="N203" s="59">
        <v>1.1330199999999999</v>
      </c>
      <c r="O203" s="60">
        <v>1.281884</v>
      </c>
      <c r="P203" s="59">
        <v>1.715417</v>
      </c>
      <c r="Q203" s="60">
        <v>1.078219</v>
      </c>
      <c r="R203" s="59">
        <v>0.54902300000000004</v>
      </c>
      <c r="S203" s="60">
        <v>4.3001449999999997</v>
      </c>
      <c r="T203" s="59">
        <v>0.56178600000000001</v>
      </c>
      <c r="U203" s="60">
        <v>1.3206059999999999</v>
      </c>
      <c r="V203" s="59">
        <v>-0.66908999999999996</v>
      </c>
      <c r="W203" s="60">
        <v>3.5505529999999998</v>
      </c>
      <c r="X203" s="59">
        <v>4.5127329999999999</v>
      </c>
      <c r="Y203" s="60">
        <v>2.9469599999999998</v>
      </c>
      <c r="Z203" s="59">
        <v>2.1498409999999999</v>
      </c>
      <c r="AA203" s="60">
        <v>2.3374100000000002</v>
      </c>
      <c r="AB203" s="59">
        <v>1.0412300000000001</v>
      </c>
      <c r="AC203" s="60">
        <v>1.9832559999999999</v>
      </c>
      <c r="AD203" s="59">
        <v>2.4121730000000001</v>
      </c>
      <c r="AE203" s="60">
        <v>1.3750990000000001</v>
      </c>
      <c r="AF203" s="59">
        <v>0.90865700000000005</v>
      </c>
      <c r="AG203" s="60">
        <v>1.4809890000000001</v>
      </c>
      <c r="AH203" s="59">
        <v>2.221527</v>
      </c>
      <c r="AI203" s="60">
        <v>0.90700199999999997</v>
      </c>
      <c r="AJ203" s="59">
        <v>1.161791</v>
      </c>
      <c r="AK203" s="60">
        <v>0.71637200000000001</v>
      </c>
      <c r="AL203" s="59" t="s">
        <v>179</v>
      </c>
      <c r="AM203" s="60">
        <v>0.86325399999999997</v>
      </c>
      <c r="AN203" s="59">
        <v>1.6620010000000001</v>
      </c>
      <c r="AO203" s="60">
        <v>1.2740020000000001</v>
      </c>
      <c r="AP203" s="59">
        <v>1.2556050000000001</v>
      </c>
      <c r="AQ203" s="60">
        <v>1.0727310000000001</v>
      </c>
      <c r="AR203" s="59">
        <v>1.682447</v>
      </c>
      <c r="AS203" s="60">
        <v>1.311342</v>
      </c>
      <c r="AT203" s="59" t="s">
        <v>179</v>
      </c>
      <c r="AU203" s="60">
        <v>1.3055969999999999</v>
      </c>
      <c r="AV203" s="59">
        <v>1.487514</v>
      </c>
      <c r="AW203" s="60">
        <v>0.98761900000000002</v>
      </c>
      <c r="AX203" s="59">
        <v>-1.0521879999999999</v>
      </c>
      <c r="AY203" s="60" t="s">
        <v>179</v>
      </c>
      <c r="AZ203" s="59">
        <v>0.40984799999999999</v>
      </c>
      <c r="BA203" s="60">
        <v>1.3093379999999999</v>
      </c>
      <c r="BB203" s="59">
        <v>-1.7895799999999999</v>
      </c>
      <c r="BC203" s="60" t="s">
        <v>179</v>
      </c>
      <c r="BD203" s="59" t="s">
        <v>179</v>
      </c>
      <c r="BE203" s="60">
        <v>0.61166399999999999</v>
      </c>
    </row>
    <row r="204" spans="1:57" x14ac:dyDescent="0.35">
      <c r="A204" s="240"/>
      <c r="B204" s="240"/>
      <c r="C204" s="58" t="s">
        <v>380</v>
      </c>
      <c r="D204" s="59">
        <v>0.124656</v>
      </c>
      <c r="E204" s="60">
        <v>1.227514</v>
      </c>
      <c r="F204" s="59">
        <v>0.88137399999999999</v>
      </c>
      <c r="G204" s="60">
        <v>1.1834340000000001</v>
      </c>
      <c r="H204" s="59">
        <v>2.3691650000000002</v>
      </c>
      <c r="I204" s="60" t="s">
        <v>179</v>
      </c>
      <c r="J204" s="59">
        <v>-0.63480599999999998</v>
      </c>
      <c r="K204" s="60">
        <v>-0.28229900000000002</v>
      </c>
      <c r="L204" s="59">
        <v>2.6928920000000001</v>
      </c>
      <c r="M204" s="60">
        <v>1.7724070000000001</v>
      </c>
      <c r="N204" s="59">
        <v>0.72106800000000004</v>
      </c>
      <c r="O204" s="60">
        <v>0.34173300000000001</v>
      </c>
      <c r="P204" s="59">
        <v>1.5949359999999999</v>
      </c>
      <c r="Q204" s="60">
        <v>0.91261300000000001</v>
      </c>
      <c r="R204" s="59">
        <v>-0.62059200000000003</v>
      </c>
      <c r="S204" s="60">
        <v>2.1132819999999999</v>
      </c>
      <c r="T204" s="59">
        <v>8.6279999999999996E-2</v>
      </c>
      <c r="U204" s="60">
        <v>0.65992600000000001</v>
      </c>
      <c r="V204" s="59">
        <v>0.22781100000000001</v>
      </c>
      <c r="W204" s="60">
        <v>0.791744</v>
      </c>
      <c r="X204" s="59">
        <v>1.656271</v>
      </c>
      <c r="Y204" s="60">
        <v>3.3183989999999999</v>
      </c>
      <c r="Z204" s="59">
        <v>2.3379889999999999</v>
      </c>
      <c r="AA204" s="60">
        <v>1.954788</v>
      </c>
      <c r="AB204" s="59">
        <v>1.4527600000000001</v>
      </c>
      <c r="AC204" s="60">
        <v>-0.26649</v>
      </c>
      <c r="AD204" s="59">
        <v>-0.107515</v>
      </c>
      <c r="AE204" s="60">
        <v>-0.227469</v>
      </c>
      <c r="AF204" s="59">
        <v>1.3009850000000001</v>
      </c>
      <c r="AG204" s="60">
        <v>1.6404479999999999</v>
      </c>
      <c r="AH204" s="59">
        <v>0.90375499999999998</v>
      </c>
      <c r="AI204" s="60">
        <v>1.1894819999999999</v>
      </c>
      <c r="AJ204" s="59">
        <v>0.92044999999999999</v>
      </c>
      <c r="AK204" s="60">
        <v>1.1954389999999999</v>
      </c>
      <c r="AL204" s="59" t="s">
        <v>179</v>
      </c>
      <c r="AM204" s="60">
        <v>0.734954</v>
      </c>
      <c r="AN204" s="59">
        <v>1.250848</v>
      </c>
      <c r="AO204" s="60">
        <v>0.76895800000000003</v>
      </c>
      <c r="AP204" s="59">
        <v>0.71310600000000002</v>
      </c>
      <c r="AQ204" s="60">
        <v>0.85477000000000003</v>
      </c>
      <c r="AR204" s="59">
        <v>1.308667</v>
      </c>
      <c r="AS204" s="60">
        <v>0.713754</v>
      </c>
      <c r="AT204" s="59" t="s">
        <v>179</v>
      </c>
      <c r="AU204" s="60">
        <v>0.91032599999999997</v>
      </c>
      <c r="AV204" s="59">
        <v>2.517217</v>
      </c>
      <c r="AW204" s="60">
        <v>1.2458940000000001</v>
      </c>
      <c r="AX204" s="59">
        <v>2.233028</v>
      </c>
      <c r="AY204" s="60" t="s">
        <v>179</v>
      </c>
      <c r="AZ204" s="59">
        <v>1.1928319999999999</v>
      </c>
      <c r="BA204" s="60">
        <v>1.8710910000000001</v>
      </c>
      <c r="BB204" s="59">
        <v>-1.6267450000000001</v>
      </c>
      <c r="BC204" s="60" t="s">
        <v>179</v>
      </c>
      <c r="BD204" s="59" t="s">
        <v>179</v>
      </c>
      <c r="BE204" s="60">
        <v>0.208898</v>
      </c>
    </row>
    <row r="205" spans="1:57" x14ac:dyDescent="0.35">
      <c r="A205" s="240"/>
      <c r="B205" s="240"/>
      <c r="C205" s="58" t="s">
        <v>381</v>
      </c>
      <c r="D205" s="59">
        <v>1.4181010000000001</v>
      </c>
      <c r="E205" s="60">
        <v>1.1699079999999999</v>
      </c>
      <c r="F205" s="59">
        <v>0.55825400000000003</v>
      </c>
      <c r="G205" s="60">
        <v>0.96832200000000002</v>
      </c>
      <c r="H205" s="59">
        <v>2.0454829999999999</v>
      </c>
      <c r="I205" s="60" t="s">
        <v>179</v>
      </c>
      <c r="J205" s="59">
        <v>-0.22287499999999999</v>
      </c>
      <c r="K205" s="60">
        <v>-1.3656E-2</v>
      </c>
      <c r="L205" s="59">
        <v>3.134722</v>
      </c>
      <c r="M205" s="60">
        <v>2.1266039999999999</v>
      </c>
      <c r="N205" s="59">
        <v>1.1432100000000001</v>
      </c>
      <c r="O205" s="60">
        <v>0.74419800000000003</v>
      </c>
      <c r="P205" s="59">
        <v>0.95317700000000005</v>
      </c>
      <c r="Q205" s="60">
        <v>0.88228600000000001</v>
      </c>
      <c r="R205" s="59">
        <v>2.441713</v>
      </c>
      <c r="S205" s="60">
        <v>2.461252</v>
      </c>
      <c r="T205" s="59">
        <v>1.7397229999999999</v>
      </c>
      <c r="U205" s="60">
        <v>1.695681</v>
      </c>
      <c r="V205" s="59">
        <v>3.1944E-2</v>
      </c>
      <c r="W205" s="60">
        <v>-0.45599400000000001</v>
      </c>
      <c r="X205" s="59">
        <v>1.2067190000000001</v>
      </c>
      <c r="Y205" s="60">
        <v>1.8950359999999999</v>
      </c>
      <c r="Z205" s="59">
        <v>6.2539999999999998E-2</v>
      </c>
      <c r="AA205" s="60">
        <v>2.4183029999999999</v>
      </c>
      <c r="AB205" s="59">
        <v>1.28298</v>
      </c>
      <c r="AC205" s="60">
        <v>-0.215332</v>
      </c>
      <c r="AD205" s="59">
        <v>1.4129480000000001</v>
      </c>
      <c r="AE205" s="60">
        <v>3.0123180000000001</v>
      </c>
      <c r="AF205" s="59">
        <v>0.67233900000000002</v>
      </c>
      <c r="AG205" s="60">
        <v>-0.518231</v>
      </c>
      <c r="AH205" s="59">
        <v>0.38222299999999998</v>
      </c>
      <c r="AI205" s="60">
        <v>1.3791629999999999</v>
      </c>
      <c r="AJ205" s="59">
        <v>1.805734</v>
      </c>
      <c r="AK205" s="60">
        <v>0.91972799999999999</v>
      </c>
      <c r="AL205" s="59" t="s">
        <v>179</v>
      </c>
      <c r="AM205" s="60">
        <v>1.187646</v>
      </c>
      <c r="AN205" s="59">
        <v>0.85881700000000005</v>
      </c>
      <c r="AO205" s="60">
        <v>1.1376630000000001</v>
      </c>
      <c r="AP205" s="59">
        <v>1.1453329999999999</v>
      </c>
      <c r="AQ205" s="60">
        <v>0.81523800000000002</v>
      </c>
      <c r="AR205" s="59">
        <v>1.00684</v>
      </c>
      <c r="AS205" s="60">
        <v>1.2652730000000001</v>
      </c>
      <c r="AT205" s="59" t="s">
        <v>179</v>
      </c>
      <c r="AU205" s="60">
        <v>0.92831600000000003</v>
      </c>
      <c r="AV205" s="59">
        <v>1.351458</v>
      </c>
      <c r="AW205" s="60">
        <v>0.735348</v>
      </c>
      <c r="AX205" s="59">
        <v>-3.357688</v>
      </c>
      <c r="AY205" s="60" t="s">
        <v>179</v>
      </c>
      <c r="AZ205" s="59">
        <v>1.6008560000000001</v>
      </c>
      <c r="BA205" s="60">
        <v>-0.51392099999999996</v>
      </c>
      <c r="BB205" s="59">
        <v>-0.61943199999999998</v>
      </c>
      <c r="BC205" s="60" t="s">
        <v>179</v>
      </c>
      <c r="BD205" s="59" t="s">
        <v>179</v>
      </c>
      <c r="BE205" s="60">
        <v>0.15098600000000001</v>
      </c>
    </row>
    <row r="206" spans="1:57" x14ac:dyDescent="0.35">
      <c r="A206" s="240"/>
      <c r="B206" s="240"/>
      <c r="C206" s="58" t="s">
        <v>382</v>
      </c>
      <c r="D206" s="59">
        <v>0.67953399999999997</v>
      </c>
      <c r="E206" s="60">
        <v>0.87741800000000003</v>
      </c>
      <c r="F206" s="59">
        <v>0.25985999999999998</v>
      </c>
      <c r="G206" s="60">
        <v>1.412415</v>
      </c>
      <c r="H206" s="59">
        <v>-0.40594999999999998</v>
      </c>
      <c r="I206" s="60" t="s">
        <v>179</v>
      </c>
      <c r="J206" s="59">
        <v>-5.9930000000000001E-3</v>
      </c>
      <c r="K206" s="60">
        <v>1.5077879999999999</v>
      </c>
      <c r="L206" s="59">
        <v>0.82019600000000004</v>
      </c>
      <c r="M206" s="60">
        <v>-0.59698899999999999</v>
      </c>
      <c r="N206" s="59">
        <v>0.847356</v>
      </c>
      <c r="O206" s="60">
        <v>0.92017599999999999</v>
      </c>
      <c r="P206" s="59">
        <v>1.200955</v>
      </c>
      <c r="Q206" s="60">
        <v>0.82975600000000005</v>
      </c>
      <c r="R206" s="59">
        <v>-2.5984609999999999</v>
      </c>
      <c r="S206" s="60">
        <v>1.2911170000000001</v>
      </c>
      <c r="T206" s="59">
        <v>1.537906</v>
      </c>
      <c r="U206" s="60">
        <v>-0.58941100000000002</v>
      </c>
      <c r="V206" s="59">
        <v>-1.1198399999999999</v>
      </c>
      <c r="W206" s="60">
        <v>-6.818022</v>
      </c>
      <c r="X206" s="59">
        <v>4.6360049999999999</v>
      </c>
      <c r="Y206" s="60">
        <v>1.574327</v>
      </c>
      <c r="Z206" s="59">
        <v>1.4080090000000001</v>
      </c>
      <c r="AA206" s="60">
        <v>0.91049400000000003</v>
      </c>
      <c r="AB206" s="59">
        <v>1.349037</v>
      </c>
      <c r="AC206" s="60">
        <v>-0.59268100000000001</v>
      </c>
      <c r="AD206" s="59">
        <v>0.96467000000000003</v>
      </c>
      <c r="AE206" s="60">
        <v>1.5375559999999999</v>
      </c>
      <c r="AF206" s="59">
        <v>1.4476230000000001</v>
      </c>
      <c r="AG206" s="60">
        <v>1.772675</v>
      </c>
      <c r="AH206" s="59">
        <v>0.61973299999999998</v>
      </c>
      <c r="AI206" s="60">
        <v>0.87619899999999995</v>
      </c>
      <c r="AJ206" s="59">
        <v>0.47421799999999997</v>
      </c>
      <c r="AK206" s="60">
        <v>0.676149</v>
      </c>
      <c r="AL206" s="59" t="s">
        <v>179</v>
      </c>
      <c r="AM206" s="60">
        <v>0.86785100000000004</v>
      </c>
      <c r="AN206" s="59">
        <v>0.99948000000000004</v>
      </c>
      <c r="AO206" s="60">
        <v>0.67933100000000002</v>
      </c>
      <c r="AP206" s="59">
        <v>0.71398600000000001</v>
      </c>
      <c r="AQ206" s="60">
        <v>0.51307400000000003</v>
      </c>
      <c r="AR206" s="59">
        <v>1.0217309999999999</v>
      </c>
      <c r="AS206" s="60">
        <v>0.71036600000000005</v>
      </c>
      <c r="AT206" s="59" t="s">
        <v>179</v>
      </c>
      <c r="AU206" s="60">
        <v>0.41256900000000002</v>
      </c>
      <c r="AV206" s="59">
        <v>0.51742200000000005</v>
      </c>
      <c r="AW206" s="60">
        <v>-2.0753750000000002</v>
      </c>
      <c r="AX206" s="59">
        <v>11.696016</v>
      </c>
      <c r="AY206" s="60" t="s">
        <v>179</v>
      </c>
      <c r="AZ206" s="59">
        <v>1.6300749999999999</v>
      </c>
      <c r="BA206" s="60">
        <v>-7.3572100000000002</v>
      </c>
      <c r="BB206" s="59">
        <v>0.99306099999999997</v>
      </c>
      <c r="BC206" s="60" t="s">
        <v>179</v>
      </c>
      <c r="BD206" s="59" t="s">
        <v>179</v>
      </c>
      <c r="BE206" s="60">
        <v>0.126386</v>
      </c>
    </row>
    <row r="207" spans="1:57" x14ac:dyDescent="0.35">
      <c r="A207" s="240"/>
      <c r="B207" s="240"/>
      <c r="C207" s="58" t="s">
        <v>383</v>
      </c>
      <c r="D207" s="59">
        <v>0.98095500000000002</v>
      </c>
      <c r="E207" s="60">
        <v>1.1293310000000001</v>
      </c>
      <c r="F207" s="59">
        <v>0.33249099999999998</v>
      </c>
      <c r="G207" s="60">
        <v>5.3398000000000001E-2</v>
      </c>
      <c r="H207" s="59">
        <v>2.0023049999999998</v>
      </c>
      <c r="I207" s="60" t="s">
        <v>179</v>
      </c>
      <c r="J207" s="59">
        <v>0.29040100000000002</v>
      </c>
      <c r="K207" s="60">
        <v>-0.75521700000000003</v>
      </c>
      <c r="L207" s="59">
        <v>-0.58110200000000001</v>
      </c>
      <c r="M207" s="60">
        <v>1.968391</v>
      </c>
      <c r="N207" s="59">
        <v>0.91204499999999999</v>
      </c>
      <c r="O207" s="60">
        <v>-0.42178300000000002</v>
      </c>
      <c r="P207" s="59">
        <v>0.44264700000000001</v>
      </c>
      <c r="Q207" s="60">
        <v>1.472898</v>
      </c>
      <c r="R207" s="59">
        <v>9.9982170000000004</v>
      </c>
      <c r="S207" s="60">
        <v>2.3921649999999999</v>
      </c>
      <c r="T207" s="59">
        <v>1.3125E-2</v>
      </c>
      <c r="U207" s="60">
        <v>0.487452</v>
      </c>
      <c r="V207" s="59">
        <v>-0.41730499999999998</v>
      </c>
      <c r="W207" s="60">
        <v>-0.80793199999999998</v>
      </c>
      <c r="X207" s="59">
        <v>-0.13855899999999999</v>
      </c>
      <c r="Y207" s="60">
        <v>2.0046719999999998</v>
      </c>
      <c r="Z207" s="59">
        <v>2.5318139999999998</v>
      </c>
      <c r="AA207" s="60">
        <v>0.77215199999999995</v>
      </c>
      <c r="AB207" s="59">
        <v>0.71569000000000005</v>
      </c>
      <c r="AC207" s="60">
        <v>0.49608000000000002</v>
      </c>
      <c r="AD207" s="59">
        <v>1.1331100000000001</v>
      </c>
      <c r="AE207" s="60">
        <v>-0.19589000000000001</v>
      </c>
      <c r="AF207" s="59">
        <v>1.5357270000000001</v>
      </c>
      <c r="AG207" s="60">
        <v>2.3147999999999998E-2</v>
      </c>
      <c r="AH207" s="59">
        <v>0.70477299999999998</v>
      </c>
      <c r="AI207" s="60">
        <v>1.12799</v>
      </c>
      <c r="AJ207" s="59">
        <v>1.352665</v>
      </c>
      <c r="AK207" s="60">
        <v>1.1960729999999999</v>
      </c>
      <c r="AL207" s="59">
        <v>-9.5249E-2</v>
      </c>
      <c r="AM207" s="60">
        <v>0.88229000000000002</v>
      </c>
      <c r="AN207" s="59">
        <v>0.92580700000000005</v>
      </c>
      <c r="AO207" s="60">
        <v>0.44479999999999997</v>
      </c>
      <c r="AP207" s="59">
        <v>0.42494399999999999</v>
      </c>
      <c r="AQ207" s="60">
        <v>0.48420400000000002</v>
      </c>
      <c r="AR207" s="59">
        <v>0.84746999999999995</v>
      </c>
      <c r="AS207" s="60">
        <v>0.50531400000000004</v>
      </c>
      <c r="AT207" s="59">
        <v>0.39369100000000001</v>
      </c>
      <c r="AU207" s="60">
        <v>0.50452300000000005</v>
      </c>
      <c r="AV207" s="59">
        <v>1.9595050000000001</v>
      </c>
      <c r="AW207" s="60">
        <v>1.608862</v>
      </c>
      <c r="AX207" s="59">
        <v>-6.5331450000000002</v>
      </c>
      <c r="AY207" s="60" t="s">
        <v>179</v>
      </c>
      <c r="AZ207" s="59">
        <v>1.3107359999999999</v>
      </c>
      <c r="BA207" s="60">
        <v>-7.8389899999999999</v>
      </c>
      <c r="BB207" s="59">
        <v>-1.2075389999999999</v>
      </c>
      <c r="BC207" s="60" t="s">
        <v>179</v>
      </c>
      <c r="BD207" s="59" t="s">
        <v>179</v>
      </c>
      <c r="BE207" s="60">
        <v>0.14141899999999999</v>
      </c>
    </row>
    <row r="208" spans="1:57" x14ac:dyDescent="0.35">
      <c r="A208" s="240"/>
      <c r="B208" s="240"/>
      <c r="C208" s="58" t="s">
        <v>384</v>
      </c>
      <c r="D208" s="59">
        <v>1.9276610000000001</v>
      </c>
      <c r="E208" s="60">
        <v>0.23211499999999999</v>
      </c>
      <c r="F208" s="59">
        <v>0.29224899999999998</v>
      </c>
      <c r="G208" s="60">
        <v>0.91020999999999996</v>
      </c>
      <c r="H208" s="59">
        <v>-0.46389799999999998</v>
      </c>
      <c r="I208" s="60" t="s">
        <v>179</v>
      </c>
      <c r="J208" s="59">
        <v>-3.0558999999999999E-2</v>
      </c>
      <c r="K208" s="60">
        <v>1.837315</v>
      </c>
      <c r="L208" s="59">
        <v>-0.100677</v>
      </c>
      <c r="M208" s="60">
        <v>1.910666</v>
      </c>
      <c r="N208" s="59">
        <v>0.708762</v>
      </c>
      <c r="O208" s="60">
        <v>0.49831999999999999</v>
      </c>
      <c r="P208" s="59">
        <v>0.35070899999999999</v>
      </c>
      <c r="Q208" s="60">
        <v>0.89647699999999997</v>
      </c>
      <c r="R208" s="59">
        <v>-0.38359199999999999</v>
      </c>
      <c r="S208" s="60">
        <v>3.9671720000000001</v>
      </c>
      <c r="T208" s="59">
        <v>0.80792399999999998</v>
      </c>
      <c r="U208" s="60">
        <v>0.11222799999999999</v>
      </c>
      <c r="V208" s="59">
        <v>0.17744199999999999</v>
      </c>
      <c r="W208" s="60">
        <v>1.747152</v>
      </c>
      <c r="X208" s="59">
        <v>-1.071224</v>
      </c>
      <c r="Y208" s="60">
        <v>1.03024</v>
      </c>
      <c r="Z208" s="59">
        <v>1.4699009999999999</v>
      </c>
      <c r="AA208" s="60">
        <v>0.45739000000000002</v>
      </c>
      <c r="AB208" s="59">
        <v>0.85358400000000001</v>
      </c>
      <c r="AC208" s="60">
        <v>0.15820000000000001</v>
      </c>
      <c r="AD208" s="59">
        <v>-1.7935270000000001</v>
      </c>
      <c r="AE208" s="60">
        <v>0.89355600000000002</v>
      </c>
      <c r="AF208" s="59">
        <v>1.108509</v>
      </c>
      <c r="AG208" s="60">
        <v>-0.80078400000000005</v>
      </c>
      <c r="AH208" s="59">
        <v>0.85355499999999995</v>
      </c>
      <c r="AI208" s="60">
        <v>0.94474000000000002</v>
      </c>
      <c r="AJ208" s="59">
        <v>0.67121600000000003</v>
      </c>
      <c r="AK208" s="60">
        <v>-9.1712000000000002E-2</v>
      </c>
      <c r="AL208" s="59">
        <v>0.49554399999999998</v>
      </c>
      <c r="AM208" s="60">
        <v>0.68285899999999999</v>
      </c>
      <c r="AN208" s="59">
        <v>1.252567</v>
      </c>
      <c r="AO208" s="60">
        <v>0.54615400000000003</v>
      </c>
      <c r="AP208" s="59">
        <v>0.58111199999999996</v>
      </c>
      <c r="AQ208" s="60">
        <v>0.81619699999999995</v>
      </c>
      <c r="AR208" s="59">
        <v>1.1552720000000001</v>
      </c>
      <c r="AS208" s="60">
        <v>0.56874400000000003</v>
      </c>
      <c r="AT208" s="59">
        <v>0.706314</v>
      </c>
      <c r="AU208" s="60">
        <v>0.77841199999999999</v>
      </c>
      <c r="AV208" s="59">
        <v>-0.304614</v>
      </c>
      <c r="AW208" s="60">
        <v>0.26844200000000001</v>
      </c>
      <c r="AX208" s="59">
        <v>0.77498500000000003</v>
      </c>
      <c r="AY208" s="60" t="s">
        <v>179</v>
      </c>
      <c r="AZ208" s="59">
        <v>1.814746</v>
      </c>
      <c r="BA208" s="60">
        <v>-1.1142449999999999</v>
      </c>
      <c r="BB208" s="59">
        <v>-0.99079499999999998</v>
      </c>
      <c r="BC208" s="60" t="s">
        <v>179</v>
      </c>
      <c r="BD208" s="59" t="s">
        <v>179</v>
      </c>
      <c r="BE208" s="60">
        <v>-0.219162</v>
      </c>
    </row>
    <row r="209" spans="1:57" x14ac:dyDescent="0.35">
      <c r="A209" s="240"/>
      <c r="B209" s="240"/>
      <c r="C209" s="58" t="s">
        <v>385</v>
      </c>
      <c r="D209" s="59">
        <v>1.544605</v>
      </c>
      <c r="E209" s="60">
        <v>0.39169500000000002</v>
      </c>
      <c r="F209" s="59">
        <v>0.22245100000000001</v>
      </c>
      <c r="G209" s="60">
        <v>1.36067</v>
      </c>
      <c r="H209" s="59">
        <v>-3.5082870000000002</v>
      </c>
      <c r="I209" s="60" t="s">
        <v>179</v>
      </c>
      <c r="J209" s="59">
        <v>7.9477000000000006E-2</v>
      </c>
      <c r="K209" s="60">
        <v>0.32075700000000001</v>
      </c>
      <c r="L209" s="59">
        <v>-1.8312489999999999</v>
      </c>
      <c r="M209" s="60">
        <v>1.213948</v>
      </c>
      <c r="N209" s="59">
        <v>0.733352</v>
      </c>
      <c r="O209" s="60">
        <v>-0.446266</v>
      </c>
      <c r="P209" s="59">
        <v>0.78756199999999998</v>
      </c>
      <c r="Q209" s="60">
        <v>0.12889500000000001</v>
      </c>
      <c r="R209" s="59">
        <v>3.2382559999999998</v>
      </c>
      <c r="S209" s="60">
        <v>-2.1767660000000002</v>
      </c>
      <c r="T209" s="59">
        <v>0.90091399999999999</v>
      </c>
      <c r="U209" s="60">
        <v>-0.41810799999999998</v>
      </c>
      <c r="V209" s="59">
        <v>0.77690499999999996</v>
      </c>
      <c r="W209" s="60">
        <v>2.4960499999999999</v>
      </c>
      <c r="X209" s="59">
        <v>-1.997838</v>
      </c>
      <c r="Y209" s="60">
        <v>-0.111916</v>
      </c>
      <c r="Z209" s="59">
        <v>0.48002600000000001</v>
      </c>
      <c r="AA209" s="60">
        <v>0.155862</v>
      </c>
      <c r="AB209" s="59">
        <v>0.91511200000000004</v>
      </c>
      <c r="AC209" s="60">
        <v>0.99419900000000005</v>
      </c>
      <c r="AD209" s="59">
        <v>0.51143300000000003</v>
      </c>
      <c r="AE209" s="60">
        <v>0.76368999999999998</v>
      </c>
      <c r="AF209" s="59">
        <v>0.75322</v>
      </c>
      <c r="AG209" s="60">
        <v>7.4476380000000004</v>
      </c>
      <c r="AH209" s="59">
        <v>0.74376299999999995</v>
      </c>
      <c r="AI209" s="60">
        <v>1.0984670000000001</v>
      </c>
      <c r="AJ209" s="59">
        <v>0.95712900000000001</v>
      </c>
      <c r="AK209" s="60">
        <v>-0.33679900000000002</v>
      </c>
      <c r="AL209" s="59">
        <v>-2.5921750000000001</v>
      </c>
      <c r="AM209" s="60">
        <v>1.009396</v>
      </c>
      <c r="AN209" s="59">
        <v>1.61588</v>
      </c>
      <c r="AO209" s="60">
        <v>9.9954000000000001E-2</v>
      </c>
      <c r="AP209" s="59">
        <v>0.14810999999999999</v>
      </c>
      <c r="AQ209" s="60">
        <v>0.99113700000000005</v>
      </c>
      <c r="AR209" s="59">
        <v>1.4655290000000001</v>
      </c>
      <c r="AS209" s="60">
        <v>0.14314499999999999</v>
      </c>
      <c r="AT209" s="59">
        <v>0.75386600000000004</v>
      </c>
      <c r="AU209" s="60">
        <v>0.80410800000000004</v>
      </c>
      <c r="AV209" s="59">
        <v>-2.5492659999999998</v>
      </c>
      <c r="AW209" s="60">
        <v>-1.1947589999999999</v>
      </c>
      <c r="AX209" s="59">
        <v>-1.482982</v>
      </c>
      <c r="AY209" s="60" t="s">
        <v>179</v>
      </c>
      <c r="AZ209" s="59">
        <v>1.31071</v>
      </c>
      <c r="BA209" s="60">
        <v>-2.7928109999999999</v>
      </c>
      <c r="BB209" s="59">
        <v>0.170927</v>
      </c>
      <c r="BC209" s="60" t="s">
        <v>179</v>
      </c>
      <c r="BD209" s="59" t="s">
        <v>179</v>
      </c>
      <c r="BE209" s="60">
        <v>9.6626000000000004E-2</v>
      </c>
    </row>
    <row r="210" spans="1:57" x14ac:dyDescent="0.35">
      <c r="A210" s="240"/>
      <c r="B210" s="240"/>
      <c r="C210" s="58" t="s">
        <v>386</v>
      </c>
      <c r="D210" s="59">
        <v>0.77410299999999999</v>
      </c>
      <c r="E210" s="60">
        <v>1.0190239999999999</v>
      </c>
      <c r="F210" s="59">
        <v>1.0448850000000001</v>
      </c>
      <c r="G210" s="60">
        <v>1.8138160000000001</v>
      </c>
      <c r="H210" s="59">
        <v>-0.31876100000000002</v>
      </c>
      <c r="I210" s="60" t="s">
        <v>179</v>
      </c>
      <c r="J210" s="59">
        <v>6.0137000000000003E-2</v>
      </c>
      <c r="K210" s="60">
        <v>0.90603599999999995</v>
      </c>
      <c r="L210" s="59">
        <v>-0.76281399999999999</v>
      </c>
      <c r="M210" s="60">
        <v>0.48904399999999998</v>
      </c>
      <c r="N210" s="59">
        <v>0.55509900000000001</v>
      </c>
      <c r="O210" s="60">
        <v>1.158067</v>
      </c>
      <c r="P210" s="59">
        <v>0.76069299999999995</v>
      </c>
      <c r="Q210" s="60">
        <v>-4.2903999999999998E-2</v>
      </c>
      <c r="R210" s="59">
        <v>-0.121209</v>
      </c>
      <c r="S210" s="60">
        <v>5.4241299999999999</v>
      </c>
      <c r="T210" s="59">
        <v>-0.82328999999999997</v>
      </c>
      <c r="U210" s="60">
        <v>0.62845899999999999</v>
      </c>
      <c r="V210" s="59">
        <v>-1.2661230000000001</v>
      </c>
      <c r="W210" s="60">
        <v>3.0346329999999999</v>
      </c>
      <c r="X210" s="59">
        <v>2.7823730000000002</v>
      </c>
      <c r="Y210" s="60">
        <v>-1.7705120000000001</v>
      </c>
      <c r="Z210" s="59">
        <v>2.640841</v>
      </c>
      <c r="AA210" s="60">
        <v>1.0492950000000001</v>
      </c>
      <c r="AB210" s="59">
        <v>1.6667540000000001</v>
      </c>
      <c r="AC210" s="60">
        <v>1.1786620000000001</v>
      </c>
      <c r="AD210" s="59">
        <v>0.72312900000000002</v>
      </c>
      <c r="AE210" s="60">
        <v>0.117497</v>
      </c>
      <c r="AF210" s="59">
        <v>1.3292029999999999</v>
      </c>
      <c r="AG210" s="60">
        <v>-3.3045260000000001</v>
      </c>
      <c r="AH210" s="59">
        <v>1.6735549999999999</v>
      </c>
      <c r="AI210" s="60">
        <v>0.99846100000000004</v>
      </c>
      <c r="AJ210" s="59">
        <v>1.2639020000000001</v>
      </c>
      <c r="AK210" s="60">
        <v>5.6597000000000001E-2</v>
      </c>
      <c r="AL210" s="59">
        <v>-2.5303499999999999</v>
      </c>
      <c r="AM210" s="60">
        <v>0.630714</v>
      </c>
      <c r="AN210" s="59">
        <v>0.94647199999999998</v>
      </c>
      <c r="AO210" s="60">
        <v>1.0493809999999999</v>
      </c>
      <c r="AP210" s="59">
        <v>0.99152700000000005</v>
      </c>
      <c r="AQ210" s="60">
        <v>0.56775699999999996</v>
      </c>
      <c r="AR210" s="59">
        <v>1.0188999999999999</v>
      </c>
      <c r="AS210" s="60">
        <v>0.69074199999999997</v>
      </c>
      <c r="AT210" s="59">
        <v>0.89065799999999995</v>
      </c>
      <c r="AU210" s="60">
        <v>0.63007599999999997</v>
      </c>
      <c r="AV210" s="59">
        <v>-1.2458530000000001</v>
      </c>
      <c r="AW210" s="60">
        <v>-7.3515999999999998E-2</v>
      </c>
      <c r="AX210" s="59">
        <v>-2.3251270000000002</v>
      </c>
      <c r="AY210" s="60" t="s">
        <v>179</v>
      </c>
      <c r="AZ210" s="59">
        <v>1.624153</v>
      </c>
      <c r="BA210" s="60">
        <v>5.6476810000000004</v>
      </c>
      <c r="BB210" s="59">
        <v>-0.43443700000000002</v>
      </c>
      <c r="BC210" s="60" t="s">
        <v>179</v>
      </c>
      <c r="BD210" s="59" t="s">
        <v>179</v>
      </c>
      <c r="BE210" s="60">
        <v>0.91959100000000005</v>
      </c>
    </row>
    <row r="211" spans="1:57" x14ac:dyDescent="0.35">
      <c r="A211" s="240"/>
      <c r="B211" s="240"/>
      <c r="C211" s="58" t="s">
        <v>387</v>
      </c>
      <c r="D211" s="59">
        <v>0.331984</v>
      </c>
      <c r="E211" s="60">
        <v>0.96933899999999995</v>
      </c>
      <c r="F211" s="59">
        <v>1.3680680000000001</v>
      </c>
      <c r="G211" s="60">
        <v>0.83654499999999998</v>
      </c>
      <c r="H211" s="59">
        <v>0.27399600000000002</v>
      </c>
      <c r="I211" s="60" t="s">
        <v>179</v>
      </c>
      <c r="J211" s="59">
        <v>0.401036</v>
      </c>
      <c r="K211" s="60">
        <v>0.51638300000000004</v>
      </c>
      <c r="L211" s="59">
        <v>0.91505800000000004</v>
      </c>
      <c r="M211" s="60">
        <v>0.95701599999999998</v>
      </c>
      <c r="N211" s="59">
        <v>0.84937300000000004</v>
      </c>
      <c r="O211" s="60">
        <v>3.0000000000000001E-6</v>
      </c>
      <c r="P211" s="59">
        <v>0.93557800000000002</v>
      </c>
      <c r="Q211" s="60">
        <v>1.116868</v>
      </c>
      <c r="R211" s="59">
        <v>-2.2027909999999999</v>
      </c>
      <c r="S211" s="60">
        <v>1.187157</v>
      </c>
      <c r="T211" s="59">
        <v>4.2499349999999998</v>
      </c>
      <c r="U211" s="60">
        <v>0.38171500000000003</v>
      </c>
      <c r="V211" s="59">
        <v>0.34201199999999998</v>
      </c>
      <c r="W211" s="60">
        <v>4.383165</v>
      </c>
      <c r="X211" s="59">
        <v>-0.93149800000000005</v>
      </c>
      <c r="Y211" s="60">
        <v>0.82743800000000001</v>
      </c>
      <c r="Z211" s="59">
        <v>2.7023730000000001</v>
      </c>
      <c r="AA211" s="60">
        <v>0.61193399999999998</v>
      </c>
      <c r="AB211" s="59">
        <v>1.1129020000000001</v>
      </c>
      <c r="AC211" s="60">
        <v>0.84224600000000005</v>
      </c>
      <c r="AD211" s="59">
        <v>4.5591E-2</v>
      </c>
      <c r="AE211" s="60">
        <v>2.3394159999999999</v>
      </c>
      <c r="AF211" s="59">
        <v>0.52208100000000002</v>
      </c>
      <c r="AG211" s="60">
        <v>-1.6841630000000001</v>
      </c>
      <c r="AH211" s="59">
        <v>4.2422620000000002</v>
      </c>
      <c r="AI211" s="60">
        <v>1.186015</v>
      </c>
      <c r="AJ211" s="59">
        <v>0.50439199999999995</v>
      </c>
      <c r="AK211" s="60">
        <v>0.89915</v>
      </c>
      <c r="AL211" s="59">
        <v>0.82798899999999998</v>
      </c>
      <c r="AM211" s="60">
        <v>0.206315</v>
      </c>
      <c r="AN211" s="59">
        <v>0.76915900000000004</v>
      </c>
      <c r="AO211" s="60">
        <v>0.57807699999999995</v>
      </c>
      <c r="AP211" s="59">
        <v>0.60391799999999995</v>
      </c>
      <c r="AQ211" s="60">
        <v>0.55896299999999999</v>
      </c>
      <c r="AR211" s="59">
        <v>0.76010800000000001</v>
      </c>
      <c r="AS211" s="60">
        <v>0.60889300000000002</v>
      </c>
      <c r="AT211" s="59">
        <v>0.93220000000000003</v>
      </c>
      <c r="AU211" s="60">
        <v>0.73956699999999997</v>
      </c>
      <c r="AV211" s="59">
        <v>-1.129907</v>
      </c>
      <c r="AW211" s="60">
        <v>0.59359300000000004</v>
      </c>
      <c r="AX211" s="59">
        <v>-2.6413579999999999</v>
      </c>
      <c r="AY211" s="60" t="s">
        <v>179</v>
      </c>
      <c r="AZ211" s="59">
        <v>2.5822319999999999</v>
      </c>
      <c r="BA211" s="60">
        <v>-5.4982999999999997E-2</v>
      </c>
      <c r="BB211" s="59">
        <v>-0.27715800000000002</v>
      </c>
      <c r="BC211" s="60" t="s">
        <v>179</v>
      </c>
      <c r="BD211" s="59" t="s">
        <v>179</v>
      </c>
      <c r="BE211" s="60">
        <v>0.795848</v>
      </c>
    </row>
    <row r="212" spans="1:57" x14ac:dyDescent="0.35">
      <c r="A212" s="240"/>
      <c r="B212" s="240"/>
      <c r="C212" s="58" t="s">
        <v>388</v>
      </c>
      <c r="D212" s="59">
        <v>1.1672180000000001</v>
      </c>
      <c r="E212" s="60">
        <v>1.3776809999999999</v>
      </c>
      <c r="F212" s="59">
        <v>1.4535180000000001</v>
      </c>
      <c r="G212" s="60">
        <v>1.564676</v>
      </c>
      <c r="H212" s="59">
        <v>2.5032749999999999</v>
      </c>
      <c r="I212" s="60" t="s">
        <v>179</v>
      </c>
      <c r="J212" s="59">
        <v>0.953318</v>
      </c>
      <c r="K212" s="60">
        <v>0.61805299999999996</v>
      </c>
      <c r="L212" s="59">
        <v>1.0471680000000001</v>
      </c>
      <c r="M212" s="60">
        <v>0.77289699999999995</v>
      </c>
      <c r="N212" s="59">
        <v>1.174051</v>
      </c>
      <c r="O212" s="60">
        <v>1.157065</v>
      </c>
      <c r="P212" s="59">
        <v>0.38330900000000001</v>
      </c>
      <c r="Q212" s="60">
        <v>1.847181</v>
      </c>
      <c r="R212" s="59">
        <v>0.56672100000000003</v>
      </c>
      <c r="S212" s="60">
        <v>4.7269949999999996</v>
      </c>
      <c r="T212" s="59">
        <v>0.45025999999999999</v>
      </c>
      <c r="U212" s="60">
        <v>0.81941200000000003</v>
      </c>
      <c r="V212" s="59">
        <v>0.56431799999999999</v>
      </c>
      <c r="W212" s="60">
        <v>2.7811710000000001</v>
      </c>
      <c r="X212" s="59">
        <v>3.061626</v>
      </c>
      <c r="Y212" s="60">
        <v>-1.8047420000000001</v>
      </c>
      <c r="Z212" s="59">
        <v>3.3158029999999998</v>
      </c>
      <c r="AA212" s="60">
        <v>0.81432700000000002</v>
      </c>
      <c r="AB212" s="59">
        <v>1.377229</v>
      </c>
      <c r="AC212" s="60">
        <v>2.7664070000000001</v>
      </c>
      <c r="AD212" s="59">
        <v>2.054678</v>
      </c>
      <c r="AE212" s="60">
        <v>2.1578219999999999</v>
      </c>
      <c r="AF212" s="59">
        <v>0.98038499999999995</v>
      </c>
      <c r="AG212" s="60">
        <v>-0.62374799999999997</v>
      </c>
      <c r="AH212" s="59">
        <v>-2.573016</v>
      </c>
      <c r="AI212" s="60">
        <v>1.3294600000000001</v>
      </c>
      <c r="AJ212" s="59">
        <v>0.92698800000000003</v>
      </c>
      <c r="AK212" s="60">
        <v>0.64280400000000004</v>
      </c>
      <c r="AL212" s="59">
        <v>0.38146099999999999</v>
      </c>
      <c r="AM212" s="60">
        <v>1.8387990000000001</v>
      </c>
      <c r="AN212" s="59">
        <v>1.3096650000000001</v>
      </c>
      <c r="AO212" s="60">
        <v>1.1516230000000001</v>
      </c>
      <c r="AP212" s="59">
        <v>1.146835</v>
      </c>
      <c r="AQ212" s="60">
        <v>1.177475</v>
      </c>
      <c r="AR212" s="59">
        <v>1.28437</v>
      </c>
      <c r="AS212" s="60">
        <v>1.2137979999999999</v>
      </c>
      <c r="AT212" s="59">
        <v>1.2047019999999999</v>
      </c>
      <c r="AU212" s="60">
        <v>1.2164699999999999</v>
      </c>
      <c r="AV212" s="59">
        <v>-0.28815000000000002</v>
      </c>
      <c r="AW212" s="60">
        <v>0.18856500000000001</v>
      </c>
      <c r="AX212" s="59">
        <v>-0.83993499999999999</v>
      </c>
      <c r="AY212" s="60" t="s">
        <v>179</v>
      </c>
      <c r="AZ212" s="59">
        <v>1.2453289999999999</v>
      </c>
      <c r="BA212" s="60">
        <v>0.27341700000000002</v>
      </c>
      <c r="BB212" s="59">
        <v>1.090803</v>
      </c>
      <c r="BC212" s="60" t="s">
        <v>179</v>
      </c>
      <c r="BD212" s="59" t="s">
        <v>179</v>
      </c>
      <c r="BE212" s="60">
        <v>1.0921190000000001</v>
      </c>
    </row>
    <row r="213" spans="1:57" x14ac:dyDescent="0.35">
      <c r="A213" s="240"/>
      <c r="B213" s="240"/>
      <c r="C213" s="58" t="s">
        <v>389</v>
      </c>
      <c r="D213" s="59">
        <v>1.6971480000000001</v>
      </c>
      <c r="E213" s="60">
        <v>0.84796899999999997</v>
      </c>
      <c r="F213" s="59">
        <v>1.1841269999999999</v>
      </c>
      <c r="G213" s="60">
        <v>1.4066959999999999</v>
      </c>
      <c r="H213" s="59">
        <v>2.235366</v>
      </c>
      <c r="I213" s="60" t="s">
        <v>179</v>
      </c>
      <c r="J213" s="59">
        <v>1.078568</v>
      </c>
      <c r="K213" s="60">
        <v>1.3987959999999999</v>
      </c>
      <c r="L213" s="59">
        <v>2.608876</v>
      </c>
      <c r="M213" s="60">
        <v>1.4911810000000001</v>
      </c>
      <c r="N213" s="59">
        <v>1.370071</v>
      </c>
      <c r="O213" s="60">
        <v>0.77877300000000005</v>
      </c>
      <c r="P213" s="59">
        <v>1.599426</v>
      </c>
      <c r="Q213" s="60">
        <v>1.2157199999999999</v>
      </c>
      <c r="R213" s="59">
        <v>4.011253</v>
      </c>
      <c r="S213" s="60">
        <v>2.3827820000000002</v>
      </c>
      <c r="T213" s="59">
        <v>1.9559789999999999</v>
      </c>
      <c r="U213" s="60">
        <v>1.5036639999999999</v>
      </c>
      <c r="V213" s="59">
        <v>5.6329999999999998E-2</v>
      </c>
      <c r="W213" s="60">
        <v>2.8862549999999998</v>
      </c>
      <c r="X213" s="59">
        <v>3.6604199999999998</v>
      </c>
      <c r="Y213" s="60">
        <v>9.0329000000000007E-2</v>
      </c>
      <c r="Z213" s="59">
        <v>0.60443899999999995</v>
      </c>
      <c r="AA213" s="60">
        <v>1.0396529999999999</v>
      </c>
      <c r="AB213" s="59">
        <v>1.4068750000000001</v>
      </c>
      <c r="AC213" s="60">
        <v>1.245614</v>
      </c>
      <c r="AD213" s="59">
        <v>1.720367</v>
      </c>
      <c r="AE213" s="60">
        <v>2.1473279999999999</v>
      </c>
      <c r="AF213" s="59">
        <v>0.57436100000000001</v>
      </c>
      <c r="AG213" s="60">
        <v>-0.45195600000000002</v>
      </c>
      <c r="AH213" s="59">
        <v>1.7348209999999999</v>
      </c>
      <c r="AI213" s="60">
        <v>1.134279</v>
      </c>
      <c r="AJ213" s="59">
        <v>1.781641</v>
      </c>
      <c r="AK213" s="60">
        <v>2.3680319999999999</v>
      </c>
      <c r="AL213" s="59">
        <v>0.28058300000000003</v>
      </c>
      <c r="AM213" s="60">
        <v>1.4409209999999999</v>
      </c>
      <c r="AN213" s="59">
        <v>1.6995849999999999</v>
      </c>
      <c r="AO213" s="60">
        <v>1.1847240000000001</v>
      </c>
      <c r="AP213" s="59">
        <v>1.230437</v>
      </c>
      <c r="AQ213" s="60">
        <v>1.272165</v>
      </c>
      <c r="AR213" s="59">
        <v>1.61955</v>
      </c>
      <c r="AS213" s="60">
        <v>1.2508379999999999</v>
      </c>
      <c r="AT213" s="59">
        <v>1.3763920000000001</v>
      </c>
      <c r="AU213" s="60">
        <v>1.3157049999999999</v>
      </c>
      <c r="AV213" s="59">
        <v>1.6728209999999999</v>
      </c>
      <c r="AW213" s="60">
        <v>1.4907429999999999</v>
      </c>
      <c r="AX213" s="59">
        <v>-5.4393630000000002</v>
      </c>
      <c r="AY213" s="60" t="s">
        <v>179</v>
      </c>
      <c r="AZ213" s="59">
        <v>1.65076</v>
      </c>
      <c r="BA213" s="60">
        <v>0.107212</v>
      </c>
      <c r="BB213" s="59">
        <v>0.87926800000000005</v>
      </c>
      <c r="BC213" s="60" t="s">
        <v>179</v>
      </c>
      <c r="BD213" s="59" t="s">
        <v>179</v>
      </c>
      <c r="BE213" s="60">
        <v>1.099653</v>
      </c>
    </row>
    <row r="214" spans="1:57" x14ac:dyDescent="0.35">
      <c r="A214" s="240"/>
      <c r="B214" s="240"/>
      <c r="C214" s="58" t="s">
        <v>390</v>
      </c>
      <c r="D214" s="59">
        <v>0.37804500000000002</v>
      </c>
      <c r="E214" s="60">
        <v>1.0392079999999999</v>
      </c>
      <c r="F214" s="59">
        <v>0.71104999999999996</v>
      </c>
      <c r="G214" s="60">
        <v>1.599736</v>
      </c>
      <c r="H214" s="59">
        <v>0.37017600000000001</v>
      </c>
      <c r="I214" s="60" t="s">
        <v>179</v>
      </c>
      <c r="J214" s="59">
        <v>1.338392</v>
      </c>
      <c r="K214" s="60">
        <v>0.97509999999999997</v>
      </c>
      <c r="L214" s="59">
        <v>3.801247</v>
      </c>
      <c r="M214" s="60">
        <v>2.5198800000000001</v>
      </c>
      <c r="N214" s="59">
        <v>0.97557499999999997</v>
      </c>
      <c r="O214" s="60">
        <v>1.427875</v>
      </c>
      <c r="P214" s="59">
        <v>0.37956299999999998</v>
      </c>
      <c r="Q214" s="60">
        <v>0.95835400000000004</v>
      </c>
      <c r="R214" s="59">
        <v>-0.148921</v>
      </c>
      <c r="S214" s="60">
        <v>0.89797099999999996</v>
      </c>
      <c r="T214" s="59">
        <v>2.1209449999999999</v>
      </c>
      <c r="U214" s="60">
        <v>1.1594390000000001</v>
      </c>
      <c r="V214" s="59">
        <v>1.808878</v>
      </c>
      <c r="W214" s="60">
        <v>1.895052</v>
      </c>
      <c r="X214" s="59">
        <v>0.37645600000000001</v>
      </c>
      <c r="Y214" s="60">
        <v>2.8138619999999999</v>
      </c>
      <c r="Z214" s="59">
        <v>5.0585319999999996</v>
      </c>
      <c r="AA214" s="60">
        <v>1.9168810000000001</v>
      </c>
      <c r="AB214" s="59">
        <v>0.62270999999999999</v>
      </c>
      <c r="AC214" s="60">
        <v>1.4554339999999999</v>
      </c>
      <c r="AD214" s="59">
        <v>1.4782139999999999</v>
      </c>
      <c r="AE214" s="60">
        <v>-0.50244900000000003</v>
      </c>
      <c r="AF214" s="59">
        <v>2.2254679999999998</v>
      </c>
      <c r="AG214" s="60">
        <v>1.080214</v>
      </c>
      <c r="AH214" s="59">
        <v>1.0729169999999999</v>
      </c>
      <c r="AI214" s="60">
        <v>1.5996600000000001</v>
      </c>
      <c r="AJ214" s="59">
        <v>0.78096399999999999</v>
      </c>
      <c r="AK214" s="60">
        <v>0.74421499999999996</v>
      </c>
      <c r="AL214" s="59">
        <v>0.95572800000000002</v>
      </c>
      <c r="AM214" s="60">
        <v>0.76187199999999999</v>
      </c>
      <c r="AN214" s="59">
        <v>0.36176000000000003</v>
      </c>
      <c r="AO214" s="60">
        <v>1.212955</v>
      </c>
      <c r="AP214" s="59">
        <v>1.1527940000000001</v>
      </c>
      <c r="AQ214" s="60">
        <v>0.88406600000000002</v>
      </c>
      <c r="AR214" s="59">
        <v>0.58980100000000002</v>
      </c>
      <c r="AS214" s="60">
        <v>1.0741970000000001</v>
      </c>
      <c r="AT214" s="59">
        <v>1.3230679999999999</v>
      </c>
      <c r="AU214" s="60">
        <v>0.98529</v>
      </c>
      <c r="AV214" s="59">
        <v>-0.34000200000000003</v>
      </c>
      <c r="AW214" s="60">
        <v>1.773579</v>
      </c>
      <c r="AX214" s="59">
        <v>8.657368</v>
      </c>
      <c r="AY214" s="60" t="s">
        <v>179</v>
      </c>
      <c r="AZ214" s="59">
        <v>2.0995270000000001</v>
      </c>
      <c r="BA214" s="60">
        <v>3.1474639999999998</v>
      </c>
      <c r="BB214" s="59">
        <v>0.98811899999999997</v>
      </c>
      <c r="BC214" s="60" t="s">
        <v>179</v>
      </c>
      <c r="BD214" s="59" t="s">
        <v>179</v>
      </c>
      <c r="BE214" s="60">
        <v>1.124835</v>
      </c>
    </row>
    <row r="215" spans="1:57" x14ac:dyDescent="0.35">
      <c r="A215" s="240"/>
      <c r="B215" s="240"/>
      <c r="C215" s="58" t="s">
        <v>391</v>
      </c>
      <c r="D215" s="59">
        <v>0.91830699999999998</v>
      </c>
      <c r="E215" s="60">
        <v>0.81539200000000001</v>
      </c>
      <c r="F215" s="59">
        <v>0.71951299999999996</v>
      </c>
      <c r="G215" s="60">
        <v>1.188585</v>
      </c>
      <c r="H215" s="59">
        <v>-1.8166000000000002E-2</v>
      </c>
      <c r="I215" s="60" t="s">
        <v>179</v>
      </c>
      <c r="J215" s="59">
        <v>1.022127</v>
      </c>
      <c r="K215" s="60">
        <v>1.138417</v>
      </c>
      <c r="L215" s="59">
        <v>2.4927269999999999</v>
      </c>
      <c r="M215" s="60">
        <v>0.115577</v>
      </c>
      <c r="N215" s="59">
        <v>0.95416699999999999</v>
      </c>
      <c r="O215" s="60">
        <v>0.82143200000000005</v>
      </c>
      <c r="P215" s="59">
        <v>0.92110000000000003</v>
      </c>
      <c r="Q215" s="60">
        <v>0.91564800000000002</v>
      </c>
      <c r="R215" s="59">
        <v>0.95387999999999995</v>
      </c>
      <c r="S215" s="60">
        <v>2.7790520000000001</v>
      </c>
      <c r="T215" s="59">
        <v>3.1517949999999999</v>
      </c>
      <c r="U215" s="60">
        <v>0.66347599999999995</v>
      </c>
      <c r="V215" s="59">
        <v>0.27770899999999998</v>
      </c>
      <c r="W215" s="60">
        <v>1.3325100000000001</v>
      </c>
      <c r="X215" s="59">
        <v>0.53202899999999997</v>
      </c>
      <c r="Y215" s="60">
        <v>0.89875700000000003</v>
      </c>
      <c r="Z215" s="59">
        <v>-0.96125799999999995</v>
      </c>
      <c r="AA215" s="60">
        <v>1.5320199999999999</v>
      </c>
      <c r="AB215" s="59">
        <v>1.116803</v>
      </c>
      <c r="AC215" s="60">
        <v>4.8631000000000001E-2</v>
      </c>
      <c r="AD215" s="59">
        <v>-1.4441630000000001</v>
      </c>
      <c r="AE215" s="60">
        <v>1.1855629999999999</v>
      </c>
      <c r="AF215" s="59">
        <v>-0.52848099999999998</v>
      </c>
      <c r="AG215" s="60">
        <v>0.97661299999999995</v>
      </c>
      <c r="AH215" s="59">
        <v>1.4377789999999999</v>
      </c>
      <c r="AI215" s="60">
        <v>1.252232</v>
      </c>
      <c r="AJ215" s="59">
        <v>2.344576</v>
      </c>
      <c r="AK215" s="60">
        <v>0.43992500000000001</v>
      </c>
      <c r="AL215" s="59">
        <v>5.0357539999999998</v>
      </c>
      <c r="AM215" s="60">
        <v>0.55965699999999996</v>
      </c>
      <c r="AN215" s="59">
        <v>1.8311649999999999</v>
      </c>
      <c r="AO215" s="60">
        <v>0.87775899999999996</v>
      </c>
      <c r="AP215" s="59">
        <v>0.93860100000000002</v>
      </c>
      <c r="AQ215" s="60">
        <v>1.211541</v>
      </c>
      <c r="AR215" s="59">
        <v>1.756699</v>
      </c>
      <c r="AS215" s="60">
        <v>1.040073</v>
      </c>
      <c r="AT215" s="59">
        <v>1.1782159999999999</v>
      </c>
      <c r="AU215" s="60">
        <v>1.245711</v>
      </c>
      <c r="AV215" s="59">
        <v>-1.608892</v>
      </c>
      <c r="AW215" s="60">
        <v>0.456895</v>
      </c>
      <c r="AX215" s="59">
        <v>0.90036799999999995</v>
      </c>
      <c r="AY215" s="60" t="s">
        <v>179</v>
      </c>
      <c r="AZ215" s="59">
        <v>0.134907</v>
      </c>
      <c r="BA215" s="60">
        <v>-0.57492399999999999</v>
      </c>
      <c r="BB215" s="59">
        <v>1.381516</v>
      </c>
      <c r="BC215" s="60" t="s">
        <v>179</v>
      </c>
      <c r="BD215" s="59" t="s">
        <v>179</v>
      </c>
      <c r="BE215" s="60">
        <v>0.92010400000000003</v>
      </c>
    </row>
    <row r="216" spans="1:57" x14ac:dyDescent="0.35">
      <c r="A216" s="240"/>
      <c r="B216" s="240"/>
      <c r="C216" s="58" t="s">
        <v>392</v>
      </c>
      <c r="D216" s="59">
        <v>0.19248999999999999</v>
      </c>
      <c r="E216" s="60">
        <v>0.58397200000000005</v>
      </c>
      <c r="F216" s="59">
        <v>0.463673</v>
      </c>
      <c r="G216" s="60">
        <v>1.0169820000000001</v>
      </c>
      <c r="H216" s="59">
        <v>1.503207</v>
      </c>
      <c r="I216" s="60" t="s">
        <v>179</v>
      </c>
      <c r="J216" s="59">
        <v>1.3232630000000001</v>
      </c>
      <c r="K216" s="60">
        <v>0.27623799999999998</v>
      </c>
      <c r="L216" s="59">
        <v>1.2296929999999999</v>
      </c>
      <c r="M216" s="60">
        <v>2.0625960000000001</v>
      </c>
      <c r="N216" s="59">
        <v>0.62489700000000004</v>
      </c>
      <c r="O216" s="60">
        <v>-2.3611E-2</v>
      </c>
      <c r="P216" s="59">
        <v>1.8664210000000001</v>
      </c>
      <c r="Q216" s="60">
        <v>0.82589400000000002</v>
      </c>
      <c r="R216" s="59">
        <v>3.1248399999999998</v>
      </c>
      <c r="S216" s="60">
        <v>2.9224869999999998</v>
      </c>
      <c r="T216" s="59">
        <v>3.0096080000000001</v>
      </c>
      <c r="U216" s="60">
        <v>0.68370399999999998</v>
      </c>
      <c r="V216" s="59">
        <v>7.8227000000000005E-2</v>
      </c>
      <c r="W216" s="60">
        <v>2.754591</v>
      </c>
      <c r="X216" s="59">
        <v>2.2939609999999999</v>
      </c>
      <c r="Y216" s="60">
        <v>1.0120629999999999</v>
      </c>
      <c r="Z216" s="59">
        <v>1.5374920000000001</v>
      </c>
      <c r="AA216" s="60">
        <v>0.77787200000000001</v>
      </c>
      <c r="AB216" s="59">
        <v>0.82516299999999998</v>
      </c>
      <c r="AC216" s="60">
        <v>0.39097100000000001</v>
      </c>
      <c r="AD216" s="59">
        <v>0.97045199999999998</v>
      </c>
      <c r="AE216" s="60">
        <v>0.40348800000000001</v>
      </c>
      <c r="AF216" s="59">
        <v>1.4648509999999999</v>
      </c>
      <c r="AG216" s="60">
        <v>0.59439200000000003</v>
      </c>
      <c r="AH216" s="59">
        <v>1.1940269999999999</v>
      </c>
      <c r="AI216" s="60">
        <v>1.079224</v>
      </c>
      <c r="AJ216" s="59">
        <v>0.85503099999999999</v>
      </c>
      <c r="AK216" s="60">
        <v>0.76650700000000005</v>
      </c>
      <c r="AL216" s="59">
        <v>2.3347090000000001</v>
      </c>
      <c r="AM216" s="60">
        <v>0.27334700000000001</v>
      </c>
      <c r="AN216" s="59">
        <v>0.13355500000000001</v>
      </c>
      <c r="AO216" s="60">
        <v>0.57360800000000001</v>
      </c>
      <c r="AP216" s="59">
        <v>0.57537799999999995</v>
      </c>
      <c r="AQ216" s="60">
        <v>0.230708</v>
      </c>
      <c r="AR216" s="59">
        <v>0.25622400000000001</v>
      </c>
      <c r="AS216" s="60">
        <v>0.68181499999999995</v>
      </c>
      <c r="AT216" s="59">
        <v>0.76457200000000003</v>
      </c>
      <c r="AU216" s="60">
        <v>0.50140099999999999</v>
      </c>
      <c r="AV216" s="59">
        <v>-0.255185</v>
      </c>
      <c r="AW216" s="60">
        <v>1.0165059999999999</v>
      </c>
      <c r="AX216" s="59">
        <v>0.81357299999999999</v>
      </c>
      <c r="AY216" s="60" t="s">
        <v>179</v>
      </c>
      <c r="AZ216" s="59">
        <v>1.327693</v>
      </c>
      <c r="BA216" s="60">
        <v>2.436407</v>
      </c>
      <c r="BB216" s="59">
        <v>-1.519962</v>
      </c>
      <c r="BC216" s="60" t="s">
        <v>179</v>
      </c>
      <c r="BD216" s="59" t="s">
        <v>179</v>
      </c>
      <c r="BE216" s="60">
        <v>0.99038599999999999</v>
      </c>
    </row>
    <row r="217" spans="1:57" x14ac:dyDescent="0.35">
      <c r="A217" s="240"/>
      <c r="B217" s="240"/>
      <c r="C217" s="58" t="s">
        <v>393</v>
      </c>
      <c r="D217" s="59">
        <v>-0.38103199999999998</v>
      </c>
      <c r="E217" s="60">
        <v>0.87510500000000002</v>
      </c>
      <c r="F217" s="59">
        <v>0.97757700000000003</v>
      </c>
      <c r="G217" s="60">
        <v>0.171207</v>
      </c>
      <c r="H217" s="59">
        <v>1.2497450000000001</v>
      </c>
      <c r="I217" s="60" t="s">
        <v>179</v>
      </c>
      <c r="J217" s="59">
        <v>0.43609300000000001</v>
      </c>
      <c r="K217" s="60">
        <v>0.9778</v>
      </c>
      <c r="L217" s="59">
        <v>2.2514850000000002</v>
      </c>
      <c r="M217" s="60">
        <v>1.073296</v>
      </c>
      <c r="N217" s="59">
        <v>0.80428500000000003</v>
      </c>
      <c r="O217" s="60">
        <v>-0.31889000000000001</v>
      </c>
      <c r="P217" s="59">
        <v>1.4186840000000001</v>
      </c>
      <c r="Q217" s="60">
        <v>1.628695</v>
      </c>
      <c r="R217" s="59">
        <v>-8.4200000000000004E-3</v>
      </c>
      <c r="S217" s="60">
        <v>1.1213409999999999</v>
      </c>
      <c r="T217" s="59">
        <v>-0.208371</v>
      </c>
      <c r="U217" s="60">
        <v>1.464388</v>
      </c>
      <c r="V217" s="59">
        <v>0.97353800000000001</v>
      </c>
      <c r="W217" s="60">
        <v>-0.32445800000000002</v>
      </c>
      <c r="X217" s="59">
        <v>-1.105308</v>
      </c>
      <c r="Y217" s="60">
        <v>1.7278070000000001</v>
      </c>
      <c r="Z217" s="59">
        <v>0.80718900000000005</v>
      </c>
      <c r="AA217" s="60">
        <v>-0.66237000000000001</v>
      </c>
      <c r="AB217" s="59">
        <v>1.2997289999999999</v>
      </c>
      <c r="AC217" s="60">
        <v>0.19748199999999999</v>
      </c>
      <c r="AD217" s="59">
        <v>3.9329999999999997E-2</v>
      </c>
      <c r="AE217" s="60">
        <v>3.1406399999999999</v>
      </c>
      <c r="AF217" s="59">
        <v>0.66939000000000004</v>
      </c>
      <c r="AG217" s="60">
        <v>0.56084699999999998</v>
      </c>
      <c r="AH217" s="59">
        <v>0.70810799999999996</v>
      </c>
      <c r="AI217" s="60">
        <v>1.0304450000000001</v>
      </c>
      <c r="AJ217" s="59">
        <v>-0.27579500000000001</v>
      </c>
      <c r="AK217" s="60">
        <v>0.98408300000000004</v>
      </c>
      <c r="AL217" s="59">
        <v>-0.28128799999999998</v>
      </c>
      <c r="AM217" s="60">
        <v>0.15740299999999999</v>
      </c>
      <c r="AN217" s="59">
        <v>0.62289000000000005</v>
      </c>
      <c r="AO217" s="60">
        <v>0.67243299999999995</v>
      </c>
      <c r="AP217" s="59">
        <v>0.70435899999999996</v>
      </c>
      <c r="AQ217" s="60">
        <v>0.599831</v>
      </c>
      <c r="AR217" s="59">
        <v>0.47426099999999999</v>
      </c>
      <c r="AS217" s="60">
        <v>0.64869900000000003</v>
      </c>
      <c r="AT217" s="59">
        <v>0.73018700000000003</v>
      </c>
      <c r="AU217" s="60">
        <v>0.55670900000000001</v>
      </c>
      <c r="AV217" s="59">
        <v>0.30685800000000002</v>
      </c>
      <c r="AW217" s="60">
        <v>1.330473</v>
      </c>
      <c r="AX217" s="59">
        <v>0.89998500000000003</v>
      </c>
      <c r="AY217" s="60" t="s">
        <v>179</v>
      </c>
      <c r="AZ217" s="59">
        <v>4.1890999999999998E-2</v>
      </c>
      <c r="BA217" s="60">
        <v>2.875613</v>
      </c>
      <c r="BB217" s="59">
        <v>0.67103100000000004</v>
      </c>
      <c r="BC217" s="60" t="s">
        <v>179</v>
      </c>
      <c r="BD217" s="59" t="s">
        <v>179</v>
      </c>
      <c r="BE217" s="60">
        <v>0.85076399999999996</v>
      </c>
    </row>
    <row r="218" spans="1:57" x14ac:dyDescent="0.35">
      <c r="A218" s="240"/>
      <c r="B218" s="240"/>
      <c r="C218" s="58" t="s">
        <v>394</v>
      </c>
      <c r="D218" s="59">
        <v>1.0218799999999999</v>
      </c>
      <c r="E218" s="60">
        <v>-0.12468799999999999</v>
      </c>
      <c r="F218" s="59">
        <v>5.6383000000000003E-2</v>
      </c>
      <c r="G218" s="60">
        <v>0.52965099999999998</v>
      </c>
      <c r="H218" s="59">
        <v>1.1258619999999999</v>
      </c>
      <c r="I218" s="60" t="s">
        <v>179</v>
      </c>
      <c r="J218" s="59">
        <v>1.1570609999999999</v>
      </c>
      <c r="K218" s="60">
        <v>-1.0857220000000001</v>
      </c>
      <c r="L218" s="59">
        <v>1.448787</v>
      </c>
      <c r="M218" s="60">
        <v>0.68389200000000006</v>
      </c>
      <c r="N218" s="59">
        <v>0.58745800000000004</v>
      </c>
      <c r="O218" s="60">
        <v>2.0142190000000002</v>
      </c>
      <c r="P218" s="59">
        <v>1.2409429999999999</v>
      </c>
      <c r="Q218" s="60">
        <v>0.92017899999999997</v>
      </c>
      <c r="R218" s="59">
        <v>-1.4358470000000001</v>
      </c>
      <c r="S218" s="60">
        <v>0.81783899999999998</v>
      </c>
      <c r="T218" s="59">
        <v>-1.060813</v>
      </c>
      <c r="U218" s="60">
        <v>0.53088100000000005</v>
      </c>
      <c r="V218" s="59">
        <v>0.54396699999999998</v>
      </c>
      <c r="W218" s="60">
        <v>1.2255549999999999</v>
      </c>
      <c r="X218" s="59">
        <v>2.169594</v>
      </c>
      <c r="Y218" s="60">
        <v>2.8981249999999998</v>
      </c>
      <c r="Z218" s="59">
        <v>1.5796269999999999</v>
      </c>
      <c r="AA218" s="60">
        <v>6.8971000000000005E-2</v>
      </c>
      <c r="AB218" s="59">
        <v>0.10852100000000001</v>
      </c>
      <c r="AC218" s="60">
        <v>0.33881099999999997</v>
      </c>
      <c r="AD218" s="59">
        <v>1.169896</v>
      </c>
      <c r="AE218" s="60">
        <v>-1.5294129999999999</v>
      </c>
      <c r="AF218" s="59">
        <v>-0.31267499999999998</v>
      </c>
      <c r="AG218" s="60">
        <v>0.70857199999999998</v>
      </c>
      <c r="AH218" s="59">
        <v>1.206949</v>
      </c>
      <c r="AI218" s="60">
        <v>1.061758</v>
      </c>
      <c r="AJ218" s="59">
        <v>0.47212199999999999</v>
      </c>
      <c r="AK218" s="60">
        <v>2.4906999999999999E-2</v>
      </c>
      <c r="AL218" s="59">
        <v>-4.4903599999999999</v>
      </c>
      <c r="AM218" s="60">
        <v>1.4305669999999999</v>
      </c>
      <c r="AN218" s="59">
        <v>-0.28517799999999999</v>
      </c>
      <c r="AO218" s="60">
        <v>0.97807599999999995</v>
      </c>
      <c r="AP218" s="59">
        <v>0.86210600000000004</v>
      </c>
      <c r="AQ218" s="60">
        <v>0.36590299999999998</v>
      </c>
      <c r="AR218" s="59">
        <v>-0.19406200000000001</v>
      </c>
      <c r="AS218" s="60">
        <v>0.60447099999999998</v>
      </c>
      <c r="AT218" s="59">
        <v>0.47064899999999998</v>
      </c>
      <c r="AU218" s="60">
        <v>0.283557</v>
      </c>
      <c r="AV218" s="59">
        <v>0.16364600000000001</v>
      </c>
      <c r="AW218" s="60">
        <v>0.40895199999999998</v>
      </c>
      <c r="AX218" s="59">
        <v>0.78579200000000005</v>
      </c>
      <c r="AY218" s="60" t="s">
        <v>179</v>
      </c>
      <c r="AZ218" s="59">
        <v>0.54066099999999995</v>
      </c>
      <c r="BA218" s="60">
        <v>-0.71259600000000001</v>
      </c>
      <c r="BB218" s="59">
        <v>2.5829749999999998</v>
      </c>
      <c r="BC218" s="60" t="s">
        <v>179</v>
      </c>
      <c r="BD218" s="59" t="s">
        <v>179</v>
      </c>
      <c r="BE218" s="60">
        <v>0.64940799999999999</v>
      </c>
    </row>
    <row r="219" spans="1:57" x14ac:dyDescent="0.35">
      <c r="A219" s="240"/>
      <c r="B219" s="240"/>
      <c r="C219" s="58" t="s">
        <v>395</v>
      </c>
      <c r="D219" s="59">
        <v>0.82949300000000004</v>
      </c>
      <c r="E219" s="60">
        <v>-9.1762999999999997E-2</v>
      </c>
      <c r="F219" s="59">
        <v>1.7985000000000001E-2</v>
      </c>
      <c r="G219" s="60">
        <v>0.26949000000000001</v>
      </c>
      <c r="H219" s="59">
        <v>0.78949100000000005</v>
      </c>
      <c r="I219" s="60" t="s">
        <v>179</v>
      </c>
      <c r="J219" s="59">
        <v>0.27832299999999999</v>
      </c>
      <c r="K219" s="60">
        <v>0.48818099999999998</v>
      </c>
      <c r="L219" s="59">
        <v>9.1247999999999996E-2</v>
      </c>
      <c r="M219" s="60">
        <v>-0.47670800000000002</v>
      </c>
      <c r="N219" s="59">
        <v>0.119778</v>
      </c>
      <c r="O219" s="60">
        <v>-4.6463999999999998E-2</v>
      </c>
      <c r="P219" s="59">
        <v>-0.26610400000000001</v>
      </c>
      <c r="Q219" s="60">
        <v>0.87385900000000005</v>
      </c>
      <c r="R219" s="59">
        <v>4.2627040000000003</v>
      </c>
      <c r="S219" s="60">
        <v>1.2906979999999999</v>
      </c>
      <c r="T219" s="59">
        <v>-0.59669899999999998</v>
      </c>
      <c r="U219" s="60">
        <v>-0.29103200000000001</v>
      </c>
      <c r="V219" s="59">
        <v>-0.49191499999999999</v>
      </c>
      <c r="W219" s="60">
        <v>1.298881</v>
      </c>
      <c r="X219" s="59">
        <v>5.5627110000000002</v>
      </c>
      <c r="Y219" s="60">
        <v>-0.172098</v>
      </c>
      <c r="Z219" s="59">
        <v>-1.991549</v>
      </c>
      <c r="AA219" s="60">
        <v>-0.55398400000000003</v>
      </c>
      <c r="AB219" s="59">
        <v>0.50566900000000004</v>
      </c>
      <c r="AC219" s="60">
        <v>1.4233370000000001</v>
      </c>
      <c r="AD219" s="59">
        <v>-0.177624</v>
      </c>
      <c r="AE219" s="60">
        <v>-0.43709900000000002</v>
      </c>
      <c r="AF219" s="59">
        <v>0.96746200000000004</v>
      </c>
      <c r="AG219" s="60">
        <v>1.0615349999999999</v>
      </c>
      <c r="AH219" s="59">
        <v>0.30948199999999998</v>
      </c>
      <c r="AI219" s="60">
        <v>0.739116</v>
      </c>
      <c r="AJ219" s="59">
        <v>-0.105443</v>
      </c>
      <c r="AK219" s="60">
        <v>0.268042</v>
      </c>
      <c r="AL219" s="59">
        <v>-5.155386</v>
      </c>
      <c r="AM219" s="60">
        <v>0.836619</v>
      </c>
      <c r="AN219" s="59">
        <v>0.58455599999999996</v>
      </c>
      <c r="AO219" s="60">
        <v>0.11168599999999999</v>
      </c>
      <c r="AP219" s="59">
        <v>0.11418499999999999</v>
      </c>
      <c r="AQ219" s="60">
        <v>0.25453399999999998</v>
      </c>
      <c r="AR219" s="59">
        <v>0.459839</v>
      </c>
      <c r="AS219" s="60">
        <v>-6.1556E-2</v>
      </c>
      <c r="AT219" s="59">
        <v>0.46385300000000002</v>
      </c>
      <c r="AU219" s="60">
        <v>0.17339099999999999</v>
      </c>
      <c r="AV219" s="59">
        <v>-0.82981799999999994</v>
      </c>
      <c r="AW219" s="60">
        <v>-0.43676199999999998</v>
      </c>
      <c r="AX219" s="59">
        <v>0.97223999999999999</v>
      </c>
      <c r="AY219" s="60" t="s">
        <v>179</v>
      </c>
      <c r="AZ219" s="59">
        <v>2.081372</v>
      </c>
      <c r="BA219" s="60">
        <v>1.0228950000000001</v>
      </c>
      <c r="BB219" s="59">
        <v>0.93360100000000001</v>
      </c>
      <c r="BC219" s="60" t="s">
        <v>179</v>
      </c>
      <c r="BD219" s="59" t="s">
        <v>179</v>
      </c>
      <c r="BE219" s="60">
        <v>0.49991000000000002</v>
      </c>
    </row>
    <row r="220" spans="1:57" x14ac:dyDescent="0.35">
      <c r="A220" s="240"/>
      <c r="B220" s="240"/>
      <c r="C220" s="58" t="s">
        <v>396</v>
      </c>
      <c r="D220" s="59">
        <v>1.2027410000000001</v>
      </c>
      <c r="E220" s="60">
        <v>0.18218999999999999</v>
      </c>
      <c r="F220" s="59">
        <v>-0.19060199999999999</v>
      </c>
      <c r="G220" s="60">
        <v>-6.6614000000000007E-2</v>
      </c>
      <c r="H220" s="59">
        <v>-0.629861</v>
      </c>
      <c r="I220" s="60" t="s">
        <v>179</v>
      </c>
      <c r="J220" s="59">
        <v>0.45974399999999999</v>
      </c>
      <c r="K220" s="60">
        <v>0.89782600000000001</v>
      </c>
      <c r="L220" s="59">
        <v>2.0539749999999999</v>
      </c>
      <c r="M220" s="60">
        <v>0.94557400000000003</v>
      </c>
      <c r="N220" s="59">
        <v>0.32878099999999999</v>
      </c>
      <c r="O220" s="60">
        <v>-0.174291</v>
      </c>
      <c r="P220" s="59">
        <v>1.621197</v>
      </c>
      <c r="Q220" s="60">
        <v>0.81789500000000004</v>
      </c>
      <c r="R220" s="59">
        <v>-1.893629</v>
      </c>
      <c r="S220" s="60">
        <v>0.23436399999999999</v>
      </c>
      <c r="T220" s="59">
        <v>-1.0278769999999999</v>
      </c>
      <c r="U220" s="60">
        <v>-0.24106900000000001</v>
      </c>
      <c r="V220" s="59">
        <v>-1.0191209999999999</v>
      </c>
      <c r="W220" s="60">
        <v>1.3501939999999999</v>
      </c>
      <c r="X220" s="59">
        <v>-3.0199989999999999</v>
      </c>
      <c r="Y220" s="60">
        <v>2.0828169999999999</v>
      </c>
      <c r="Z220" s="59">
        <v>1.5118879999999999</v>
      </c>
      <c r="AA220" s="60">
        <v>2.5617999999999998E-2</v>
      </c>
      <c r="AB220" s="59">
        <v>0.173788</v>
      </c>
      <c r="AC220" s="60">
        <v>0.76826899999999998</v>
      </c>
      <c r="AD220" s="59">
        <v>1.230925</v>
      </c>
      <c r="AE220" s="60">
        <v>0.79540100000000002</v>
      </c>
      <c r="AF220" s="59">
        <v>0.14632800000000001</v>
      </c>
      <c r="AG220" s="60">
        <v>0.41859099999999999</v>
      </c>
      <c r="AH220" s="59">
        <v>0.58782299999999998</v>
      </c>
      <c r="AI220" s="60">
        <v>0.93202399999999996</v>
      </c>
      <c r="AJ220" s="59">
        <v>0.37144199999999999</v>
      </c>
      <c r="AK220" s="60">
        <v>-0.31115100000000001</v>
      </c>
      <c r="AL220" s="59">
        <v>2.2898079999999998</v>
      </c>
      <c r="AM220" s="60">
        <v>0.79676999999999998</v>
      </c>
      <c r="AN220" s="59">
        <v>-0.41503800000000002</v>
      </c>
      <c r="AO220" s="60">
        <v>0.13283900000000001</v>
      </c>
      <c r="AP220" s="59">
        <v>0.19465399999999999</v>
      </c>
      <c r="AQ220" s="60">
        <v>-0.31383299999999997</v>
      </c>
      <c r="AR220" s="59">
        <v>-0.35042899999999999</v>
      </c>
      <c r="AS220" s="60">
        <v>0.39547500000000002</v>
      </c>
      <c r="AT220" s="59">
        <v>0.20751</v>
      </c>
      <c r="AU220" s="60">
        <v>-4.2375999999999997E-2</v>
      </c>
      <c r="AV220" s="59">
        <v>-4.6458789999999999</v>
      </c>
      <c r="AW220" s="60">
        <v>-0.75048700000000002</v>
      </c>
      <c r="AX220" s="59">
        <v>1.32891</v>
      </c>
      <c r="AY220" s="60" t="s">
        <v>179</v>
      </c>
      <c r="AZ220" s="59">
        <v>1.2368589999999999</v>
      </c>
      <c r="BA220" s="60">
        <v>2.0739E-2</v>
      </c>
      <c r="BB220" s="59">
        <v>1.978874</v>
      </c>
      <c r="BC220" s="60" t="s">
        <v>179</v>
      </c>
      <c r="BD220" s="59" t="s">
        <v>179</v>
      </c>
      <c r="BE220" s="60">
        <v>0.26557900000000001</v>
      </c>
    </row>
    <row r="221" spans="1:57" x14ac:dyDescent="0.35">
      <c r="A221" s="240"/>
      <c r="B221" s="240"/>
      <c r="C221" s="58" t="s">
        <v>397</v>
      </c>
      <c r="D221" s="59">
        <v>1.204761</v>
      </c>
      <c r="E221" s="60">
        <v>0.33785199999999999</v>
      </c>
      <c r="F221" s="59">
        <v>-9.9686999999999998E-2</v>
      </c>
      <c r="G221" s="60">
        <v>0.60882899999999995</v>
      </c>
      <c r="H221" s="59">
        <v>0.93417700000000004</v>
      </c>
      <c r="I221" s="60" t="s">
        <v>179</v>
      </c>
      <c r="J221" s="59">
        <v>0.65808299999999997</v>
      </c>
      <c r="K221" s="60">
        <v>-0.197217</v>
      </c>
      <c r="L221" s="59">
        <v>1.4614100000000001</v>
      </c>
      <c r="M221" s="60">
        <v>-0.24093999999999999</v>
      </c>
      <c r="N221" s="59">
        <v>-2.2519000000000001E-2</v>
      </c>
      <c r="O221" s="60">
        <v>-0.104759</v>
      </c>
      <c r="P221" s="59">
        <v>0.26647900000000002</v>
      </c>
      <c r="Q221" s="60">
        <v>0.85761900000000002</v>
      </c>
      <c r="R221" s="59">
        <v>5.359299</v>
      </c>
      <c r="S221" s="60">
        <v>1.5157149999999999</v>
      </c>
      <c r="T221" s="59">
        <v>-0.59870100000000004</v>
      </c>
      <c r="U221" s="60">
        <v>-7.9445000000000002E-2</v>
      </c>
      <c r="V221" s="59">
        <v>-0.306504</v>
      </c>
      <c r="W221" s="60">
        <v>1.762586</v>
      </c>
      <c r="X221" s="59">
        <v>3.3443939999999999</v>
      </c>
      <c r="Y221" s="60">
        <v>2.5678420000000002</v>
      </c>
      <c r="Z221" s="59">
        <v>2.2428940000000002</v>
      </c>
      <c r="AA221" s="60">
        <v>-0.46754499999999999</v>
      </c>
      <c r="AB221" s="59">
        <v>0.322515</v>
      </c>
      <c r="AC221" s="60">
        <v>1.4868809999999999</v>
      </c>
      <c r="AD221" s="59">
        <v>0.86923099999999998</v>
      </c>
      <c r="AE221" s="60">
        <v>0.33594099999999999</v>
      </c>
      <c r="AF221" s="59">
        <v>1.3990370000000001</v>
      </c>
      <c r="AG221" s="60">
        <v>2.1461269999999999</v>
      </c>
      <c r="AH221" s="59">
        <v>0.95895399999999997</v>
      </c>
      <c r="AI221" s="60">
        <v>0.69190700000000005</v>
      </c>
      <c r="AJ221" s="59">
        <v>0.91689500000000002</v>
      </c>
      <c r="AK221" s="60">
        <v>-5.3224E-2</v>
      </c>
      <c r="AL221" s="59">
        <v>-3.650652</v>
      </c>
      <c r="AM221" s="60">
        <v>0.371201</v>
      </c>
      <c r="AN221" s="59">
        <v>0.27237099999999997</v>
      </c>
      <c r="AO221" s="60">
        <v>0.121915</v>
      </c>
      <c r="AP221" s="59">
        <v>0.16822999999999999</v>
      </c>
      <c r="AQ221" s="60">
        <v>0.11637400000000001</v>
      </c>
      <c r="AR221" s="59">
        <v>0.23187099999999999</v>
      </c>
      <c r="AS221" s="60">
        <v>4.8835000000000003E-2</v>
      </c>
      <c r="AT221" s="59">
        <v>0.41755599999999998</v>
      </c>
      <c r="AU221" s="60">
        <v>0.16796700000000001</v>
      </c>
      <c r="AV221" s="59">
        <v>-5.6948730000000003</v>
      </c>
      <c r="AW221" s="60">
        <v>0.25355899999999998</v>
      </c>
      <c r="AX221" s="59">
        <v>1.3363119999999999</v>
      </c>
      <c r="AY221" s="60" t="s">
        <v>179</v>
      </c>
      <c r="AZ221" s="59">
        <v>2.2958829999999999</v>
      </c>
      <c r="BA221" s="60">
        <v>1.416301</v>
      </c>
      <c r="BB221" s="59">
        <v>0.84309599999999996</v>
      </c>
      <c r="BC221" s="60" t="s">
        <v>179</v>
      </c>
      <c r="BD221" s="59" t="s">
        <v>179</v>
      </c>
      <c r="BE221" s="60">
        <v>0.768899</v>
      </c>
    </row>
    <row r="222" spans="1:57" x14ac:dyDescent="0.35">
      <c r="A222" s="240"/>
      <c r="B222" s="240"/>
      <c r="C222" s="58" t="s">
        <v>398</v>
      </c>
      <c r="D222" s="59">
        <v>0.75417199999999995</v>
      </c>
      <c r="E222" s="60">
        <v>0.68160200000000004</v>
      </c>
      <c r="F222" s="59">
        <v>0.85960199999999998</v>
      </c>
      <c r="G222" s="60">
        <v>1.484226</v>
      </c>
      <c r="H222" s="59">
        <v>0.91596100000000003</v>
      </c>
      <c r="I222" s="60" t="s">
        <v>179</v>
      </c>
      <c r="J222" s="59">
        <v>-0.143123</v>
      </c>
      <c r="K222" s="60">
        <v>-3.3565999999999999E-2</v>
      </c>
      <c r="L222" s="59">
        <v>0.70782900000000004</v>
      </c>
      <c r="M222" s="60">
        <v>0.34503200000000001</v>
      </c>
      <c r="N222" s="59">
        <v>0.36274299999999998</v>
      </c>
      <c r="O222" s="60">
        <v>-0.52725200000000005</v>
      </c>
      <c r="P222" s="59">
        <v>0.81564899999999996</v>
      </c>
      <c r="Q222" s="60">
        <v>2.2721550000000001</v>
      </c>
      <c r="R222" s="59">
        <v>-6.2047109999999996</v>
      </c>
      <c r="S222" s="60">
        <v>2.3964509999999999</v>
      </c>
      <c r="T222" s="59">
        <v>0.46199099999999999</v>
      </c>
      <c r="U222" s="60">
        <v>-4.4742999999999998E-2</v>
      </c>
      <c r="V222" s="59">
        <v>0.17787</v>
      </c>
      <c r="W222" s="60">
        <v>2.5444819999999999</v>
      </c>
      <c r="X222" s="59">
        <v>-5.0174000000000003E-2</v>
      </c>
      <c r="Y222" s="60">
        <v>0.271262</v>
      </c>
      <c r="Z222" s="59">
        <v>1.2746329999999999</v>
      </c>
      <c r="AA222" s="60">
        <v>-0.66220100000000004</v>
      </c>
      <c r="AB222" s="59">
        <v>-0.61017999999999994</v>
      </c>
      <c r="AC222" s="60">
        <v>0.89280300000000001</v>
      </c>
      <c r="AD222" s="59">
        <v>-1.027976</v>
      </c>
      <c r="AE222" s="60">
        <v>0.146482</v>
      </c>
      <c r="AF222" s="59">
        <v>0.17779800000000001</v>
      </c>
      <c r="AG222" s="60">
        <v>0.31025700000000001</v>
      </c>
      <c r="AH222" s="59">
        <v>1.3518479999999999</v>
      </c>
      <c r="AI222" s="60">
        <v>0.42550399999999999</v>
      </c>
      <c r="AJ222" s="59">
        <v>-0.105836</v>
      </c>
      <c r="AK222" s="60">
        <v>0.26462799999999997</v>
      </c>
      <c r="AL222" s="59">
        <v>5.6200150000000004</v>
      </c>
      <c r="AM222" s="60">
        <v>0.44281999999999999</v>
      </c>
      <c r="AN222" s="59">
        <v>0.87451400000000001</v>
      </c>
      <c r="AO222" s="60">
        <v>5.9601000000000001E-2</v>
      </c>
      <c r="AP222" s="59">
        <v>9.1089000000000003E-2</v>
      </c>
      <c r="AQ222" s="60">
        <v>0.50887300000000002</v>
      </c>
      <c r="AR222" s="59">
        <v>0.78491</v>
      </c>
      <c r="AS222" s="60">
        <v>0.37178</v>
      </c>
      <c r="AT222" s="59">
        <v>0.71122600000000002</v>
      </c>
      <c r="AU222" s="60">
        <v>0.58808499999999997</v>
      </c>
      <c r="AV222" s="59">
        <v>-4.931019</v>
      </c>
      <c r="AW222" s="60">
        <v>1.3548089999999999</v>
      </c>
      <c r="AX222" s="59">
        <v>1.6214729999999999</v>
      </c>
      <c r="AY222" s="60" t="s">
        <v>179</v>
      </c>
      <c r="AZ222" s="59">
        <v>0.80709699999999995</v>
      </c>
      <c r="BA222" s="60">
        <v>1.2190989999999999</v>
      </c>
      <c r="BB222" s="59">
        <v>2.2254510000000001</v>
      </c>
      <c r="BC222" s="60" t="s">
        <v>179</v>
      </c>
      <c r="BD222" s="59" t="s">
        <v>179</v>
      </c>
      <c r="BE222" s="60">
        <v>1.2975950000000001</v>
      </c>
    </row>
    <row r="223" spans="1:57" x14ac:dyDescent="0.35">
      <c r="A223" s="240"/>
      <c r="B223" s="240"/>
      <c r="C223" s="58" t="s">
        <v>399</v>
      </c>
      <c r="D223" s="59">
        <v>1.6754199999999999</v>
      </c>
      <c r="E223" s="60">
        <v>0.36446699999999999</v>
      </c>
      <c r="F223" s="59">
        <v>0.85585199999999995</v>
      </c>
      <c r="G223" s="60">
        <v>0.58937300000000004</v>
      </c>
      <c r="H223" s="59">
        <v>-0.24520900000000001</v>
      </c>
      <c r="I223" s="60" t="s">
        <v>179</v>
      </c>
      <c r="J223" s="59">
        <v>0.48346899999999998</v>
      </c>
      <c r="K223" s="60">
        <v>-9.92E-3</v>
      </c>
      <c r="L223" s="59">
        <v>3.5318719999999999</v>
      </c>
      <c r="M223" s="60">
        <v>1.3483639999999999</v>
      </c>
      <c r="N223" s="59">
        <v>0.48497299999999999</v>
      </c>
      <c r="O223" s="60">
        <v>0.42169600000000002</v>
      </c>
      <c r="P223" s="59">
        <v>2.2384629999999999</v>
      </c>
      <c r="Q223" s="60">
        <v>0.50844900000000004</v>
      </c>
      <c r="R223" s="59">
        <v>3.7749920000000001</v>
      </c>
      <c r="S223" s="60">
        <v>0.68247000000000002</v>
      </c>
      <c r="T223" s="59">
        <v>0.46278999999999998</v>
      </c>
      <c r="U223" s="60">
        <v>0.46367999999999998</v>
      </c>
      <c r="V223" s="59">
        <v>0.73574499999999998</v>
      </c>
      <c r="W223" s="60">
        <v>1.8121350000000001</v>
      </c>
      <c r="X223" s="59">
        <v>4.5918109999999999</v>
      </c>
      <c r="Y223" s="60">
        <v>2.98651</v>
      </c>
      <c r="Z223" s="59">
        <v>1.7282599999999999</v>
      </c>
      <c r="AA223" s="60">
        <v>0.89707300000000001</v>
      </c>
      <c r="AB223" s="59">
        <v>0.34826400000000002</v>
      </c>
      <c r="AC223" s="60">
        <v>1.3399639999999999</v>
      </c>
      <c r="AD223" s="59">
        <v>2.0777739999999998</v>
      </c>
      <c r="AE223" s="60">
        <v>0.933195</v>
      </c>
      <c r="AF223" s="59">
        <v>-0.46397500000000003</v>
      </c>
      <c r="AG223" s="60">
        <v>1.012208</v>
      </c>
      <c r="AH223" s="59">
        <v>-0.100801</v>
      </c>
      <c r="AI223" s="60">
        <v>0.81494299999999997</v>
      </c>
      <c r="AJ223" s="59">
        <v>1.516926</v>
      </c>
      <c r="AK223" s="60">
        <v>7.7277999999999999E-2</v>
      </c>
      <c r="AL223" s="59">
        <v>3.9037929999999998</v>
      </c>
      <c r="AM223" s="60">
        <v>0.50639900000000004</v>
      </c>
      <c r="AN223" s="59">
        <v>0.60573299999999997</v>
      </c>
      <c r="AO223" s="60">
        <v>0.54966199999999998</v>
      </c>
      <c r="AP223" s="59">
        <v>0.58405499999999999</v>
      </c>
      <c r="AQ223" s="60">
        <v>0.57945899999999995</v>
      </c>
      <c r="AR223" s="59">
        <v>0.62973299999999999</v>
      </c>
      <c r="AS223" s="60">
        <v>0.76326099999999997</v>
      </c>
      <c r="AT223" s="59">
        <v>1.0170269999999999</v>
      </c>
      <c r="AU223" s="60">
        <v>0.77372799999999997</v>
      </c>
      <c r="AV223" s="59">
        <v>0.42398599999999997</v>
      </c>
      <c r="AW223" s="60">
        <v>1.42547</v>
      </c>
      <c r="AX223" s="59">
        <v>1.5634440000000001</v>
      </c>
      <c r="AY223" s="60" t="s">
        <v>179</v>
      </c>
      <c r="AZ223" s="59">
        <v>0.62376200000000004</v>
      </c>
      <c r="BA223" s="60">
        <v>1.2854289999999999</v>
      </c>
      <c r="BB223" s="59">
        <v>1.0495779999999999</v>
      </c>
      <c r="BC223" s="60" t="s">
        <v>179</v>
      </c>
      <c r="BD223" s="59" t="s">
        <v>179</v>
      </c>
      <c r="BE223" s="60">
        <v>1.2109559999999999</v>
      </c>
    </row>
    <row r="224" spans="1:57" x14ac:dyDescent="0.35">
      <c r="A224" s="240"/>
      <c r="B224" s="240"/>
      <c r="C224" s="58" t="s">
        <v>400</v>
      </c>
      <c r="D224" s="59">
        <v>0.34884599999999999</v>
      </c>
      <c r="E224" s="60">
        <v>0.41608699999999998</v>
      </c>
      <c r="F224" s="59">
        <v>0.53539099999999995</v>
      </c>
      <c r="G224" s="60">
        <v>0.86544900000000002</v>
      </c>
      <c r="H224" s="59">
        <v>0.64697000000000005</v>
      </c>
      <c r="I224" s="60" t="s">
        <v>179</v>
      </c>
      <c r="J224" s="59">
        <v>0.58216299999999999</v>
      </c>
      <c r="K224" s="60">
        <v>0.34005200000000002</v>
      </c>
      <c r="L224" s="59">
        <v>2.0145819999999999</v>
      </c>
      <c r="M224" s="60">
        <v>-0.118745</v>
      </c>
      <c r="N224" s="59">
        <v>0.369898</v>
      </c>
      <c r="O224" s="60">
        <v>0.51323300000000005</v>
      </c>
      <c r="P224" s="59">
        <v>0.57765200000000005</v>
      </c>
      <c r="Q224" s="60">
        <v>0.985039</v>
      </c>
      <c r="R224" s="59">
        <v>-0.49776799999999999</v>
      </c>
      <c r="S224" s="60">
        <v>2.2664960000000001</v>
      </c>
      <c r="T224" s="59">
        <v>9.1822000000000001E-2</v>
      </c>
      <c r="U224" s="60">
        <v>0.20980099999999999</v>
      </c>
      <c r="V224" s="59">
        <v>0.31769500000000001</v>
      </c>
      <c r="W224" s="60">
        <v>2.0218129999999999</v>
      </c>
      <c r="X224" s="59">
        <v>0.63221899999999998</v>
      </c>
      <c r="Y224" s="60">
        <v>1.7314590000000001</v>
      </c>
      <c r="Z224" s="59">
        <v>-1.297105</v>
      </c>
      <c r="AA224" s="60">
        <v>0.69220000000000004</v>
      </c>
      <c r="AB224" s="59">
        <v>0.15526400000000001</v>
      </c>
      <c r="AC224" s="60">
        <v>1.117289</v>
      </c>
      <c r="AD224" s="59">
        <v>-1.4841</v>
      </c>
      <c r="AE224" s="60">
        <v>1.239169</v>
      </c>
      <c r="AF224" s="59">
        <v>-0.453596</v>
      </c>
      <c r="AG224" s="60">
        <v>2.234343</v>
      </c>
      <c r="AH224" s="59">
        <v>1.1448430000000001</v>
      </c>
      <c r="AI224" s="60">
        <v>0.61646199999999995</v>
      </c>
      <c r="AJ224" s="59">
        <v>0.51448700000000003</v>
      </c>
      <c r="AK224" s="60">
        <v>0.1706</v>
      </c>
      <c r="AL224" s="59">
        <v>1.353065</v>
      </c>
      <c r="AM224" s="60">
        <v>0.76312800000000003</v>
      </c>
      <c r="AN224" s="59">
        <v>0.44457099999999999</v>
      </c>
      <c r="AO224" s="60">
        <v>0.41505199999999998</v>
      </c>
      <c r="AP224" s="59">
        <v>0.45014399999999999</v>
      </c>
      <c r="AQ224" s="60">
        <v>0.45125599999999999</v>
      </c>
      <c r="AR224" s="59">
        <v>0.497612</v>
      </c>
      <c r="AS224" s="60">
        <v>0.52464100000000002</v>
      </c>
      <c r="AT224" s="59">
        <v>0.84560599999999997</v>
      </c>
      <c r="AU224" s="60">
        <v>0.52777099999999999</v>
      </c>
      <c r="AV224" s="59">
        <v>7.4496999999999994E-2</v>
      </c>
      <c r="AW224" s="60">
        <v>1.1983189999999999</v>
      </c>
      <c r="AX224" s="59">
        <v>1.494211</v>
      </c>
      <c r="AY224" s="60" t="s">
        <v>179</v>
      </c>
      <c r="AZ224" s="59">
        <v>0.59356299999999995</v>
      </c>
      <c r="BA224" s="60">
        <v>1.283531</v>
      </c>
      <c r="BB224" s="59">
        <v>0.40310800000000002</v>
      </c>
      <c r="BC224" s="60" t="s">
        <v>179</v>
      </c>
      <c r="BD224" s="59" t="s">
        <v>179</v>
      </c>
      <c r="BE224" s="60">
        <v>0.82027899999999998</v>
      </c>
    </row>
    <row r="225" spans="1:57" x14ac:dyDescent="0.35">
      <c r="A225" s="240"/>
      <c r="B225" s="240"/>
      <c r="C225" s="58" t="s">
        <v>401</v>
      </c>
      <c r="D225" s="59">
        <v>0.72762800000000005</v>
      </c>
      <c r="E225" s="60">
        <v>0.16545000000000001</v>
      </c>
      <c r="F225" s="59">
        <v>0.37501200000000001</v>
      </c>
      <c r="G225" s="60">
        <v>0.54862100000000003</v>
      </c>
      <c r="H225" s="59">
        <v>2.0648430000000002</v>
      </c>
      <c r="I225" s="60" t="s">
        <v>179</v>
      </c>
      <c r="J225" s="59">
        <v>0.71655500000000005</v>
      </c>
      <c r="K225" s="60">
        <v>-0.33002199999999998</v>
      </c>
      <c r="L225" s="59">
        <v>0.73216499999999995</v>
      </c>
      <c r="M225" s="60">
        <v>0.92682500000000001</v>
      </c>
      <c r="N225" s="59">
        <v>1.5047E-2</v>
      </c>
      <c r="O225" s="60">
        <v>-0.13925199999999999</v>
      </c>
      <c r="P225" s="59">
        <v>0.76995800000000003</v>
      </c>
      <c r="Q225" s="60">
        <v>0.98397299999999999</v>
      </c>
      <c r="R225" s="59">
        <v>2.3054739999999998</v>
      </c>
      <c r="S225" s="60">
        <v>0.74734699999999998</v>
      </c>
      <c r="T225" s="59">
        <v>-0.22042200000000001</v>
      </c>
      <c r="U225" s="60">
        <v>0.38014900000000001</v>
      </c>
      <c r="V225" s="59">
        <v>0.26017699999999999</v>
      </c>
      <c r="W225" s="60">
        <v>1.0973539999999999</v>
      </c>
      <c r="X225" s="59">
        <v>3.9006530000000001</v>
      </c>
      <c r="Y225" s="60">
        <v>1.1833849999999999</v>
      </c>
      <c r="Z225" s="59">
        <v>-0.15521399999999999</v>
      </c>
      <c r="AA225" s="60">
        <v>0.31186999999999998</v>
      </c>
      <c r="AB225" s="59">
        <v>0.14965100000000001</v>
      </c>
      <c r="AC225" s="60">
        <v>1.346455</v>
      </c>
      <c r="AD225" s="59">
        <v>1.1293</v>
      </c>
      <c r="AE225" s="60">
        <v>0.13014700000000001</v>
      </c>
      <c r="AF225" s="59">
        <v>-0.746421</v>
      </c>
      <c r="AG225" s="60">
        <v>0.68755500000000003</v>
      </c>
      <c r="AH225" s="59">
        <v>1.686644</v>
      </c>
      <c r="AI225" s="60">
        <v>0.760737</v>
      </c>
      <c r="AJ225" s="59">
        <v>0.26128899999999999</v>
      </c>
      <c r="AK225" s="60">
        <v>-0.38825599999999999</v>
      </c>
      <c r="AL225" s="59">
        <v>0.60312399999999999</v>
      </c>
      <c r="AM225" s="60">
        <v>0.85906700000000003</v>
      </c>
      <c r="AN225" s="59">
        <v>0.15482299999999999</v>
      </c>
      <c r="AO225" s="60">
        <v>0.16358700000000001</v>
      </c>
      <c r="AP225" s="59">
        <v>0.17583299999999999</v>
      </c>
      <c r="AQ225" s="60">
        <v>0.215362</v>
      </c>
      <c r="AR225" s="59">
        <v>0.198104</v>
      </c>
      <c r="AS225" s="60">
        <v>0.32433699999999999</v>
      </c>
      <c r="AT225" s="59">
        <v>0.59073399999999998</v>
      </c>
      <c r="AU225" s="60">
        <v>0.30876599999999998</v>
      </c>
      <c r="AV225" s="59">
        <v>1.0190570000000001</v>
      </c>
      <c r="AW225" s="60">
        <v>1.172482</v>
      </c>
      <c r="AX225" s="59">
        <v>0.99127500000000002</v>
      </c>
      <c r="AY225" s="60" t="s">
        <v>179</v>
      </c>
      <c r="AZ225" s="59">
        <v>7.8241000000000005E-2</v>
      </c>
      <c r="BA225" s="60">
        <v>1.081072</v>
      </c>
      <c r="BB225" s="59">
        <v>1.7598640000000001</v>
      </c>
      <c r="BC225" s="60" t="s">
        <v>179</v>
      </c>
      <c r="BD225" s="59" t="s">
        <v>179</v>
      </c>
      <c r="BE225" s="60">
        <v>0.668049</v>
      </c>
    </row>
    <row r="226" spans="1:57" x14ac:dyDescent="0.35">
      <c r="A226" s="240"/>
      <c r="B226" s="240"/>
      <c r="C226" s="58" t="s">
        <v>402</v>
      </c>
      <c r="D226" s="59">
        <v>0.10433199999999999</v>
      </c>
      <c r="E226" s="60">
        <v>0.13152900000000001</v>
      </c>
      <c r="F226" s="59">
        <v>-0.26468999999999998</v>
      </c>
      <c r="G226" s="60">
        <v>0.55332499999999996</v>
      </c>
      <c r="H226" s="59">
        <v>0.94713099999999995</v>
      </c>
      <c r="I226" s="60" t="s">
        <v>179</v>
      </c>
      <c r="J226" s="59">
        <v>1.0623089999999999</v>
      </c>
      <c r="K226" s="60">
        <v>0.53590599999999999</v>
      </c>
      <c r="L226" s="59">
        <v>2.2770640000000002</v>
      </c>
      <c r="M226" s="60">
        <v>-0.89667799999999998</v>
      </c>
      <c r="N226" s="59">
        <v>0.16273299999999999</v>
      </c>
      <c r="O226" s="60">
        <v>-1.4962610000000001</v>
      </c>
      <c r="P226" s="59">
        <v>2.0813389999999998</v>
      </c>
      <c r="Q226" s="60">
        <v>0.83573600000000003</v>
      </c>
      <c r="R226" s="59">
        <v>1.4827729999999999</v>
      </c>
      <c r="S226" s="60">
        <v>-1.464572</v>
      </c>
      <c r="T226" s="59">
        <v>1.0931379999999999</v>
      </c>
      <c r="U226" s="60">
        <v>-0.39255099999999998</v>
      </c>
      <c r="V226" s="59">
        <v>8.3379999999999996E-2</v>
      </c>
      <c r="W226" s="60">
        <v>-0.65915999999999997</v>
      </c>
      <c r="X226" s="59">
        <v>0.85934100000000002</v>
      </c>
      <c r="Y226" s="60">
        <v>4.7783389999999999</v>
      </c>
      <c r="Z226" s="59">
        <v>-0.95910799999999996</v>
      </c>
      <c r="AA226" s="60">
        <v>0.21326100000000001</v>
      </c>
      <c r="AB226" s="59">
        <v>1.7343999999999998E-2</v>
      </c>
      <c r="AC226" s="60">
        <v>0.57982800000000001</v>
      </c>
      <c r="AD226" s="59">
        <v>2.3768999999999998E-2</v>
      </c>
      <c r="AE226" s="60">
        <v>0.36194900000000002</v>
      </c>
      <c r="AF226" s="59">
        <v>0.10503899999999999</v>
      </c>
      <c r="AG226" s="60">
        <v>1.7758670000000001</v>
      </c>
      <c r="AH226" s="59">
        <v>-3.7891000000000001E-2</v>
      </c>
      <c r="AI226" s="60">
        <v>0.93072100000000002</v>
      </c>
      <c r="AJ226" s="59">
        <v>1.0830610000000001</v>
      </c>
      <c r="AK226" s="60">
        <v>-0.69774700000000001</v>
      </c>
      <c r="AL226" s="59">
        <v>1.4488920000000001</v>
      </c>
      <c r="AM226" s="60">
        <v>0.66377600000000003</v>
      </c>
      <c r="AN226" s="59">
        <v>0.55476700000000001</v>
      </c>
      <c r="AO226" s="60">
        <v>-0.351827</v>
      </c>
      <c r="AP226" s="59">
        <v>-0.23317099999999999</v>
      </c>
      <c r="AQ226" s="60">
        <v>0.177925</v>
      </c>
      <c r="AR226" s="59">
        <v>0.52455499999999999</v>
      </c>
      <c r="AS226" s="60">
        <v>1.427E-2</v>
      </c>
      <c r="AT226" s="59">
        <v>0.687724</v>
      </c>
      <c r="AU226" s="60">
        <v>0.22988700000000001</v>
      </c>
      <c r="AV226" s="59">
        <v>3.695017</v>
      </c>
      <c r="AW226" s="60">
        <v>-1.240799</v>
      </c>
      <c r="AX226" s="59">
        <v>1.392134</v>
      </c>
      <c r="AY226" s="60" t="s">
        <v>179</v>
      </c>
      <c r="AZ226" s="59">
        <v>2.2510949999999998</v>
      </c>
      <c r="BA226" s="60">
        <v>1.305113</v>
      </c>
      <c r="BB226" s="59">
        <v>-1.6518349999999999</v>
      </c>
      <c r="BC226" s="60" t="s">
        <v>179</v>
      </c>
      <c r="BD226" s="59" t="s">
        <v>179</v>
      </c>
      <c r="BE226" s="60">
        <v>0.92537000000000003</v>
      </c>
    </row>
    <row r="227" spans="1:57" x14ac:dyDescent="0.35">
      <c r="A227" s="240"/>
      <c r="B227" s="240"/>
      <c r="C227" s="58" t="s">
        <v>403</v>
      </c>
      <c r="D227" s="59">
        <v>0.338476</v>
      </c>
      <c r="E227" s="60">
        <v>0.15671599999999999</v>
      </c>
      <c r="F227" s="59">
        <v>0.213723</v>
      </c>
      <c r="G227" s="60">
        <v>-0.14746400000000001</v>
      </c>
      <c r="H227" s="59">
        <v>0.83764000000000005</v>
      </c>
      <c r="I227" s="60" t="s">
        <v>179</v>
      </c>
      <c r="J227" s="59">
        <v>1.0633250000000001</v>
      </c>
      <c r="K227" s="60">
        <v>-0.93001800000000001</v>
      </c>
      <c r="L227" s="59">
        <v>2.2972709999999998</v>
      </c>
      <c r="M227" s="60">
        <v>1.48211</v>
      </c>
      <c r="N227" s="59">
        <v>-0.22614400000000001</v>
      </c>
      <c r="O227" s="60">
        <v>0.11797299999999999</v>
      </c>
      <c r="P227" s="59">
        <v>1.7720130000000001</v>
      </c>
      <c r="Q227" s="60">
        <v>1.1953309999999999</v>
      </c>
      <c r="R227" s="59">
        <v>-3.0557150000000002</v>
      </c>
      <c r="S227" s="60">
        <v>0.82675799999999999</v>
      </c>
      <c r="T227" s="59">
        <v>-0.27333000000000002</v>
      </c>
      <c r="U227" s="60">
        <v>-0.10589700000000001</v>
      </c>
      <c r="V227" s="59">
        <v>0.62654100000000001</v>
      </c>
      <c r="W227" s="60">
        <v>-0.15414700000000001</v>
      </c>
      <c r="X227" s="59">
        <v>2.5740500000000002</v>
      </c>
      <c r="Y227" s="60">
        <v>1.3963239999999999</v>
      </c>
      <c r="Z227" s="59">
        <v>2.6934300000000002</v>
      </c>
      <c r="AA227" s="60">
        <v>0.247834</v>
      </c>
      <c r="AB227" s="59">
        <v>-0.34533000000000003</v>
      </c>
      <c r="AC227" s="60">
        <v>0.43955300000000003</v>
      </c>
      <c r="AD227" s="59">
        <v>-0.47619</v>
      </c>
      <c r="AE227" s="60">
        <v>2.098195</v>
      </c>
      <c r="AF227" s="59">
        <v>-0.88875700000000002</v>
      </c>
      <c r="AG227" s="60">
        <v>1.4947779999999999</v>
      </c>
      <c r="AH227" s="59">
        <v>0.224771</v>
      </c>
      <c r="AI227" s="60">
        <v>0.52106300000000005</v>
      </c>
      <c r="AJ227" s="59">
        <v>-0.42162500000000003</v>
      </c>
      <c r="AK227" s="60">
        <v>0.237404</v>
      </c>
      <c r="AL227" s="59">
        <v>0.36245300000000003</v>
      </c>
      <c r="AM227" s="60">
        <v>0.93615300000000001</v>
      </c>
      <c r="AN227" s="59">
        <v>0.86026000000000002</v>
      </c>
      <c r="AO227" s="60">
        <v>9.6600000000000005E-2</v>
      </c>
      <c r="AP227" s="59">
        <v>0.139407</v>
      </c>
      <c r="AQ227" s="60">
        <v>0.55930500000000005</v>
      </c>
      <c r="AR227" s="59">
        <v>0.73152099999999998</v>
      </c>
      <c r="AS227" s="60">
        <v>0.30720799999999998</v>
      </c>
      <c r="AT227" s="59">
        <v>0.80198199999999997</v>
      </c>
      <c r="AU227" s="60">
        <v>0.51507499999999995</v>
      </c>
      <c r="AV227" s="59">
        <v>3.1643249999999998</v>
      </c>
      <c r="AW227" s="60">
        <v>-0.330285</v>
      </c>
      <c r="AX227" s="59">
        <v>0.95485600000000004</v>
      </c>
      <c r="AY227" s="60" t="s">
        <v>179</v>
      </c>
      <c r="AZ227" s="59">
        <v>2.5331990000000002</v>
      </c>
      <c r="BA227" s="60">
        <v>1.133864</v>
      </c>
      <c r="BB227" s="59">
        <v>1.356411</v>
      </c>
      <c r="BC227" s="60">
        <v>1.115437</v>
      </c>
      <c r="BD227" s="59" t="s">
        <v>179</v>
      </c>
      <c r="BE227" s="60">
        <v>0.488346</v>
      </c>
    </row>
    <row r="228" spans="1:57" x14ac:dyDescent="0.35">
      <c r="A228" s="240"/>
      <c r="B228" s="240"/>
      <c r="C228" s="58" t="s">
        <v>404</v>
      </c>
      <c r="D228" s="59">
        <v>1.665567</v>
      </c>
      <c r="E228" s="60">
        <v>0.44151800000000002</v>
      </c>
      <c r="F228" s="59">
        <v>0.40895700000000001</v>
      </c>
      <c r="G228" s="60">
        <v>0.37365399999999999</v>
      </c>
      <c r="H228" s="59">
        <v>0.65450299999999995</v>
      </c>
      <c r="I228" s="60" t="s">
        <v>179</v>
      </c>
      <c r="J228" s="59">
        <v>0.97563</v>
      </c>
      <c r="K228" s="60">
        <v>0.34346599999999999</v>
      </c>
      <c r="L228" s="59">
        <v>0.97012100000000001</v>
      </c>
      <c r="M228" s="60">
        <v>1.50349</v>
      </c>
      <c r="N228" s="59">
        <v>0.688662</v>
      </c>
      <c r="O228" s="60">
        <v>0.76597199999999999</v>
      </c>
      <c r="P228" s="59">
        <v>0.62775400000000003</v>
      </c>
      <c r="Q228" s="60">
        <v>1.110409</v>
      </c>
      <c r="R228" s="59">
        <v>0.42759000000000003</v>
      </c>
      <c r="S228" s="60">
        <v>1.4837389999999999</v>
      </c>
      <c r="T228" s="59">
        <v>0.782497</v>
      </c>
      <c r="U228" s="60">
        <v>-7.2716000000000003E-2</v>
      </c>
      <c r="V228" s="59">
        <v>0.385965</v>
      </c>
      <c r="W228" s="60">
        <v>1.9326700000000001</v>
      </c>
      <c r="X228" s="59">
        <v>1.9805790000000001</v>
      </c>
      <c r="Y228" s="60">
        <v>2.727824</v>
      </c>
      <c r="Z228" s="59">
        <v>0.41256700000000002</v>
      </c>
      <c r="AA228" s="60">
        <v>-5.4660000000000004E-3</v>
      </c>
      <c r="AB228" s="59">
        <v>8.8713E-2</v>
      </c>
      <c r="AC228" s="60">
        <v>2.0893269999999999</v>
      </c>
      <c r="AD228" s="59">
        <v>1.405057</v>
      </c>
      <c r="AE228" s="60">
        <v>1.12873</v>
      </c>
      <c r="AF228" s="59">
        <v>0.88735900000000001</v>
      </c>
      <c r="AG228" s="60">
        <v>0.40293800000000002</v>
      </c>
      <c r="AH228" s="59">
        <v>1.4163159999999999</v>
      </c>
      <c r="AI228" s="60">
        <v>0.65942999999999996</v>
      </c>
      <c r="AJ228" s="59">
        <v>1.312063</v>
      </c>
      <c r="AK228" s="60">
        <v>0.96268399999999998</v>
      </c>
      <c r="AL228" s="59">
        <v>2.8920599999999999</v>
      </c>
      <c r="AM228" s="60">
        <v>1.0304139999999999</v>
      </c>
      <c r="AN228" s="59">
        <v>1.6982090000000001</v>
      </c>
      <c r="AO228" s="60">
        <v>0.56446399999999997</v>
      </c>
      <c r="AP228" s="59">
        <v>0.619093</v>
      </c>
      <c r="AQ228" s="60">
        <v>1.0909089999999999</v>
      </c>
      <c r="AR228" s="59">
        <v>1.452234</v>
      </c>
      <c r="AS228" s="60">
        <v>0.79875200000000002</v>
      </c>
      <c r="AT228" s="59">
        <v>1.4122539999999999</v>
      </c>
      <c r="AU228" s="60">
        <v>1.0778380000000001</v>
      </c>
      <c r="AV228" s="59">
        <v>2.443638</v>
      </c>
      <c r="AW228" s="60">
        <v>1.020194</v>
      </c>
      <c r="AX228" s="59">
        <v>1.154274</v>
      </c>
      <c r="AY228" s="60" t="s">
        <v>179</v>
      </c>
      <c r="AZ228" s="59">
        <v>2.6321129999999999</v>
      </c>
      <c r="BA228" s="60">
        <v>1.04759</v>
      </c>
      <c r="BB228" s="59">
        <v>2.1179939999999999</v>
      </c>
      <c r="BC228" s="60">
        <v>1.688167</v>
      </c>
      <c r="BD228" s="59" t="s">
        <v>179</v>
      </c>
      <c r="BE228" s="60">
        <v>0.54267500000000002</v>
      </c>
    </row>
    <row r="229" spans="1:57" x14ac:dyDescent="0.35">
      <c r="A229" s="240"/>
      <c r="B229" s="240"/>
      <c r="C229" s="58" t="s">
        <v>405</v>
      </c>
      <c r="D229" s="59">
        <v>1.706718</v>
      </c>
      <c r="E229" s="60">
        <v>0.32593699999999998</v>
      </c>
      <c r="F229" s="59">
        <v>0.69671400000000006</v>
      </c>
      <c r="G229" s="60">
        <v>0.68995899999999999</v>
      </c>
      <c r="H229" s="59">
        <v>0.78005999999999998</v>
      </c>
      <c r="I229" s="60" t="s">
        <v>179</v>
      </c>
      <c r="J229" s="59">
        <v>0.93263300000000005</v>
      </c>
      <c r="K229" s="60">
        <v>1.8629830000000001</v>
      </c>
      <c r="L229" s="59">
        <v>2.6019670000000001</v>
      </c>
      <c r="M229" s="60">
        <v>0.24726200000000001</v>
      </c>
      <c r="N229" s="59">
        <v>0.75449500000000003</v>
      </c>
      <c r="O229" s="60">
        <v>0.26897399999999999</v>
      </c>
      <c r="P229" s="59">
        <v>2.1365780000000001</v>
      </c>
      <c r="Q229" s="60">
        <v>1.143397</v>
      </c>
      <c r="R229" s="59">
        <v>2.0595720000000002</v>
      </c>
      <c r="S229" s="60">
        <v>5.0188240000000004</v>
      </c>
      <c r="T229" s="59">
        <v>0.34882099999999999</v>
      </c>
      <c r="U229" s="60">
        <v>0.91685799999999995</v>
      </c>
      <c r="V229" s="59">
        <v>1.1075010000000001</v>
      </c>
      <c r="W229" s="60">
        <v>2.6394799999999998</v>
      </c>
      <c r="X229" s="59">
        <v>1.059911</v>
      </c>
      <c r="Y229" s="60">
        <v>1.722731</v>
      </c>
      <c r="Z229" s="59">
        <v>2.9734829999999999</v>
      </c>
      <c r="AA229" s="60">
        <v>1.0466789999999999</v>
      </c>
      <c r="AB229" s="59">
        <v>0.53539599999999998</v>
      </c>
      <c r="AC229" s="60">
        <v>1.290427</v>
      </c>
      <c r="AD229" s="59">
        <v>3.2052999999999998E-2</v>
      </c>
      <c r="AE229" s="60">
        <v>0.29832700000000001</v>
      </c>
      <c r="AF229" s="59">
        <v>0.37781700000000001</v>
      </c>
      <c r="AG229" s="60">
        <v>1.6664319999999999</v>
      </c>
      <c r="AH229" s="59">
        <v>0.62626899999999996</v>
      </c>
      <c r="AI229" s="60">
        <v>0.86449600000000004</v>
      </c>
      <c r="AJ229" s="59">
        <v>0.72381099999999998</v>
      </c>
      <c r="AK229" s="60">
        <v>1.216151</v>
      </c>
      <c r="AL229" s="59">
        <v>2.0181290000000001</v>
      </c>
      <c r="AM229" s="60">
        <v>0.84432700000000005</v>
      </c>
      <c r="AN229" s="59">
        <v>1.1481669999999999</v>
      </c>
      <c r="AO229" s="60">
        <v>0.75039599999999995</v>
      </c>
      <c r="AP229" s="59">
        <v>0.76647799999999999</v>
      </c>
      <c r="AQ229" s="60">
        <v>0.964279</v>
      </c>
      <c r="AR229" s="59">
        <v>1.1058859999999999</v>
      </c>
      <c r="AS229" s="60">
        <v>0.83250599999999997</v>
      </c>
      <c r="AT229" s="59">
        <v>1.4097820000000001</v>
      </c>
      <c r="AU229" s="60">
        <v>1.0536700000000001</v>
      </c>
      <c r="AV229" s="59">
        <v>1.8764989999999999</v>
      </c>
      <c r="AW229" s="60">
        <v>1.2228429999999999</v>
      </c>
      <c r="AX229" s="59">
        <v>2.0345680000000002</v>
      </c>
      <c r="AY229" s="60" t="s">
        <v>179</v>
      </c>
      <c r="AZ229" s="59">
        <v>3.283207</v>
      </c>
      <c r="BA229" s="60">
        <v>0.98559699999999995</v>
      </c>
      <c r="BB229" s="59">
        <v>0.30318600000000001</v>
      </c>
      <c r="BC229" s="60">
        <v>1.8238190000000001</v>
      </c>
      <c r="BD229" s="59" t="s">
        <v>179</v>
      </c>
      <c r="BE229" s="60">
        <v>0.57686000000000004</v>
      </c>
    </row>
    <row r="230" spans="1:57" x14ac:dyDescent="0.35">
      <c r="A230" s="240"/>
      <c r="B230" s="240"/>
      <c r="C230" s="58" t="s">
        <v>406</v>
      </c>
      <c r="D230" s="59">
        <v>0.79566800000000004</v>
      </c>
      <c r="E230" s="60">
        <v>1.265326</v>
      </c>
      <c r="F230" s="59">
        <v>1.4985219999999999</v>
      </c>
      <c r="G230" s="60">
        <v>0.72026800000000002</v>
      </c>
      <c r="H230" s="59">
        <v>2.4605109999999999</v>
      </c>
      <c r="I230" s="60" t="s">
        <v>179</v>
      </c>
      <c r="J230" s="59">
        <v>1.0028319999999999</v>
      </c>
      <c r="K230" s="60">
        <v>0.48161799999999999</v>
      </c>
      <c r="L230" s="59">
        <v>2.3128820000000001</v>
      </c>
      <c r="M230" s="60">
        <v>1.1134599999999999</v>
      </c>
      <c r="N230" s="59">
        <v>0.92921200000000004</v>
      </c>
      <c r="O230" s="60">
        <v>-0.17494499999999999</v>
      </c>
      <c r="P230" s="59">
        <v>1.829226</v>
      </c>
      <c r="Q230" s="60">
        <v>1.420396</v>
      </c>
      <c r="R230" s="59">
        <v>5.9670240000000003</v>
      </c>
      <c r="S230" s="60">
        <v>4.0175000000000002E-2</v>
      </c>
      <c r="T230" s="59">
        <v>2.3504019999999999</v>
      </c>
      <c r="U230" s="60">
        <v>0.33685500000000002</v>
      </c>
      <c r="V230" s="59">
        <v>0.70631900000000003</v>
      </c>
      <c r="W230" s="60">
        <v>1.2548010000000001</v>
      </c>
      <c r="X230" s="59">
        <v>3.7349230000000002</v>
      </c>
      <c r="Y230" s="60">
        <v>1.084759</v>
      </c>
      <c r="Z230" s="59">
        <v>-0.85148500000000005</v>
      </c>
      <c r="AA230" s="60">
        <v>1.3497220000000001</v>
      </c>
      <c r="AB230" s="59">
        <v>0.90523699999999996</v>
      </c>
      <c r="AC230" s="60">
        <v>1.715014</v>
      </c>
      <c r="AD230" s="59">
        <v>3.5426669999999998</v>
      </c>
      <c r="AE230" s="60">
        <v>3.0779709999999998</v>
      </c>
      <c r="AF230" s="59">
        <v>0.90289900000000001</v>
      </c>
      <c r="AG230" s="60">
        <v>1.3012379999999999</v>
      </c>
      <c r="AH230" s="59">
        <v>1.013042</v>
      </c>
      <c r="AI230" s="60">
        <v>0.60304400000000002</v>
      </c>
      <c r="AJ230" s="59">
        <v>1.6306659999999999</v>
      </c>
      <c r="AK230" s="60">
        <v>0.67239199999999999</v>
      </c>
      <c r="AL230" s="59">
        <v>4.0089509999999997</v>
      </c>
      <c r="AM230" s="60">
        <v>0.54378400000000005</v>
      </c>
      <c r="AN230" s="59">
        <v>0.53374699999999997</v>
      </c>
      <c r="AO230" s="60">
        <v>0.50993200000000005</v>
      </c>
      <c r="AP230" s="59">
        <v>0.65055600000000002</v>
      </c>
      <c r="AQ230" s="60">
        <v>0.51162700000000005</v>
      </c>
      <c r="AR230" s="59">
        <v>0.61588399999999999</v>
      </c>
      <c r="AS230" s="60">
        <v>0.879722</v>
      </c>
      <c r="AT230" s="59">
        <v>1.0449200000000001</v>
      </c>
      <c r="AU230" s="60">
        <v>0.79088099999999995</v>
      </c>
      <c r="AV230" s="59">
        <v>3.2591290000000002</v>
      </c>
      <c r="AW230" s="60">
        <v>1.818246</v>
      </c>
      <c r="AX230" s="59">
        <v>1.1709179999999999</v>
      </c>
      <c r="AY230" s="60" t="s">
        <v>179</v>
      </c>
      <c r="AZ230" s="59">
        <v>0.36449100000000001</v>
      </c>
      <c r="BA230" s="60">
        <v>1.1749879999999999</v>
      </c>
      <c r="BB230" s="59">
        <v>4.5722500000000004</v>
      </c>
      <c r="BC230" s="60">
        <v>1.8786670000000001</v>
      </c>
      <c r="BD230" s="59" t="s">
        <v>179</v>
      </c>
      <c r="BE230" s="60">
        <v>1.513863</v>
      </c>
    </row>
    <row r="231" spans="1:57" x14ac:dyDescent="0.35">
      <c r="A231" s="240"/>
      <c r="B231" s="240"/>
      <c r="C231" s="58" t="s">
        <v>407</v>
      </c>
      <c r="D231" s="59">
        <v>0.66314799999999996</v>
      </c>
      <c r="E231" s="60">
        <v>0.42043700000000001</v>
      </c>
      <c r="F231" s="59">
        <v>0.960287</v>
      </c>
      <c r="G231" s="60">
        <v>1.187819</v>
      </c>
      <c r="H231" s="59">
        <v>2.1812839999999998</v>
      </c>
      <c r="I231" s="60" t="s">
        <v>179</v>
      </c>
      <c r="J231" s="59">
        <v>1.2179329999999999</v>
      </c>
      <c r="K231" s="60">
        <v>0.59538199999999997</v>
      </c>
      <c r="L231" s="59">
        <v>-0.69026299999999996</v>
      </c>
      <c r="M231" s="60">
        <v>0.71322399999999997</v>
      </c>
      <c r="N231" s="59">
        <v>0.64690300000000001</v>
      </c>
      <c r="O231" s="60">
        <v>0.514073</v>
      </c>
      <c r="P231" s="59">
        <v>-1.7394E-2</v>
      </c>
      <c r="Q231" s="60">
        <v>1.0304960000000001</v>
      </c>
      <c r="R231" s="59">
        <v>-1.3296110000000001</v>
      </c>
      <c r="S231" s="60">
        <v>1.7616959999999999</v>
      </c>
      <c r="T231" s="59">
        <v>0.94554000000000005</v>
      </c>
      <c r="U231" s="60">
        <v>0.28613499999999997</v>
      </c>
      <c r="V231" s="59">
        <v>1.4173E-2</v>
      </c>
      <c r="W231" s="60">
        <v>0.76349900000000004</v>
      </c>
      <c r="X231" s="59">
        <v>1.2400679999999999</v>
      </c>
      <c r="Y231" s="60">
        <v>1.706577</v>
      </c>
      <c r="Z231" s="59">
        <v>0.47911100000000001</v>
      </c>
      <c r="AA231" s="60">
        <v>1.6127549999999999</v>
      </c>
      <c r="AB231" s="59">
        <v>0.476796</v>
      </c>
      <c r="AC231" s="60">
        <v>0.90739400000000003</v>
      </c>
      <c r="AD231" s="59">
        <v>0.20592099999999999</v>
      </c>
      <c r="AE231" s="60">
        <v>0.80826900000000002</v>
      </c>
      <c r="AF231" s="59">
        <v>0.57208199999999998</v>
      </c>
      <c r="AG231" s="60">
        <v>0.68445999999999996</v>
      </c>
      <c r="AH231" s="59">
        <v>1.225676</v>
      </c>
      <c r="AI231" s="60">
        <v>0.97698300000000005</v>
      </c>
      <c r="AJ231" s="59">
        <v>0.610927</v>
      </c>
      <c r="AK231" s="60">
        <v>0.40838200000000002</v>
      </c>
      <c r="AL231" s="59">
        <v>2.1151629999999999</v>
      </c>
      <c r="AM231" s="60">
        <v>0.357844</v>
      </c>
      <c r="AN231" s="59">
        <v>0.76207599999999998</v>
      </c>
      <c r="AO231" s="60">
        <v>0.59976499999999999</v>
      </c>
      <c r="AP231" s="59">
        <v>0.62572499999999998</v>
      </c>
      <c r="AQ231" s="60">
        <v>0.56716999999999995</v>
      </c>
      <c r="AR231" s="59">
        <v>0.86724800000000002</v>
      </c>
      <c r="AS231" s="60">
        <v>0.64269200000000004</v>
      </c>
      <c r="AT231" s="59">
        <v>1.1210599999999999</v>
      </c>
      <c r="AU231" s="60">
        <v>0.67188599999999998</v>
      </c>
      <c r="AV231" s="59">
        <v>-1.1486829999999999</v>
      </c>
      <c r="AW231" s="60">
        <v>2.0621520000000002</v>
      </c>
      <c r="AX231" s="59">
        <v>1.969082</v>
      </c>
      <c r="AY231" s="60" t="s">
        <v>179</v>
      </c>
      <c r="AZ231" s="59">
        <v>2.378174</v>
      </c>
      <c r="BA231" s="60">
        <v>1.195908</v>
      </c>
      <c r="BB231" s="59">
        <v>1.9112800000000001</v>
      </c>
      <c r="BC231" s="60">
        <v>1.927184</v>
      </c>
      <c r="BD231" s="59" t="s">
        <v>179</v>
      </c>
      <c r="BE231" s="60">
        <v>1.3974340000000001</v>
      </c>
    </row>
    <row r="232" spans="1:57" x14ac:dyDescent="0.35">
      <c r="A232" s="240"/>
      <c r="B232" s="240"/>
      <c r="C232" s="58" t="s">
        <v>408</v>
      </c>
      <c r="D232" s="59">
        <v>0.76501399999999997</v>
      </c>
      <c r="E232" s="60">
        <v>0.71502500000000002</v>
      </c>
      <c r="F232" s="59">
        <v>0.873116</v>
      </c>
      <c r="G232" s="60">
        <v>1.180436</v>
      </c>
      <c r="H232" s="59">
        <v>2.8214459999999999</v>
      </c>
      <c r="I232" s="60" t="s">
        <v>179</v>
      </c>
      <c r="J232" s="59">
        <v>1.50719</v>
      </c>
      <c r="K232" s="60">
        <v>0.235626</v>
      </c>
      <c r="L232" s="59">
        <v>2.2585030000000001</v>
      </c>
      <c r="M232" s="60">
        <v>0.88579300000000005</v>
      </c>
      <c r="N232" s="59">
        <v>0.28927700000000001</v>
      </c>
      <c r="O232" s="60">
        <v>-0.1976</v>
      </c>
      <c r="P232" s="59">
        <v>1.3350869999999999</v>
      </c>
      <c r="Q232" s="60">
        <v>1.132668</v>
      </c>
      <c r="R232" s="59">
        <v>1.7704869999999999</v>
      </c>
      <c r="S232" s="60">
        <v>0.353744</v>
      </c>
      <c r="T232" s="59">
        <v>1.2903770000000001</v>
      </c>
      <c r="U232" s="60">
        <v>-6.4359999999999999E-3</v>
      </c>
      <c r="V232" s="59">
        <v>0.61880199999999996</v>
      </c>
      <c r="W232" s="60">
        <v>0.405586</v>
      </c>
      <c r="X232" s="59">
        <v>0.41692299999999999</v>
      </c>
      <c r="Y232" s="60">
        <v>0.56110899999999997</v>
      </c>
      <c r="Z232" s="59">
        <v>1.3449070000000001</v>
      </c>
      <c r="AA232" s="60">
        <v>-0.13501299999999999</v>
      </c>
      <c r="AB232" s="59">
        <v>0.14938799999999999</v>
      </c>
      <c r="AC232" s="60">
        <v>0.22528500000000001</v>
      </c>
      <c r="AD232" s="59">
        <v>-1.1546810000000001</v>
      </c>
      <c r="AE232" s="60">
        <v>-0.44899800000000001</v>
      </c>
      <c r="AF232" s="59">
        <v>3.9385999999999997E-2</v>
      </c>
      <c r="AG232" s="60">
        <v>2.3032590000000002</v>
      </c>
      <c r="AH232" s="59">
        <v>0.96562099999999995</v>
      </c>
      <c r="AI232" s="60">
        <v>0.940419</v>
      </c>
      <c r="AJ232" s="59">
        <v>0.67645599999999995</v>
      </c>
      <c r="AK232" s="60">
        <v>0.27047900000000002</v>
      </c>
      <c r="AL232" s="59">
        <v>0.35284700000000002</v>
      </c>
      <c r="AM232" s="60">
        <v>0.165857</v>
      </c>
      <c r="AN232" s="59">
        <v>0.94532799999999995</v>
      </c>
      <c r="AO232" s="60">
        <v>0.245002</v>
      </c>
      <c r="AP232" s="59">
        <v>0.29016799999999998</v>
      </c>
      <c r="AQ232" s="60">
        <v>0.61596300000000004</v>
      </c>
      <c r="AR232" s="59">
        <v>0.86866100000000002</v>
      </c>
      <c r="AS232" s="60">
        <v>0.25346400000000002</v>
      </c>
      <c r="AT232" s="59">
        <v>1.036095</v>
      </c>
      <c r="AU232" s="60">
        <v>0.59119500000000003</v>
      </c>
      <c r="AV232" s="59">
        <v>5.0405519999999999</v>
      </c>
      <c r="AW232" s="60">
        <v>1.412914</v>
      </c>
      <c r="AX232" s="59">
        <v>2.1063450000000001</v>
      </c>
      <c r="AY232" s="60" t="s">
        <v>179</v>
      </c>
      <c r="AZ232" s="59">
        <v>2.3976380000000002</v>
      </c>
      <c r="BA232" s="60">
        <v>1.2168300000000001</v>
      </c>
      <c r="BB232" s="59">
        <v>3.3580570000000001</v>
      </c>
      <c r="BC232" s="60">
        <v>1.514535</v>
      </c>
      <c r="BD232" s="59" t="s">
        <v>179</v>
      </c>
      <c r="BE232" s="60">
        <v>1.6351150000000001</v>
      </c>
    </row>
    <row r="233" spans="1:57" x14ac:dyDescent="0.35">
      <c r="A233" s="240"/>
      <c r="B233" s="240"/>
      <c r="C233" s="58" t="s">
        <v>409</v>
      </c>
      <c r="D233" s="59">
        <v>0.77449000000000001</v>
      </c>
      <c r="E233" s="60">
        <v>0.173981</v>
      </c>
      <c r="F233" s="59">
        <v>0.35541699999999998</v>
      </c>
      <c r="G233" s="60">
        <v>0.71842700000000004</v>
      </c>
      <c r="H233" s="59">
        <v>1.407192</v>
      </c>
      <c r="I233" s="60" t="s">
        <v>179</v>
      </c>
      <c r="J233" s="59">
        <v>1.8198730000000001</v>
      </c>
      <c r="K233" s="60">
        <v>1.080873</v>
      </c>
      <c r="L233" s="59">
        <v>2.0730490000000001</v>
      </c>
      <c r="M233" s="60">
        <v>2.1584539999999999</v>
      </c>
      <c r="N233" s="59">
        <v>0.72808099999999998</v>
      </c>
      <c r="O233" s="60">
        <v>-0.104823</v>
      </c>
      <c r="P233" s="59">
        <v>-0.38037500000000002</v>
      </c>
      <c r="Q233" s="60">
        <v>0.49311500000000003</v>
      </c>
      <c r="R233" s="59">
        <v>4.4220119999999996</v>
      </c>
      <c r="S233" s="60">
        <v>2.0578919999999998</v>
      </c>
      <c r="T233" s="59">
        <v>1.1999340000000001</v>
      </c>
      <c r="U233" s="60">
        <v>0.18534500000000001</v>
      </c>
      <c r="V233" s="59">
        <v>-0.20213100000000001</v>
      </c>
      <c r="W233" s="60">
        <v>0.757934</v>
      </c>
      <c r="X233" s="59">
        <v>2.403775</v>
      </c>
      <c r="Y233" s="60">
        <v>2.6569090000000002</v>
      </c>
      <c r="Z233" s="59">
        <v>1.4235199999999999</v>
      </c>
      <c r="AA233" s="60">
        <v>1.224723</v>
      </c>
      <c r="AB233" s="59">
        <v>0.21801400000000001</v>
      </c>
      <c r="AC233" s="60">
        <v>0.37258799999999997</v>
      </c>
      <c r="AD233" s="59">
        <v>0.982483</v>
      </c>
      <c r="AE233" s="60">
        <v>1.0882270000000001</v>
      </c>
      <c r="AF233" s="59">
        <v>-0.29572300000000001</v>
      </c>
      <c r="AG233" s="60">
        <v>1.538184</v>
      </c>
      <c r="AH233" s="59">
        <v>0.37870500000000001</v>
      </c>
      <c r="AI233" s="60">
        <v>0.684311</v>
      </c>
      <c r="AJ233" s="59">
        <v>0.89459</v>
      </c>
      <c r="AK233" s="60">
        <v>0.15302199999999999</v>
      </c>
      <c r="AL233" s="59">
        <v>1.123807</v>
      </c>
      <c r="AM233" s="60">
        <v>0.32901599999999998</v>
      </c>
      <c r="AN233" s="59">
        <v>1.001674</v>
      </c>
      <c r="AO233" s="60">
        <v>0.35203099999999998</v>
      </c>
      <c r="AP233" s="59">
        <v>0.43299599999999999</v>
      </c>
      <c r="AQ233" s="60">
        <v>0.56571700000000003</v>
      </c>
      <c r="AR233" s="59">
        <v>0.99978199999999995</v>
      </c>
      <c r="AS233" s="60">
        <v>0.468698</v>
      </c>
      <c r="AT233" s="59">
        <v>1.0036750000000001</v>
      </c>
      <c r="AU233" s="60">
        <v>0.66429400000000005</v>
      </c>
      <c r="AV233" s="59">
        <v>1.452412</v>
      </c>
      <c r="AW233" s="60">
        <v>0.87361299999999997</v>
      </c>
      <c r="AX233" s="59">
        <v>1.3743179999999999</v>
      </c>
      <c r="AY233" s="60" t="s">
        <v>179</v>
      </c>
      <c r="AZ233" s="59">
        <v>1.9366129999999999</v>
      </c>
      <c r="BA233" s="60">
        <v>2.814066</v>
      </c>
      <c r="BB233" s="59">
        <v>1.577507</v>
      </c>
      <c r="BC233" s="60">
        <v>1.118171</v>
      </c>
      <c r="BD233" s="59" t="s">
        <v>179</v>
      </c>
      <c r="BE233" s="60">
        <v>1.0678650000000001</v>
      </c>
    </row>
    <row r="234" spans="1:57" x14ac:dyDescent="0.35">
      <c r="A234" s="240"/>
      <c r="B234" s="240"/>
      <c r="C234" s="58" t="s">
        <v>410</v>
      </c>
      <c r="D234" s="59">
        <v>0.78339499999999995</v>
      </c>
      <c r="E234" s="60">
        <v>0.30069400000000002</v>
      </c>
      <c r="F234" s="59">
        <v>0.52732699999999999</v>
      </c>
      <c r="G234" s="60">
        <v>0.34606700000000001</v>
      </c>
      <c r="H234" s="59">
        <v>-4.2005000000000001E-2</v>
      </c>
      <c r="I234" s="60" t="s">
        <v>179</v>
      </c>
      <c r="J234" s="59">
        <v>1.7672840000000001</v>
      </c>
      <c r="K234" s="60">
        <v>-0.362985</v>
      </c>
      <c r="L234" s="59">
        <v>1.743045</v>
      </c>
      <c r="M234" s="60">
        <v>0.15667300000000001</v>
      </c>
      <c r="N234" s="59">
        <v>0.26802700000000002</v>
      </c>
      <c r="O234" s="60">
        <v>-1.9999999999999999E-6</v>
      </c>
      <c r="P234" s="59">
        <v>-0.59097</v>
      </c>
      <c r="Q234" s="60">
        <v>1.021884</v>
      </c>
      <c r="R234" s="59">
        <v>-2.9541409999999999</v>
      </c>
      <c r="S234" s="60">
        <v>1.1956690000000001</v>
      </c>
      <c r="T234" s="59">
        <v>0.64461000000000002</v>
      </c>
      <c r="U234" s="60">
        <v>-9.7279000000000004E-2</v>
      </c>
      <c r="V234" s="59">
        <v>0.49004300000000001</v>
      </c>
      <c r="W234" s="60">
        <v>0.85090299999999996</v>
      </c>
      <c r="X234" s="59">
        <v>2.6202290000000001</v>
      </c>
      <c r="Y234" s="60">
        <v>1.887832</v>
      </c>
      <c r="Z234" s="59">
        <v>-0.61388200000000004</v>
      </c>
      <c r="AA234" s="60">
        <v>0.15254699999999999</v>
      </c>
      <c r="AB234" s="59">
        <v>0.32285799999999998</v>
      </c>
      <c r="AC234" s="60">
        <v>1.1470959999999999</v>
      </c>
      <c r="AD234" s="59">
        <v>1.629996</v>
      </c>
      <c r="AE234" s="60">
        <v>1.0204279999999999</v>
      </c>
      <c r="AF234" s="59">
        <v>0.76900800000000002</v>
      </c>
      <c r="AG234" s="60">
        <v>1.238165</v>
      </c>
      <c r="AH234" s="59">
        <v>0.98124</v>
      </c>
      <c r="AI234" s="60">
        <v>0.97628999999999999</v>
      </c>
      <c r="AJ234" s="59">
        <v>0.413887</v>
      </c>
      <c r="AK234" s="60">
        <v>1.2036439999999999</v>
      </c>
      <c r="AL234" s="59">
        <v>5.4996460000000003</v>
      </c>
      <c r="AM234" s="60">
        <v>0.84041399999999999</v>
      </c>
      <c r="AN234" s="59">
        <v>1.1069640000000001</v>
      </c>
      <c r="AO234" s="60">
        <v>0.24766299999999999</v>
      </c>
      <c r="AP234" s="59">
        <v>0.28323399999999999</v>
      </c>
      <c r="AQ234" s="60">
        <v>0.70603400000000005</v>
      </c>
      <c r="AR234" s="59">
        <v>0.96779800000000005</v>
      </c>
      <c r="AS234" s="60">
        <v>0.70288499999999998</v>
      </c>
      <c r="AT234" s="59">
        <v>1.181521</v>
      </c>
      <c r="AU234" s="60">
        <v>0.78373999999999999</v>
      </c>
      <c r="AV234" s="59">
        <v>2.8844539999999999</v>
      </c>
      <c r="AW234" s="60">
        <v>-0.30068699999999998</v>
      </c>
      <c r="AX234" s="59">
        <v>2.1760069999999998</v>
      </c>
      <c r="AY234" s="60" t="s">
        <v>179</v>
      </c>
      <c r="AZ234" s="59">
        <v>1.7509710000000001</v>
      </c>
      <c r="BA234" s="60">
        <v>0.81101800000000002</v>
      </c>
      <c r="BB234" s="59">
        <v>0.35112500000000002</v>
      </c>
      <c r="BC234" s="60">
        <v>1.7480819999999999</v>
      </c>
      <c r="BD234" s="59" t="s">
        <v>179</v>
      </c>
      <c r="BE234" s="60">
        <v>1.0166269999999999</v>
      </c>
    </row>
    <row r="235" spans="1:57" x14ac:dyDescent="0.35">
      <c r="A235" s="240"/>
      <c r="B235" s="240"/>
      <c r="C235" s="58" t="s">
        <v>411</v>
      </c>
      <c r="D235" s="59">
        <v>0.44900099999999998</v>
      </c>
      <c r="E235" s="60">
        <v>1.3475159999999999</v>
      </c>
      <c r="F235" s="59">
        <v>0.59902200000000005</v>
      </c>
      <c r="G235" s="60">
        <v>0.72552300000000003</v>
      </c>
      <c r="H235" s="59">
        <v>1.6219509999999999</v>
      </c>
      <c r="I235" s="60">
        <v>1.652185</v>
      </c>
      <c r="J235" s="59">
        <v>1.4177010000000001</v>
      </c>
      <c r="K235" s="60">
        <v>1.968907</v>
      </c>
      <c r="L235" s="59">
        <v>3.9607100000000002</v>
      </c>
      <c r="M235" s="60">
        <v>-0.149724</v>
      </c>
      <c r="N235" s="59">
        <v>0.177124</v>
      </c>
      <c r="O235" s="60">
        <v>0.53631399999999996</v>
      </c>
      <c r="P235" s="59">
        <v>0.239374</v>
      </c>
      <c r="Q235" s="60">
        <v>1.8021860000000001</v>
      </c>
      <c r="R235" s="59">
        <v>6.2892130000000002</v>
      </c>
      <c r="S235" s="60">
        <v>2.1692140000000002</v>
      </c>
      <c r="T235" s="59">
        <v>1.047528</v>
      </c>
      <c r="U235" s="60">
        <v>0.70952499999999996</v>
      </c>
      <c r="V235" s="59">
        <v>0.66324300000000003</v>
      </c>
      <c r="W235" s="60">
        <v>1.8870629999999999</v>
      </c>
      <c r="X235" s="59">
        <v>2.46909</v>
      </c>
      <c r="Y235" s="60">
        <v>1.539841</v>
      </c>
      <c r="Z235" s="59">
        <v>1.295328</v>
      </c>
      <c r="AA235" s="60">
        <v>0.30171199999999998</v>
      </c>
      <c r="AB235" s="59">
        <v>0.70347000000000004</v>
      </c>
      <c r="AC235" s="60">
        <v>1.655289</v>
      </c>
      <c r="AD235" s="59">
        <v>0.52446999999999999</v>
      </c>
      <c r="AE235" s="60">
        <v>0.190693</v>
      </c>
      <c r="AF235" s="59">
        <v>0.36865399999999998</v>
      </c>
      <c r="AG235" s="60">
        <v>2.0871759999999999</v>
      </c>
      <c r="AH235" s="59">
        <v>1.6821470000000001</v>
      </c>
      <c r="AI235" s="60">
        <v>0.882073</v>
      </c>
      <c r="AJ235" s="59">
        <v>0.64695499999999995</v>
      </c>
      <c r="AK235" s="60">
        <v>1.12029</v>
      </c>
      <c r="AL235" s="59">
        <v>0.41931099999999999</v>
      </c>
      <c r="AM235" s="60">
        <v>1.243276</v>
      </c>
      <c r="AN235" s="59">
        <v>0.461561</v>
      </c>
      <c r="AO235" s="60">
        <v>0.59455800000000003</v>
      </c>
      <c r="AP235" s="59">
        <v>0.64281900000000003</v>
      </c>
      <c r="AQ235" s="60">
        <v>0.56661499999999998</v>
      </c>
      <c r="AR235" s="59">
        <v>0.46737200000000001</v>
      </c>
      <c r="AS235" s="60">
        <v>0.73497199999999996</v>
      </c>
      <c r="AT235" s="59">
        <v>1.160806</v>
      </c>
      <c r="AU235" s="60">
        <v>0.66781400000000002</v>
      </c>
      <c r="AV235" s="59">
        <v>2.1146020000000001</v>
      </c>
      <c r="AW235" s="60">
        <v>2.4019119999999998</v>
      </c>
      <c r="AX235" s="59">
        <v>1.402371</v>
      </c>
      <c r="AY235" s="60" t="s">
        <v>179</v>
      </c>
      <c r="AZ235" s="59">
        <v>3.1668989999999999</v>
      </c>
      <c r="BA235" s="60">
        <v>1.1452100000000001</v>
      </c>
      <c r="BB235" s="59">
        <v>-0.41987600000000003</v>
      </c>
      <c r="BC235" s="60">
        <v>1.522295</v>
      </c>
      <c r="BD235" s="59" t="s">
        <v>179</v>
      </c>
      <c r="BE235" s="60">
        <v>1.794583</v>
      </c>
    </row>
    <row r="236" spans="1:57" x14ac:dyDescent="0.35">
      <c r="A236" s="240"/>
      <c r="B236" s="240"/>
      <c r="C236" s="58" t="s">
        <v>412</v>
      </c>
      <c r="D236" s="59">
        <v>1.0667310000000001</v>
      </c>
      <c r="E236" s="60">
        <v>0.54807300000000003</v>
      </c>
      <c r="F236" s="59">
        <v>0.39549699999999999</v>
      </c>
      <c r="G236" s="60">
        <v>1.2113750000000001</v>
      </c>
      <c r="H236" s="59">
        <v>2.327299</v>
      </c>
      <c r="I236" s="60">
        <v>9.4103000000000006E-2</v>
      </c>
      <c r="J236" s="59">
        <v>1.599667</v>
      </c>
      <c r="K236" s="60">
        <v>0.111335</v>
      </c>
      <c r="L236" s="59">
        <v>2.3811610000000001</v>
      </c>
      <c r="M236" s="60">
        <v>0.79450299999999996</v>
      </c>
      <c r="N236" s="59">
        <v>0.50995299999999999</v>
      </c>
      <c r="O236" s="60">
        <v>0.84657499999999997</v>
      </c>
      <c r="P236" s="59">
        <v>1.3901870000000001</v>
      </c>
      <c r="Q236" s="60">
        <v>0.74378900000000003</v>
      </c>
      <c r="R236" s="59">
        <v>1.124474</v>
      </c>
      <c r="S236" s="60">
        <v>3.2483999999999999E-2</v>
      </c>
      <c r="T236" s="59">
        <v>1.1820349999999999</v>
      </c>
      <c r="U236" s="60">
        <v>0.64882799999999996</v>
      </c>
      <c r="V236" s="59">
        <v>0.96001000000000003</v>
      </c>
      <c r="W236" s="60">
        <v>1.505331</v>
      </c>
      <c r="X236" s="59">
        <v>4.7846190000000002</v>
      </c>
      <c r="Y236" s="60">
        <v>2.8455330000000001</v>
      </c>
      <c r="Z236" s="59">
        <v>1.878368</v>
      </c>
      <c r="AA236" s="60">
        <v>0.93314799999999998</v>
      </c>
      <c r="AB236" s="59">
        <v>1.3429519999999999</v>
      </c>
      <c r="AC236" s="60">
        <v>0.40292699999999998</v>
      </c>
      <c r="AD236" s="59">
        <v>0.82960599999999995</v>
      </c>
      <c r="AE236" s="60">
        <v>1.902523</v>
      </c>
      <c r="AF236" s="59">
        <v>-0.47193099999999999</v>
      </c>
      <c r="AG236" s="60">
        <v>1.6383730000000001</v>
      </c>
      <c r="AH236" s="59">
        <v>0.86258100000000004</v>
      </c>
      <c r="AI236" s="60">
        <v>0.96699599999999997</v>
      </c>
      <c r="AJ236" s="59">
        <v>1.158933</v>
      </c>
      <c r="AK236" s="60">
        <v>0.99846199999999996</v>
      </c>
      <c r="AL236" s="59">
        <v>1.025129</v>
      </c>
      <c r="AM236" s="60">
        <v>1.1390290000000001</v>
      </c>
      <c r="AN236" s="59">
        <v>0.89133399999999996</v>
      </c>
      <c r="AO236" s="60">
        <v>0.73406400000000005</v>
      </c>
      <c r="AP236" s="59">
        <v>0.781528</v>
      </c>
      <c r="AQ236" s="60">
        <v>0.88660000000000005</v>
      </c>
      <c r="AR236" s="59">
        <v>0.91864699999999999</v>
      </c>
      <c r="AS236" s="60">
        <v>0.89622000000000002</v>
      </c>
      <c r="AT236" s="59">
        <v>1.182971</v>
      </c>
      <c r="AU236" s="60">
        <v>0.93561899999999998</v>
      </c>
      <c r="AV236" s="59">
        <v>0.70238900000000004</v>
      </c>
      <c r="AW236" s="60">
        <v>-0.84787500000000005</v>
      </c>
      <c r="AX236" s="59">
        <v>1.3065150000000001</v>
      </c>
      <c r="AY236" s="60" t="s">
        <v>179</v>
      </c>
      <c r="AZ236" s="59">
        <v>1.391416</v>
      </c>
      <c r="BA236" s="60">
        <v>1.1019019999999999</v>
      </c>
      <c r="BB236" s="59">
        <v>1.9642250000000001</v>
      </c>
      <c r="BC236" s="60">
        <v>1.762205</v>
      </c>
      <c r="BD236" s="59" t="s">
        <v>179</v>
      </c>
      <c r="BE236" s="60">
        <v>1.3636219999999999</v>
      </c>
    </row>
    <row r="237" spans="1:57" x14ac:dyDescent="0.35">
      <c r="A237" s="240"/>
      <c r="B237" s="240"/>
      <c r="C237" s="58" t="s">
        <v>413</v>
      </c>
      <c r="D237" s="59">
        <v>0.84582999999999997</v>
      </c>
      <c r="E237" s="60">
        <v>0.92404299999999995</v>
      </c>
      <c r="F237" s="59">
        <v>0.76697099999999996</v>
      </c>
      <c r="G237" s="60">
        <v>0.988734</v>
      </c>
      <c r="H237" s="59">
        <v>1.3921509999999999</v>
      </c>
      <c r="I237" s="60">
        <v>1.5922719999999999</v>
      </c>
      <c r="J237" s="59">
        <v>1.8368230000000001</v>
      </c>
      <c r="K237" s="60">
        <v>0.32472299999999998</v>
      </c>
      <c r="L237" s="59">
        <v>2.2917350000000001</v>
      </c>
      <c r="M237" s="60">
        <v>0.35748400000000002</v>
      </c>
      <c r="N237" s="59">
        <v>0.75671100000000002</v>
      </c>
      <c r="O237" s="60">
        <v>0.48298200000000002</v>
      </c>
      <c r="P237" s="59">
        <v>0.49988300000000002</v>
      </c>
      <c r="Q237" s="60">
        <v>1.1566959999999999</v>
      </c>
      <c r="R237" s="59">
        <v>0.77024300000000001</v>
      </c>
      <c r="S237" s="60">
        <v>2.5452849999999998</v>
      </c>
      <c r="T237" s="59">
        <v>1.696202</v>
      </c>
      <c r="U237" s="60">
        <v>0.12368800000000001</v>
      </c>
      <c r="V237" s="59">
        <v>0.18060699999999999</v>
      </c>
      <c r="W237" s="60">
        <v>1.012499</v>
      </c>
      <c r="X237" s="59">
        <v>3.675217</v>
      </c>
      <c r="Y237" s="60">
        <v>2.2424599999999999</v>
      </c>
      <c r="Z237" s="59">
        <v>4.8737999999999997E-2</v>
      </c>
      <c r="AA237" s="60">
        <v>1.5781860000000001</v>
      </c>
      <c r="AB237" s="59">
        <v>0.63055099999999997</v>
      </c>
      <c r="AC237" s="60">
        <v>-0.35553200000000001</v>
      </c>
      <c r="AD237" s="59">
        <v>0.224912</v>
      </c>
      <c r="AE237" s="60">
        <v>1.861335</v>
      </c>
      <c r="AF237" s="59">
        <v>0.13305400000000001</v>
      </c>
      <c r="AG237" s="60">
        <v>1.469676</v>
      </c>
      <c r="AH237" s="59">
        <v>1.7799</v>
      </c>
      <c r="AI237" s="60">
        <v>1.0138670000000001</v>
      </c>
      <c r="AJ237" s="59">
        <v>0.74050300000000002</v>
      </c>
      <c r="AK237" s="60">
        <v>0.90331499999999998</v>
      </c>
      <c r="AL237" s="59">
        <v>3.3586469999999999</v>
      </c>
      <c r="AM237" s="60">
        <v>1.4999899999999999</v>
      </c>
      <c r="AN237" s="59">
        <v>0.631463</v>
      </c>
      <c r="AO237" s="60">
        <v>0.61888200000000004</v>
      </c>
      <c r="AP237" s="59">
        <v>0.67799100000000001</v>
      </c>
      <c r="AQ237" s="60">
        <v>0.604792</v>
      </c>
      <c r="AR237" s="59">
        <v>0.73912299999999997</v>
      </c>
      <c r="AS237" s="60">
        <v>0.96912100000000001</v>
      </c>
      <c r="AT237" s="59">
        <v>1.269808</v>
      </c>
      <c r="AU237" s="60">
        <v>0.79556199999999999</v>
      </c>
      <c r="AV237" s="59">
        <v>1.966761</v>
      </c>
      <c r="AW237" s="60">
        <v>0.93589299999999997</v>
      </c>
      <c r="AX237" s="59">
        <v>1.6698200000000001</v>
      </c>
      <c r="AY237" s="60" t="s">
        <v>179</v>
      </c>
      <c r="AZ237" s="59">
        <v>2.5279069999999999</v>
      </c>
      <c r="BA237" s="60">
        <v>1.421165</v>
      </c>
      <c r="BB237" s="59">
        <v>2.484531</v>
      </c>
      <c r="BC237" s="60">
        <v>2.06284</v>
      </c>
      <c r="BD237" s="59" t="s">
        <v>179</v>
      </c>
      <c r="BE237" s="60">
        <v>0.66961099999999996</v>
      </c>
    </row>
    <row r="238" spans="1:57" x14ac:dyDescent="0.35">
      <c r="A238" s="240"/>
      <c r="B238" s="240"/>
      <c r="C238" s="58" t="s">
        <v>414</v>
      </c>
      <c r="D238" s="59">
        <v>0.20788400000000001</v>
      </c>
      <c r="E238" s="60">
        <v>1.0130520000000001</v>
      </c>
      <c r="F238" s="59">
        <v>0.61371100000000001</v>
      </c>
      <c r="G238" s="60">
        <v>0.81099500000000002</v>
      </c>
      <c r="H238" s="59">
        <v>0.84915600000000002</v>
      </c>
      <c r="I238" s="60">
        <v>2.5722010000000002</v>
      </c>
      <c r="J238" s="59">
        <v>1.790511</v>
      </c>
      <c r="K238" s="60">
        <v>1.256661</v>
      </c>
      <c r="L238" s="59">
        <v>2.2859530000000001</v>
      </c>
      <c r="M238" s="60">
        <v>3.0089830000000002</v>
      </c>
      <c r="N238" s="59">
        <v>0.77505400000000002</v>
      </c>
      <c r="O238" s="60">
        <v>0.96131999999999995</v>
      </c>
      <c r="P238" s="59">
        <v>3.2606489999999999</v>
      </c>
      <c r="Q238" s="60">
        <v>0.86235399999999995</v>
      </c>
      <c r="R238" s="59">
        <v>-0.77095100000000005</v>
      </c>
      <c r="S238" s="60">
        <v>1.042065</v>
      </c>
      <c r="T238" s="59">
        <v>1.818373</v>
      </c>
      <c r="U238" s="60">
        <v>0.29024</v>
      </c>
      <c r="V238" s="59">
        <v>0.184535</v>
      </c>
      <c r="W238" s="60">
        <v>1.6390830000000001</v>
      </c>
      <c r="X238" s="59">
        <v>-0.54181500000000005</v>
      </c>
      <c r="Y238" s="60">
        <v>0.47545300000000001</v>
      </c>
      <c r="Z238" s="59">
        <v>2.5929310000000001</v>
      </c>
      <c r="AA238" s="60">
        <v>1.7446790000000001</v>
      </c>
      <c r="AB238" s="59">
        <v>0.62393799999999999</v>
      </c>
      <c r="AC238" s="60">
        <v>1.6511640000000001</v>
      </c>
      <c r="AD238" s="59">
        <v>0.639988</v>
      </c>
      <c r="AE238" s="60">
        <v>1.505549</v>
      </c>
      <c r="AF238" s="59">
        <v>0.81739200000000001</v>
      </c>
      <c r="AG238" s="60">
        <v>2.3788309999999999</v>
      </c>
      <c r="AH238" s="59">
        <v>0.72831100000000004</v>
      </c>
      <c r="AI238" s="60">
        <v>1.1451039999999999</v>
      </c>
      <c r="AJ238" s="59">
        <v>1.5317449999999999</v>
      </c>
      <c r="AK238" s="60">
        <v>1.102328</v>
      </c>
      <c r="AL238" s="59">
        <v>2.064101</v>
      </c>
      <c r="AM238" s="60">
        <v>0.39934999999999998</v>
      </c>
      <c r="AN238" s="59">
        <v>1.330287</v>
      </c>
      <c r="AO238" s="60">
        <v>0.88542399999999999</v>
      </c>
      <c r="AP238" s="59">
        <v>0.95438699999999999</v>
      </c>
      <c r="AQ238" s="60">
        <v>0.916856</v>
      </c>
      <c r="AR238" s="59">
        <v>1.327828</v>
      </c>
      <c r="AS238" s="60">
        <v>0.95158100000000001</v>
      </c>
      <c r="AT238" s="59">
        <v>1.4530479999999999</v>
      </c>
      <c r="AU238" s="60">
        <v>1.052975</v>
      </c>
      <c r="AV238" s="59">
        <v>2.607272</v>
      </c>
      <c r="AW238" s="60">
        <v>1.7167410000000001</v>
      </c>
      <c r="AX238" s="59">
        <v>1.5477339999999999</v>
      </c>
      <c r="AY238" s="60" t="s">
        <v>179</v>
      </c>
      <c r="AZ238" s="59">
        <v>2.5055730000000001</v>
      </c>
      <c r="BA238" s="60">
        <v>1.3212189999999999</v>
      </c>
      <c r="BB238" s="59">
        <v>1.5055860000000001</v>
      </c>
      <c r="BC238" s="60">
        <v>1.9306049999999999</v>
      </c>
      <c r="BD238" s="59" t="s">
        <v>179</v>
      </c>
      <c r="BE238" s="60">
        <v>1.756821</v>
      </c>
    </row>
    <row r="239" spans="1:57" x14ac:dyDescent="0.35">
      <c r="A239" s="240"/>
      <c r="B239" s="240"/>
      <c r="C239" s="58" t="s">
        <v>415</v>
      </c>
      <c r="D239" s="59">
        <v>0.169435</v>
      </c>
      <c r="E239" s="60">
        <v>0.64715199999999995</v>
      </c>
      <c r="F239" s="59">
        <v>0.35599500000000001</v>
      </c>
      <c r="G239" s="60">
        <v>5.1645999999999997E-2</v>
      </c>
      <c r="H239" s="59">
        <v>2.0756049999999999</v>
      </c>
      <c r="I239" s="60">
        <v>1.549439</v>
      </c>
      <c r="J239" s="59">
        <v>2.0080170000000002</v>
      </c>
      <c r="K239" s="60">
        <v>2.982415</v>
      </c>
      <c r="L239" s="59">
        <v>2.0798079999999999</v>
      </c>
      <c r="M239" s="60">
        <v>-0.44675500000000001</v>
      </c>
      <c r="N239" s="59">
        <v>1.0055229999999999</v>
      </c>
      <c r="O239" s="60">
        <v>1.7229620000000001</v>
      </c>
      <c r="P239" s="59">
        <v>0.30498500000000001</v>
      </c>
      <c r="Q239" s="60">
        <v>1.3671409999999999</v>
      </c>
      <c r="R239" s="59">
        <v>4.4124210000000001</v>
      </c>
      <c r="S239" s="60">
        <v>0.410881</v>
      </c>
      <c r="T239" s="59">
        <v>1.9222760000000001</v>
      </c>
      <c r="U239" s="60">
        <v>0.64312599999999998</v>
      </c>
      <c r="V239" s="59">
        <v>0.24351100000000001</v>
      </c>
      <c r="W239" s="60">
        <v>0.73060199999999997</v>
      </c>
      <c r="X239" s="59">
        <v>4.8689400000000003</v>
      </c>
      <c r="Y239" s="60">
        <v>2.2508870000000001</v>
      </c>
      <c r="Z239" s="59">
        <v>4.3084999999999998E-2</v>
      </c>
      <c r="AA239" s="60">
        <v>1.0050650000000001</v>
      </c>
      <c r="AB239" s="59">
        <v>1.497031</v>
      </c>
      <c r="AC239" s="60">
        <v>0.52410900000000005</v>
      </c>
      <c r="AD239" s="59">
        <v>0.12503800000000001</v>
      </c>
      <c r="AE239" s="60">
        <v>2.3125939999999998</v>
      </c>
      <c r="AF239" s="59">
        <v>0.96510899999999999</v>
      </c>
      <c r="AG239" s="60">
        <v>2.3284940000000001</v>
      </c>
      <c r="AH239" s="59">
        <v>2.1466080000000001</v>
      </c>
      <c r="AI239" s="60">
        <v>0.96921500000000005</v>
      </c>
      <c r="AJ239" s="59">
        <v>1.6859310000000001</v>
      </c>
      <c r="AK239" s="60">
        <v>0.87311000000000005</v>
      </c>
      <c r="AL239" s="59">
        <v>2.7738070000000001</v>
      </c>
      <c r="AM239" s="60">
        <v>0.25153900000000001</v>
      </c>
      <c r="AN239" s="59">
        <v>0.23369999999999999</v>
      </c>
      <c r="AO239" s="60">
        <v>1.098951</v>
      </c>
      <c r="AP239" s="59">
        <v>1.227409</v>
      </c>
      <c r="AQ239" s="60">
        <v>0.45788000000000001</v>
      </c>
      <c r="AR239" s="59">
        <v>0.28724</v>
      </c>
      <c r="AS239" s="60">
        <v>1.164614</v>
      </c>
      <c r="AT239" s="59">
        <v>1.105113</v>
      </c>
      <c r="AU239" s="60">
        <v>0.670682</v>
      </c>
      <c r="AV239" s="59">
        <v>1.208337</v>
      </c>
      <c r="AW239" s="60">
        <v>0.44799899999999998</v>
      </c>
      <c r="AX239" s="59">
        <v>1.7323820000000001</v>
      </c>
      <c r="AY239" s="60" t="s">
        <v>179</v>
      </c>
      <c r="AZ239" s="59">
        <v>1.4363809999999999</v>
      </c>
      <c r="BA239" s="60">
        <v>1.276789</v>
      </c>
      <c r="BB239" s="59">
        <v>3.510284</v>
      </c>
      <c r="BC239" s="60">
        <v>1.9251039999999999</v>
      </c>
      <c r="BD239" s="59" t="s">
        <v>179</v>
      </c>
      <c r="BE239" s="60">
        <v>1.420302</v>
      </c>
    </row>
    <row r="240" spans="1:57" x14ac:dyDescent="0.35">
      <c r="A240" s="240"/>
      <c r="B240" s="240"/>
      <c r="C240" s="58" t="s">
        <v>416</v>
      </c>
      <c r="D240" s="59">
        <v>1.4933449999999999</v>
      </c>
      <c r="E240" s="60">
        <v>1.0723510000000001</v>
      </c>
      <c r="F240" s="59">
        <v>0.88034299999999999</v>
      </c>
      <c r="G240" s="60">
        <v>0.27924500000000002</v>
      </c>
      <c r="H240" s="59">
        <v>1.305037</v>
      </c>
      <c r="I240" s="60">
        <v>1.672523</v>
      </c>
      <c r="J240" s="59">
        <v>1.2330920000000001</v>
      </c>
      <c r="K240" s="60">
        <v>-0.66682300000000005</v>
      </c>
      <c r="L240" s="59">
        <v>2.2875730000000001</v>
      </c>
      <c r="M240" s="60">
        <v>0.94714100000000001</v>
      </c>
      <c r="N240" s="59">
        <v>3.5409999999999999E-3</v>
      </c>
      <c r="O240" s="60">
        <v>0.78003500000000003</v>
      </c>
      <c r="P240" s="59">
        <v>0.47711100000000001</v>
      </c>
      <c r="Q240" s="60">
        <v>0.65546300000000002</v>
      </c>
      <c r="R240" s="59">
        <v>-0.63427</v>
      </c>
      <c r="S240" s="60">
        <v>2.0600969999999998</v>
      </c>
      <c r="T240" s="59">
        <v>-0.69927099999999998</v>
      </c>
      <c r="U240" s="60">
        <v>0.41576600000000002</v>
      </c>
      <c r="V240" s="59">
        <v>-0.178706</v>
      </c>
      <c r="W240" s="60">
        <v>1.613955</v>
      </c>
      <c r="X240" s="59">
        <v>3.2062620000000002</v>
      </c>
      <c r="Y240" s="60">
        <v>1.7358720000000001</v>
      </c>
      <c r="Z240" s="59">
        <v>1.1029599999999999</v>
      </c>
      <c r="AA240" s="60">
        <v>0.30999100000000002</v>
      </c>
      <c r="AB240" s="59">
        <v>0.59815300000000005</v>
      </c>
      <c r="AC240" s="60">
        <v>0.612016</v>
      </c>
      <c r="AD240" s="59">
        <v>1.026262</v>
      </c>
      <c r="AE240" s="60">
        <v>1.663557</v>
      </c>
      <c r="AF240" s="59">
        <v>-0.112751</v>
      </c>
      <c r="AG240" s="60">
        <v>1.914577</v>
      </c>
      <c r="AH240" s="59">
        <v>1.692631</v>
      </c>
      <c r="AI240" s="60">
        <v>0.92913999999999997</v>
      </c>
      <c r="AJ240" s="59">
        <v>1.100303</v>
      </c>
      <c r="AK240" s="60">
        <v>0.81539799999999996</v>
      </c>
      <c r="AL240" s="59">
        <v>-1.730059</v>
      </c>
      <c r="AM240" s="60">
        <v>0.102798</v>
      </c>
      <c r="AN240" s="59">
        <v>0.15463299999999999</v>
      </c>
      <c r="AO240" s="60">
        <v>0.58789000000000002</v>
      </c>
      <c r="AP240" s="59">
        <v>0.62312299999999998</v>
      </c>
      <c r="AQ240" s="60">
        <v>0.174516</v>
      </c>
      <c r="AR240" s="59">
        <v>0.17762500000000001</v>
      </c>
      <c r="AS240" s="60">
        <v>0.46169700000000002</v>
      </c>
      <c r="AT240" s="59">
        <v>1.0536399999999999</v>
      </c>
      <c r="AU240" s="60">
        <v>0.345611</v>
      </c>
      <c r="AV240" s="59">
        <v>2.7989229999999998</v>
      </c>
      <c r="AW240" s="60">
        <v>1.3661939999999999</v>
      </c>
      <c r="AX240" s="59">
        <v>2.1276630000000001</v>
      </c>
      <c r="AY240" s="60" t="s">
        <v>179</v>
      </c>
      <c r="AZ240" s="59">
        <v>3.302997</v>
      </c>
      <c r="BA240" s="60">
        <v>1.6118950000000001</v>
      </c>
      <c r="BB240" s="59">
        <v>0.941195</v>
      </c>
      <c r="BC240" s="60">
        <v>2.2961290000000001</v>
      </c>
      <c r="BD240" s="59" t="s">
        <v>179</v>
      </c>
      <c r="BE240" s="60">
        <v>1.3811329999999999</v>
      </c>
    </row>
    <row r="241" spans="1:57" x14ac:dyDescent="0.35">
      <c r="A241" s="240"/>
      <c r="B241" s="240"/>
      <c r="C241" s="58" t="s">
        <v>417</v>
      </c>
      <c r="D241" s="59">
        <v>1.279979</v>
      </c>
      <c r="E241" s="60">
        <v>1.223644</v>
      </c>
      <c r="F241" s="59">
        <v>1.135316</v>
      </c>
      <c r="G241" s="60">
        <v>0.39859800000000001</v>
      </c>
      <c r="H241" s="59">
        <v>2.0371739999999998</v>
      </c>
      <c r="I241" s="60">
        <v>1.327188</v>
      </c>
      <c r="J241" s="59">
        <v>1.3131600000000001</v>
      </c>
      <c r="K241" s="60">
        <v>-0.27102100000000001</v>
      </c>
      <c r="L241" s="59">
        <v>2.482202</v>
      </c>
      <c r="M241" s="60">
        <v>0.89337200000000005</v>
      </c>
      <c r="N241" s="59">
        <v>0.81589500000000004</v>
      </c>
      <c r="O241" s="60">
        <v>1.5037529999999999</v>
      </c>
      <c r="P241" s="59">
        <v>2.5430269999999999</v>
      </c>
      <c r="Q241" s="60">
        <v>0.89773000000000003</v>
      </c>
      <c r="R241" s="59">
        <v>1.370217</v>
      </c>
      <c r="S241" s="60">
        <v>0.32556600000000002</v>
      </c>
      <c r="T241" s="59">
        <v>1.62015</v>
      </c>
      <c r="U241" s="60">
        <v>1.173902</v>
      </c>
      <c r="V241" s="59">
        <v>1.3104359999999999</v>
      </c>
      <c r="W241" s="60">
        <v>0.779358</v>
      </c>
      <c r="X241" s="59">
        <v>4.4313349999999998</v>
      </c>
      <c r="Y241" s="60">
        <v>2.9168820000000002</v>
      </c>
      <c r="Z241" s="59">
        <v>2.4805860000000002</v>
      </c>
      <c r="AA241" s="60">
        <v>0.20730199999999999</v>
      </c>
      <c r="AB241" s="59">
        <v>0.82450000000000001</v>
      </c>
      <c r="AC241" s="60">
        <v>0.78846799999999995</v>
      </c>
      <c r="AD241" s="59">
        <v>1.8302080000000001</v>
      </c>
      <c r="AE241" s="60">
        <v>-1.434215</v>
      </c>
      <c r="AF241" s="59">
        <v>0.71199900000000005</v>
      </c>
      <c r="AG241" s="60">
        <v>2.7930809999999999</v>
      </c>
      <c r="AH241" s="59">
        <v>2.2048329999999998</v>
      </c>
      <c r="AI241" s="60">
        <v>0.96148500000000003</v>
      </c>
      <c r="AJ241" s="59">
        <v>0.63128600000000001</v>
      </c>
      <c r="AK241" s="60">
        <v>1.57202</v>
      </c>
      <c r="AL241" s="59">
        <v>2.9869859999999999</v>
      </c>
      <c r="AM241" s="60">
        <v>0.51954199999999995</v>
      </c>
      <c r="AN241" s="59">
        <v>0.85186499999999998</v>
      </c>
      <c r="AO241" s="60">
        <v>1.189497</v>
      </c>
      <c r="AP241" s="59">
        <v>1.070459</v>
      </c>
      <c r="AQ241" s="60">
        <v>0.95995799999999998</v>
      </c>
      <c r="AR241" s="59">
        <v>0.76114700000000002</v>
      </c>
      <c r="AS241" s="60">
        <v>1.096671</v>
      </c>
      <c r="AT241" s="59">
        <v>1.415071</v>
      </c>
      <c r="AU241" s="60">
        <v>0.98104100000000005</v>
      </c>
      <c r="AV241" s="59">
        <v>2.1708970000000001</v>
      </c>
      <c r="AW241" s="60">
        <v>1.1866479999999999</v>
      </c>
      <c r="AX241" s="59">
        <v>1.6483179999999999</v>
      </c>
      <c r="AY241" s="60" t="s">
        <v>179</v>
      </c>
      <c r="AZ241" s="59">
        <v>1.7112879999999999</v>
      </c>
      <c r="BA241" s="60">
        <v>1.594384</v>
      </c>
      <c r="BB241" s="59">
        <v>1.414048</v>
      </c>
      <c r="BC241" s="60">
        <v>1.899241</v>
      </c>
      <c r="BD241" s="59" t="s">
        <v>179</v>
      </c>
      <c r="BE241" s="60">
        <v>1.3827689999999999</v>
      </c>
    </row>
    <row r="242" spans="1:57" x14ac:dyDescent="0.35">
      <c r="A242" s="240"/>
      <c r="B242" s="240"/>
      <c r="C242" s="58" t="s">
        <v>418</v>
      </c>
      <c r="D242" s="59">
        <v>1.491735</v>
      </c>
      <c r="E242" s="60">
        <v>0.74696799999999997</v>
      </c>
      <c r="F242" s="59">
        <v>1.417259</v>
      </c>
      <c r="G242" s="60">
        <v>0.63962699999999995</v>
      </c>
      <c r="H242" s="59">
        <v>0.95423100000000005</v>
      </c>
      <c r="I242" s="60">
        <v>1.930992</v>
      </c>
      <c r="J242" s="59">
        <v>1.688129</v>
      </c>
      <c r="K242" s="60">
        <v>0.33129799999999998</v>
      </c>
      <c r="L242" s="59">
        <v>3.3246889999999998</v>
      </c>
      <c r="M242" s="60">
        <v>2.6521490000000001</v>
      </c>
      <c r="N242" s="59">
        <v>0.72676300000000005</v>
      </c>
      <c r="O242" s="60">
        <v>7.3563000000000003E-2</v>
      </c>
      <c r="P242" s="59">
        <v>-0.78335699999999997</v>
      </c>
      <c r="Q242" s="60">
        <v>-1.3615889999999999</v>
      </c>
      <c r="R242" s="59">
        <v>2.6356540000000002</v>
      </c>
      <c r="S242" s="60">
        <v>4.790972</v>
      </c>
      <c r="T242" s="59">
        <v>2.0644209999999998</v>
      </c>
      <c r="U242" s="60">
        <v>-3.2130000000000001E-3</v>
      </c>
      <c r="V242" s="59">
        <v>0.73138899999999996</v>
      </c>
      <c r="W242" s="60">
        <v>1.6740440000000001</v>
      </c>
      <c r="X242" s="59">
        <v>1.9311590000000001</v>
      </c>
      <c r="Y242" s="60">
        <v>3.107097</v>
      </c>
      <c r="Z242" s="59">
        <v>3.9497580000000001</v>
      </c>
      <c r="AA242" s="60">
        <v>0.70669400000000004</v>
      </c>
      <c r="AB242" s="59">
        <v>1.145697</v>
      </c>
      <c r="AC242" s="60">
        <v>1.075963</v>
      </c>
      <c r="AD242" s="59">
        <v>7.5218999999999994E-2</v>
      </c>
      <c r="AE242" s="60">
        <v>4.4927099999999998</v>
      </c>
      <c r="AF242" s="59">
        <v>1.052271</v>
      </c>
      <c r="AG242" s="60">
        <v>2.1207720000000001</v>
      </c>
      <c r="AH242" s="59">
        <v>1.854358</v>
      </c>
      <c r="AI242" s="60">
        <v>0.91476599999999997</v>
      </c>
      <c r="AJ242" s="59">
        <v>1.1030960000000001</v>
      </c>
      <c r="AK242" s="60">
        <v>0.857595</v>
      </c>
      <c r="AL242" s="59">
        <v>3.5402130000000001</v>
      </c>
      <c r="AM242" s="60">
        <v>0.93334399999999995</v>
      </c>
      <c r="AN242" s="59">
        <v>0.23549300000000001</v>
      </c>
      <c r="AO242" s="60">
        <v>0.60279300000000002</v>
      </c>
      <c r="AP242" s="59">
        <v>0.729989</v>
      </c>
      <c r="AQ242" s="60">
        <v>0.38415199999999999</v>
      </c>
      <c r="AR242" s="59">
        <v>0.30754999999999999</v>
      </c>
      <c r="AS242" s="60">
        <v>0.97363599999999995</v>
      </c>
      <c r="AT242" s="59">
        <v>1.4116379999999999</v>
      </c>
      <c r="AU242" s="60">
        <v>0.72111199999999998</v>
      </c>
      <c r="AV242" s="59">
        <v>2.330892</v>
      </c>
      <c r="AW242" s="60">
        <v>2.0678239999999999</v>
      </c>
      <c r="AX242" s="59">
        <v>1.366698</v>
      </c>
      <c r="AY242" s="60" t="s">
        <v>179</v>
      </c>
      <c r="AZ242" s="59">
        <v>2.793396</v>
      </c>
      <c r="BA242" s="60">
        <v>1.62636</v>
      </c>
      <c r="BB242" s="59">
        <v>1.2549330000000001</v>
      </c>
      <c r="BC242" s="60">
        <v>1.8136509999999999</v>
      </c>
      <c r="BD242" s="59" t="s">
        <v>179</v>
      </c>
      <c r="BE242" s="60">
        <v>1.623794</v>
      </c>
    </row>
    <row r="243" spans="1:57" x14ac:dyDescent="0.35">
      <c r="A243" s="240"/>
      <c r="B243" s="240"/>
      <c r="C243" s="58" t="s">
        <v>419</v>
      </c>
      <c r="D243" s="59">
        <v>0.58981399999999995</v>
      </c>
      <c r="E243" s="60">
        <v>1.163235</v>
      </c>
      <c r="F243" s="59">
        <v>0.45675900000000003</v>
      </c>
      <c r="G243" s="60">
        <v>0.96890699999999996</v>
      </c>
      <c r="H243" s="59">
        <v>0.93604699999999996</v>
      </c>
      <c r="I243" s="60">
        <v>1.4507779999999999</v>
      </c>
      <c r="J243" s="59">
        <v>0.84754399999999996</v>
      </c>
      <c r="K243" s="60">
        <v>-0.44788699999999998</v>
      </c>
      <c r="L243" s="59">
        <v>0.38652399999999998</v>
      </c>
      <c r="M243" s="60">
        <v>0.96989199999999998</v>
      </c>
      <c r="N243" s="59">
        <v>0.77749699999999999</v>
      </c>
      <c r="O243" s="60">
        <v>0.838144</v>
      </c>
      <c r="P243" s="59">
        <v>2.9101499999999998</v>
      </c>
      <c r="Q243" s="60">
        <v>-8.6763999999999994E-2</v>
      </c>
      <c r="R243" s="59">
        <v>4.3621439999999998</v>
      </c>
      <c r="S243" s="60">
        <v>-1.0602579999999999</v>
      </c>
      <c r="T243" s="59">
        <v>1.6102510000000001</v>
      </c>
      <c r="U243" s="60">
        <v>0.118287</v>
      </c>
      <c r="V243" s="59">
        <v>0.112411</v>
      </c>
      <c r="W243" s="60">
        <v>1.730291</v>
      </c>
      <c r="X243" s="59">
        <v>2.0275180000000002</v>
      </c>
      <c r="Y243" s="60">
        <v>2.8093089999999998</v>
      </c>
      <c r="Z243" s="59">
        <v>2.0798670000000001</v>
      </c>
      <c r="AA243" s="60">
        <v>0.77658700000000003</v>
      </c>
      <c r="AB243" s="59">
        <v>0.51164699999999996</v>
      </c>
      <c r="AC243" s="60">
        <v>0.91073700000000002</v>
      </c>
      <c r="AD243" s="59">
        <v>-1.6429999999999999E-3</v>
      </c>
      <c r="AE243" s="60">
        <v>1.172075</v>
      </c>
      <c r="AF243" s="59">
        <v>0.44314399999999998</v>
      </c>
      <c r="AG243" s="60">
        <v>2.4812430000000001</v>
      </c>
      <c r="AH243" s="59">
        <v>1.273752</v>
      </c>
      <c r="AI243" s="60">
        <v>0.89625600000000005</v>
      </c>
      <c r="AJ243" s="59">
        <v>0.53426499999999999</v>
      </c>
      <c r="AK243" s="60">
        <v>1.0922160000000001</v>
      </c>
      <c r="AL243" s="59">
        <v>-1.500318</v>
      </c>
      <c r="AM243" s="60">
        <v>0.61995299999999998</v>
      </c>
      <c r="AN243" s="59">
        <v>0.57287200000000005</v>
      </c>
      <c r="AO243" s="60">
        <v>0.72475599999999996</v>
      </c>
      <c r="AP243" s="59">
        <v>0.71855199999999997</v>
      </c>
      <c r="AQ243" s="60">
        <v>0.53564900000000004</v>
      </c>
      <c r="AR243" s="59">
        <v>0.62094099999999997</v>
      </c>
      <c r="AS243" s="60">
        <v>0.57463799999999998</v>
      </c>
      <c r="AT243" s="59">
        <v>1.2704679999999999</v>
      </c>
      <c r="AU243" s="60">
        <v>0.60154200000000002</v>
      </c>
      <c r="AV243" s="59">
        <v>2.1767660000000002</v>
      </c>
      <c r="AW243" s="60">
        <v>1.7653319999999999</v>
      </c>
      <c r="AX243" s="59">
        <v>1.9451350000000001</v>
      </c>
      <c r="AY243" s="60" t="s">
        <v>179</v>
      </c>
      <c r="AZ243" s="59">
        <v>2.520149</v>
      </c>
      <c r="BA243" s="60">
        <v>1.6667019999999999</v>
      </c>
      <c r="BB243" s="59">
        <v>2.3215170000000001</v>
      </c>
      <c r="BC243" s="60">
        <v>2.5237980000000002</v>
      </c>
      <c r="BD243" s="59" t="s">
        <v>179</v>
      </c>
      <c r="BE243" s="60">
        <v>0.81950900000000004</v>
      </c>
    </row>
    <row r="244" spans="1:57" x14ac:dyDescent="0.35">
      <c r="A244" s="240"/>
      <c r="B244" s="240"/>
      <c r="C244" s="58" t="s">
        <v>420</v>
      </c>
      <c r="D244" s="59">
        <v>1.1092059999999999</v>
      </c>
      <c r="E244" s="60">
        <v>0.274308</v>
      </c>
      <c r="F244" s="59">
        <v>0.77202400000000004</v>
      </c>
      <c r="G244" s="60">
        <v>0.41985499999999998</v>
      </c>
      <c r="H244" s="59">
        <v>0.14732100000000001</v>
      </c>
      <c r="I244" s="60">
        <v>2.1223670000000001</v>
      </c>
      <c r="J244" s="59">
        <v>1.4278500000000001</v>
      </c>
      <c r="K244" s="60">
        <v>0.93951499999999999</v>
      </c>
      <c r="L244" s="59">
        <v>0.18474599999999999</v>
      </c>
      <c r="M244" s="60">
        <v>0.94626900000000003</v>
      </c>
      <c r="N244" s="59">
        <v>0.332702</v>
      </c>
      <c r="O244" s="60">
        <v>0.50733499999999998</v>
      </c>
      <c r="P244" s="59">
        <v>-0.62382300000000002</v>
      </c>
      <c r="Q244" s="60">
        <v>0.56208899999999995</v>
      </c>
      <c r="R244" s="59">
        <v>-6.4083000000000001E-2</v>
      </c>
      <c r="S244" s="60">
        <v>-2.337933</v>
      </c>
      <c r="T244" s="59">
        <v>1.8337870000000001</v>
      </c>
      <c r="U244" s="60">
        <v>0.17873700000000001</v>
      </c>
      <c r="V244" s="59">
        <v>-0.49278300000000003</v>
      </c>
      <c r="W244" s="60">
        <v>1.1738310000000001</v>
      </c>
      <c r="X244" s="59">
        <v>1.747498</v>
      </c>
      <c r="Y244" s="60">
        <v>2.6865290000000002</v>
      </c>
      <c r="Z244" s="59">
        <v>0.310197</v>
      </c>
      <c r="AA244" s="60">
        <v>0.62685999999999997</v>
      </c>
      <c r="AB244" s="59">
        <v>1.117502</v>
      </c>
      <c r="AC244" s="60">
        <v>0.90268199999999998</v>
      </c>
      <c r="AD244" s="59">
        <v>1.2832619999999999</v>
      </c>
      <c r="AE244" s="60">
        <v>1.701848</v>
      </c>
      <c r="AF244" s="59">
        <v>0.20599300000000001</v>
      </c>
      <c r="AG244" s="60">
        <v>2.372404</v>
      </c>
      <c r="AH244" s="59">
        <v>2.0216430000000001</v>
      </c>
      <c r="AI244" s="60">
        <v>0.76676900000000003</v>
      </c>
      <c r="AJ244" s="59">
        <v>0.69838199999999995</v>
      </c>
      <c r="AK244" s="60">
        <v>0.81804600000000005</v>
      </c>
      <c r="AL244" s="59">
        <v>-1.4231039999999999</v>
      </c>
      <c r="AM244" s="60">
        <v>0.77628799999999998</v>
      </c>
      <c r="AN244" s="59">
        <v>0.54327099999999995</v>
      </c>
      <c r="AO244" s="60">
        <v>0.42572700000000002</v>
      </c>
      <c r="AP244" s="59">
        <v>0.50672600000000001</v>
      </c>
      <c r="AQ244" s="60">
        <v>0.35631400000000002</v>
      </c>
      <c r="AR244" s="59">
        <v>0.54150900000000002</v>
      </c>
      <c r="AS244" s="60">
        <v>0.474551</v>
      </c>
      <c r="AT244" s="59">
        <v>1.0332669999999999</v>
      </c>
      <c r="AU244" s="60">
        <v>0.45785100000000001</v>
      </c>
      <c r="AV244" s="59">
        <v>1.3276019999999999</v>
      </c>
      <c r="AW244" s="60">
        <v>0.77301600000000004</v>
      </c>
      <c r="AX244" s="59">
        <v>1.218386</v>
      </c>
      <c r="AY244" s="60" t="s">
        <v>179</v>
      </c>
      <c r="AZ244" s="59">
        <v>1.7944770000000001</v>
      </c>
      <c r="BA244" s="60">
        <v>1.5765629999999999</v>
      </c>
      <c r="BB244" s="59">
        <v>1.359988</v>
      </c>
      <c r="BC244" s="60">
        <v>2.2051099999999999</v>
      </c>
      <c r="BD244" s="59" t="s">
        <v>179</v>
      </c>
      <c r="BE244" s="60">
        <v>1.1719299999999999</v>
      </c>
    </row>
    <row r="245" spans="1:57" x14ac:dyDescent="0.35">
      <c r="A245" s="240"/>
      <c r="B245" s="240"/>
      <c r="C245" s="58" t="s">
        <v>421</v>
      </c>
      <c r="D245" s="59">
        <v>0.50218700000000005</v>
      </c>
      <c r="E245" s="60">
        <v>0.69726900000000003</v>
      </c>
      <c r="F245" s="59">
        <v>0.40577000000000002</v>
      </c>
      <c r="G245" s="60">
        <v>0.113617</v>
      </c>
      <c r="H245" s="59">
        <v>1.682857</v>
      </c>
      <c r="I245" s="60">
        <v>1.1005480000000001</v>
      </c>
      <c r="J245" s="59">
        <v>1.239652</v>
      </c>
      <c r="K245" s="60">
        <v>1.005989</v>
      </c>
      <c r="L245" s="59">
        <v>-0.61778699999999998</v>
      </c>
      <c r="M245" s="60">
        <v>1.2896829999999999</v>
      </c>
      <c r="N245" s="59">
        <v>0.23026099999999999</v>
      </c>
      <c r="O245" s="60">
        <v>0.665883</v>
      </c>
      <c r="P245" s="59">
        <v>-0.49416900000000002</v>
      </c>
      <c r="Q245" s="60">
        <v>0.41532400000000003</v>
      </c>
      <c r="R245" s="59">
        <v>5.585286</v>
      </c>
      <c r="S245" s="60">
        <v>4.3731419999999996</v>
      </c>
      <c r="T245" s="59">
        <v>1.3361080000000001</v>
      </c>
      <c r="U245" s="60">
        <v>-0.31897700000000001</v>
      </c>
      <c r="V245" s="59">
        <v>0.47328300000000001</v>
      </c>
      <c r="W245" s="60">
        <v>2.156949</v>
      </c>
      <c r="X245" s="59">
        <v>-1.246186</v>
      </c>
      <c r="Y245" s="60">
        <v>1.8662030000000001</v>
      </c>
      <c r="Z245" s="59">
        <v>0.17579</v>
      </c>
      <c r="AA245" s="60">
        <v>0.39278600000000002</v>
      </c>
      <c r="AB245" s="59">
        <v>1.353024</v>
      </c>
      <c r="AC245" s="60">
        <v>0.30336299999999999</v>
      </c>
      <c r="AD245" s="59">
        <v>1.088166</v>
      </c>
      <c r="AE245" s="60">
        <v>1.3040590000000001</v>
      </c>
      <c r="AF245" s="59">
        <v>1.1182430000000001</v>
      </c>
      <c r="AG245" s="60">
        <v>6.3327960000000001</v>
      </c>
      <c r="AH245" s="59">
        <v>0.21316399999999999</v>
      </c>
      <c r="AI245" s="60">
        <v>0.64284600000000003</v>
      </c>
      <c r="AJ245" s="59">
        <v>0.92128200000000005</v>
      </c>
      <c r="AK245" s="60">
        <v>0.62940399999999996</v>
      </c>
      <c r="AL245" s="59">
        <v>5.0814269999999997</v>
      </c>
      <c r="AM245" s="60">
        <v>0.47107199999999999</v>
      </c>
      <c r="AN245" s="59">
        <v>0.60784199999999999</v>
      </c>
      <c r="AO245" s="60">
        <v>0.54190099999999997</v>
      </c>
      <c r="AP245" s="59">
        <v>0.63056299999999998</v>
      </c>
      <c r="AQ245" s="60">
        <v>0.47198299999999999</v>
      </c>
      <c r="AR245" s="59">
        <v>0.55125199999999996</v>
      </c>
      <c r="AS245" s="60">
        <v>0.86762499999999998</v>
      </c>
      <c r="AT245" s="59">
        <v>1.4287840000000001</v>
      </c>
      <c r="AU245" s="60">
        <v>0.740587</v>
      </c>
      <c r="AV245" s="59">
        <v>3.0684049999999998</v>
      </c>
      <c r="AW245" s="60">
        <v>1.866914</v>
      </c>
      <c r="AX245" s="59">
        <v>2.1354880000000001</v>
      </c>
      <c r="AY245" s="60" t="s">
        <v>179</v>
      </c>
      <c r="AZ245" s="59">
        <v>3.376884</v>
      </c>
      <c r="BA245" s="60">
        <v>0.86601600000000001</v>
      </c>
      <c r="BB245" s="59">
        <v>3.8358680000000001</v>
      </c>
      <c r="BC245" s="60">
        <v>3.193832</v>
      </c>
      <c r="BD245" s="59" t="s">
        <v>179</v>
      </c>
      <c r="BE245" s="60">
        <v>1.416847</v>
      </c>
    </row>
    <row r="246" spans="1:57" x14ac:dyDescent="0.35">
      <c r="A246" s="240"/>
      <c r="B246" s="240"/>
      <c r="C246" s="58" t="s">
        <v>422</v>
      </c>
      <c r="D246" s="59">
        <v>1.1344339999999999</v>
      </c>
      <c r="E246" s="60">
        <v>1.3748400000000001</v>
      </c>
      <c r="F246" s="59">
        <v>0.432923</v>
      </c>
      <c r="G246" s="60">
        <v>7.6641000000000001E-2</v>
      </c>
      <c r="H246" s="59">
        <v>2.395559</v>
      </c>
      <c r="I246" s="60">
        <v>0.57099299999999997</v>
      </c>
      <c r="J246" s="59">
        <v>0.50987300000000002</v>
      </c>
      <c r="K246" s="60">
        <v>-4.1561000000000001E-2</v>
      </c>
      <c r="L246" s="59">
        <v>-2.214102</v>
      </c>
      <c r="M246" s="60">
        <v>-0.12992500000000001</v>
      </c>
      <c r="N246" s="59">
        <v>0.44875999999999999</v>
      </c>
      <c r="O246" s="60">
        <v>0.63217599999999996</v>
      </c>
      <c r="P246" s="59">
        <v>0.61069799999999996</v>
      </c>
      <c r="Q246" s="60">
        <v>0.92710499999999996</v>
      </c>
      <c r="R246" s="59">
        <v>-2.1597339999999998</v>
      </c>
      <c r="S246" s="60">
        <v>-3.42211</v>
      </c>
      <c r="T246" s="59">
        <v>0.85613300000000003</v>
      </c>
      <c r="U246" s="60">
        <v>1.043004</v>
      </c>
      <c r="V246" s="59">
        <v>0.252666</v>
      </c>
      <c r="W246" s="60">
        <v>0.402395</v>
      </c>
      <c r="X246" s="59">
        <v>2.0099749999999998</v>
      </c>
      <c r="Y246" s="60">
        <v>-0.94941600000000004</v>
      </c>
      <c r="Z246" s="59">
        <v>-0.39917399999999997</v>
      </c>
      <c r="AA246" s="60">
        <v>-0.188635</v>
      </c>
      <c r="AB246" s="59">
        <v>0.32753100000000002</v>
      </c>
      <c r="AC246" s="60">
        <v>-0.24012900000000001</v>
      </c>
      <c r="AD246" s="59">
        <v>-1.2563070000000001</v>
      </c>
      <c r="AE246" s="60">
        <v>1.9644999999999999</v>
      </c>
      <c r="AF246" s="59">
        <v>7.6920000000000001E-3</v>
      </c>
      <c r="AG246" s="60">
        <v>-2.7498279999999999</v>
      </c>
      <c r="AH246" s="59">
        <v>1.5993379999999999</v>
      </c>
      <c r="AI246" s="60">
        <v>0.21576600000000001</v>
      </c>
      <c r="AJ246" s="59">
        <v>-0.398254</v>
      </c>
      <c r="AK246" s="60">
        <v>0.88497199999999998</v>
      </c>
      <c r="AL246" s="59">
        <v>4.0274510000000001</v>
      </c>
      <c r="AM246" s="60">
        <v>0.54250500000000001</v>
      </c>
      <c r="AN246" s="59">
        <v>-0.57469999999999999</v>
      </c>
      <c r="AO246" s="60">
        <v>0.45924500000000001</v>
      </c>
      <c r="AP246" s="59">
        <v>0.51519199999999998</v>
      </c>
      <c r="AQ246" s="60">
        <v>-3.4611999999999997E-2</v>
      </c>
      <c r="AR246" s="59">
        <v>-0.49112699999999998</v>
      </c>
      <c r="AS246" s="60">
        <v>0.71223499999999995</v>
      </c>
      <c r="AT246" s="59">
        <v>0.80049700000000001</v>
      </c>
      <c r="AU246" s="60">
        <v>0.17271400000000001</v>
      </c>
      <c r="AV246" s="59">
        <v>0.90304600000000002</v>
      </c>
      <c r="AW246" s="60">
        <v>1.593154</v>
      </c>
      <c r="AX246" s="59">
        <v>1.731498</v>
      </c>
      <c r="AY246" s="60" t="s">
        <v>179</v>
      </c>
      <c r="AZ246" s="59">
        <v>0.60590299999999997</v>
      </c>
      <c r="BA246" s="60">
        <v>2.1947580000000002</v>
      </c>
      <c r="BB246" s="59">
        <v>2.599075</v>
      </c>
      <c r="BC246" s="60">
        <v>2.6531720000000001</v>
      </c>
      <c r="BD246" s="59" t="s">
        <v>179</v>
      </c>
      <c r="BE246" s="60">
        <v>0.42021199999999997</v>
      </c>
    </row>
    <row r="247" spans="1:57" x14ac:dyDescent="0.35">
      <c r="A247" s="240"/>
      <c r="B247" s="240"/>
      <c r="C247" s="58" t="s">
        <v>423</v>
      </c>
      <c r="D247" s="59">
        <v>0.22389800000000001</v>
      </c>
      <c r="E247" s="60">
        <v>-0.52953399999999995</v>
      </c>
      <c r="F247" s="59">
        <v>6.3480999999999996E-2</v>
      </c>
      <c r="G247" s="60">
        <v>0.36167199999999999</v>
      </c>
      <c r="H247" s="59">
        <v>0.134908</v>
      </c>
      <c r="I247" s="60">
        <v>0.45258900000000002</v>
      </c>
      <c r="J247" s="59">
        <v>0.68620400000000004</v>
      </c>
      <c r="K247" s="60">
        <v>-0.92268399999999995</v>
      </c>
      <c r="L247" s="59">
        <v>1.045838</v>
      </c>
      <c r="M247" s="60">
        <v>-0.20014399999999999</v>
      </c>
      <c r="N247" s="59">
        <v>-0.47510599999999997</v>
      </c>
      <c r="O247" s="60">
        <v>-0.25445299999999998</v>
      </c>
      <c r="P247" s="59">
        <v>-0.63993800000000001</v>
      </c>
      <c r="Q247" s="60">
        <v>0.42425200000000002</v>
      </c>
      <c r="R247" s="59">
        <v>-8.8131000000000001E-2</v>
      </c>
      <c r="S247" s="60">
        <v>-1.9711959999999999</v>
      </c>
      <c r="T247" s="59">
        <v>0.32230599999999998</v>
      </c>
      <c r="U247" s="60">
        <v>-0.89897899999999997</v>
      </c>
      <c r="V247" s="59">
        <v>-0.38238499999999997</v>
      </c>
      <c r="W247" s="60">
        <v>0.52347299999999997</v>
      </c>
      <c r="X247" s="59">
        <v>-3.5704959999999999</v>
      </c>
      <c r="Y247" s="60">
        <v>1.0841940000000001</v>
      </c>
      <c r="Z247" s="59">
        <v>-0.63309800000000005</v>
      </c>
      <c r="AA247" s="60">
        <v>0.74074799999999996</v>
      </c>
      <c r="AB247" s="59">
        <v>0.492587</v>
      </c>
      <c r="AC247" s="60">
        <v>-0.43338700000000002</v>
      </c>
      <c r="AD247" s="59">
        <v>4.9834999999999997E-2</v>
      </c>
      <c r="AE247" s="60">
        <v>0.38691900000000001</v>
      </c>
      <c r="AF247" s="59">
        <v>-0.49258299999999999</v>
      </c>
      <c r="AG247" s="60">
        <v>1.236604</v>
      </c>
      <c r="AH247" s="59">
        <v>1.6176699999999999</v>
      </c>
      <c r="AI247" s="60">
        <v>0.109252</v>
      </c>
      <c r="AJ247" s="59">
        <v>-0.21506600000000001</v>
      </c>
      <c r="AK247" s="60">
        <v>0.65155700000000005</v>
      </c>
      <c r="AL247" s="59">
        <v>-5.0557619999999996</v>
      </c>
      <c r="AM247" s="60">
        <v>-0.55474699999999999</v>
      </c>
      <c r="AN247" s="59">
        <v>0.51638700000000004</v>
      </c>
      <c r="AO247" s="60">
        <v>-0.33312900000000001</v>
      </c>
      <c r="AP247" s="59">
        <v>-0.254359</v>
      </c>
      <c r="AQ247" s="60">
        <v>4.7355000000000001E-2</v>
      </c>
      <c r="AR247" s="59">
        <v>0.52500199999999997</v>
      </c>
      <c r="AS247" s="60">
        <v>-0.58907399999999999</v>
      </c>
      <c r="AT247" s="59">
        <v>0.48934</v>
      </c>
      <c r="AU247" s="60">
        <v>-3.9552999999999998E-2</v>
      </c>
      <c r="AV247" s="59">
        <v>0.62856000000000001</v>
      </c>
      <c r="AW247" s="60">
        <v>1.9458139999999999</v>
      </c>
      <c r="AX247" s="59">
        <v>1.0996360000000001</v>
      </c>
      <c r="AY247" s="60" t="s">
        <v>179</v>
      </c>
      <c r="AZ247" s="59">
        <v>1.0438620000000001</v>
      </c>
      <c r="BA247" s="60">
        <v>1.499136</v>
      </c>
      <c r="BB247" s="59">
        <v>2.5649950000000001</v>
      </c>
      <c r="BC247" s="60">
        <v>0.62160199999999999</v>
      </c>
      <c r="BD247" s="59" t="s">
        <v>179</v>
      </c>
      <c r="BE247" s="60">
        <v>1.2208680000000001</v>
      </c>
    </row>
    <row r="248" spans="1:57" x14ac:dyDescent="0.35">
      <c r="A248" s="240"/>
      <c r="B248" s="240"/>
      <c r="C248" s="58" t="s">
        <v>424</v>
      </c>
      <c r="D248" s="59">
        <v>0.775258</v>
      </c>
      <c r="E248" s="60">
        <v>-0.55680499999999999</v>
      </c>
      <c r="F248" s="59">
        <v>-0.58529200000000003</v>
      </c>
      <c r="G248" s="60">
        <v>0.820044</v>
      </c>
      <c r="H248" s="59">
        <v>-0.76361699999999999</v>
      </c>
      <c r="I248" s="60">
        <v>1.058594</v>
      </c>
      <c r="J248" s="59">
        <v>0.21226900000000001</v>
      </c>
      <c r="K248" s="60">
        <v>-0.58413700000000002</v>
      </c>
      <c r="L248" s="59">
        <v>9.4794000000000003E-2</v>
      </c>
      <c r="M248" s="60">
        <v>-0.170464</v>
      </c>
      <c r="N248" s="59">
        <v>-0.31143100000000001</v>
      </c>
      <c r="O248" s="60">
        <v>-0.62712199999999996</v>
      </c>
      <c r="P248" s="59">
        <v>-9.7261E-2</v>
      </c>
      <c r="Q248" s="60">
        <v>-0.173767</v>
      </c>
      <c r="R248" s="59">
        <v>-2.9752040000000002</v>
      </c>
      <c r="S248" s="60">
        <v>-0.82163600000000003</v>
      </c>
      <c r="T248" s="59">
        <v>0.13711200000000001</v>
      </c>
      <c r="U248" s="60">
        <v>-1.189084</v>
      </c>
      <c r="V248" s="59">
        <v>-1.2392559999999999</v>
      </c>
      <c r="W248" s="60">
        <v>0.81588099999999997</v>
      </c>
      <c r="X248" s="59">
        <v>-4.1031170000000001</v>
      </c>
      <c r="Y248" s="60">
        <v>-1.212852</v>
      </c>
      <c r="Z248" s="59">
        <v>-0.88168500000000005</v>
      </c>
      <c r="AA248" s="60">
        <v>0.30844500000000002</v>
      </c>
      <c r="AB248" s="59">
        <v>-0.12214800000000001</v>
      </c>
      <c r="AC248" s="60">
        <v>-0.245814</v>
      </c>
      <c r="AD248" s="59">
        <v>-0.182864</v>
      </c>
      <c r="AE248" s="60">
        <v>-0.42855700000000002</v>
      </c>
      <c r="AF248" s="59">
        <v>-8.2566000000000001E-2</v>
      </c>
      <c r="AG248" s="60">
        <v>1.3851260000000001</v>
      </c>
      <c r="AH248" s="59">
        <v>-0.54096100000000003</v>
      </c>
      <c r="AI248" s="60">
        <v>-0.18414</v>
      </c>
      <c r="AJ248" s="59">
        <v>-0.53123600000000004</v>
      </c>
      <c r="AK248" s="60">
        <v>0.115857</v>
      </c>
      <c r="AL248" s="59">
        <v>-3.0923929999999999</v>
      </c>
      <c r="AM248" s="60">
        <v>-1.563698</v>
      </c>
      <c r="AN248" s="59">
        <v>-0.54135599999999995</v>
      </c>
      <c r="AO248" s="60">
        <v>-0.54280200000000001</v>
      </c>
      <c r="AP248" s="59">
        <v>-0.50127999999999995</v>
      </c>
      <c r="AQ248" s="60">
        <v>-0.69587699999999997</v>
      </c>
      <c r="AR248" s="59">
        <v>-0.36200199999999999</v>
      </c>
      <c r="AS248" s="60">
        <v>-0.78286299999999998</v>
      </c>
      <c r="AT248" s="59">
        <v>-2.3268E-2</v>
      </c>
      <c r="AU248" s="60">
        <v>-0.54597399999999996</v>
      </c>
      <c r="AV248" s="59">
        <v>0.73373699999999997</v>
      </c>
      <c r="AW248" s="60">
        <v>1.4854080000000001</v>
      </c>
      <c r="AX248" s="59">
        <v>1.0358339999999999</v>
      </c>
      <c r="AY248" s="60" t="s">
        <v>179</v>
      </c>
      <c r="AZ248" s="59">
        <v>0.87024000000000001</v>
      </c>
      <c r="BA248" s="60">
        <v>1.3675060000000001</v>
      </c>
      <c r="BB248" s="59">
        <v>1.2892809999999999</v>
      </c>
      <c r="BC248" s="60">
        <v>-1.490669</v>
      </c>
      <c r="BD248" s="59" t="s">
        <v>179</v>
      </c>
      <c r="BE248" s="60">
        <v>0.23897599999999999</v>
      </c>
    </row>
    <row r="249" spans="1:57" x14ac:dyDescent="0.35">
      <c r="A249" s="240"/>
      <c r="B249" s="240"/>
      <c r="C249" s="58" t="s">
        <v>425</v>
      </c>
      <c r="D249" s="59">
        <v>-0.48396400000000001</v>
      </c>
      <c r="E249" s="60">
        <v>-1.875958</v>
      </c>
      <c r="F249" s="59">
        <v>-2.1686550000000002</v>
      </c>
      <c r="G249" s="60">
        <v>-1.159518</v>
      </c>
      <c r="H249" s="59">
        <v>-0.82416900000000004</v>
      </c>
      <c r="I249" s="60">
        <v>-1.669378</v>
      </c>
      <c r="J249" s="59">
        <v>-1.8919509999999999</v>
      </c>
      <c r="K249" s="60">
        <v>-2.3614809999999999</v>
      </c>
      <c r="L249" s="59">
        <v>-11.736003999999999</v>
      </c>
      <c r="M249" s="60">
        <v>-2.0832079999999999</v>
      </c>
      <c r="N249" s="59">
        <v>-1.393254</v>
      </c>
      <c r="O249" s="60">
        <v>-1.6044560000000001</v>
      </c>
      <c r="P249" s="59">
        <v>-1.398013</v>
      </c>
      <c r="Q249" s="60">
        <v>-3.239611</v>
      </c>
      <c r="R249" s="59">
        <v>2.7206459999999999</v>
      </c>
      <c r="S249" s="60">
        <v>-3.644066</v>
      </c>
      <c r="T249" s="59">
        <v>-0.62689600000000001</v>
      </c>
      <c r="U249" s="60">
        <v>-2.4706800000000002</v>
      </c>
      <c r="V249" s="59">
        <v>-2.4269699999999998</v>
      </c>
      <c r="W249" s="60">
        <v>-3.2838889999999998</v>
      </c>
      <c r="X249" s="59">
        <v>-2.4434960000000001</v>
      </c>
      <c r="Y249" s="60">
        <v>-0.99863900000000005</v>
      </c>
      <c r="Z249" s="59">
        <v>-3.1821220000000001</v>
      </c>
      <c r="AA249" s="60">
        <v>-1.599845</v>
      </c>
      <c r="AB249" s="59">
        <v>-0.659941</v>
      </c>
      <c r="AC249" s="60">
        <v>-0.72834100000000002</v>
      </c>
      <c r="AD249" s="59">
        <v>0.31337799999999999</v>
      </c>
      <c r="AE249" s="60">
        <v>0.238232</v>
      </c>
      <c r="AF249" s="59">
        <v>-1.2918190000000001</v>
      </c>
      <c r="AG249" s="60">
        <v>1.1527959999999999</v>
      </c>
      <c r="AH249" s="59">
        <v>-3.7274669999999999</v>
      </c>
      <c r="AI249" s="60">
        <v>-1.614018</v>
      </c>
      <c r="AJ249" s="59">
        <v>-3.8182700000000001</v>
      </c>
      <c r="AK249" s="60">
        <v>-1.9165000000000001</v>
      </c>
      <c r="AL249" s="59">
        <v>-0.91615500000000005</v>
      </c>
      <c r="AM249" s="60">
        <v>-2.065366</v>
      </c>
      <c r="AN249" s="59">
        <v>-2.1638109999999999</v>
      </c>
      <c r="AO249" s="60">
        <v>-1.7209300000000001</v>
      </c>
      <c r="AP249" s="59">
        <v>-1.7439309999999999</v>
      </c>
      <c r="AQ249" s="60">
        <v>-2.056765</v>
      </c>
      <c r="AR249" s="59">
        <v>-2.035962</v>
      </c>
      <c r="AS249" s="60">
        <v>-1.6856249999999999</v>
      </c>
      <c r="AT249" s="59">
        <v>-1.297849</v>
      </c>
      <c r="AU249" s="60">
        <v>-1.9239250000000001</v>
      </c>
      <c r="AV249" s="59">
        <v>-4.7297789999999997</v>
      </c>
      <c r="AW249" s="60">
        <v>-3.9351229999999999</v>
      </c>
      <c r="AX249" s="59">
        <v>0.29613800000000001</v>
      </c>
      <c r="AY249" s="60" t="s">
        <v>179</v>
      </c>
      <c r="AZ249" s="59">
        <v>0.122573</v>
      </c>
      <c r="BA249" s="60">
        <v>0.145675</v>
      </c>
      <c r="BB249" s="59">
        <v>-0.60233499999999995</v>
      </c>
      <c r="BC249" s="60">
        <v>-3.252211</v>
      </c>
      <c r="BD249" s="59" t="s">
        <v>179</v>
      </c>
      <c r="BE249" s="60">
        <v>-0.56932700000000003</v>
      </c>
    </row>
    <row r="250" spans="1:57" x14ac:dyDescent="0.35">
      <c r="A250" s="240"/>
      <c r="B250" s="240"/>
      <c r="C250" s="58" t="s">
        <v>426</v>
      </c>
      <c r="D250" s="59">
        <v>1.0349410000000001</v>
      </c>
      <c r="E250" s="60">
        <v>-1.5251239999999999</v>
      </c>
      <c r="F250" s="59">
        <v>-0.97317200000000004</v>
      </c>
      <c r="G250" s="60">
        <v>-2.2596859999999999</v>
      </c>
      <c r="H250" s="59">
        <v>-1.1322700000000001</v>
      </c>
      <c r="I250" s="60">
        <v>0.26880999999999999</v>
      </c>
      <c r="J250" s="59">
        <v>-3.3737170000000001</v>
      </c>
      <c r="K250" s="60">
        <v>-1.423448</v>
      </c>
      <c r="L250" s="59">
        <v>-2.6061779999999999</v>
      </c>
      <c r="M250" s="60">
        <v>-6.7539290000000003</v>
      </c>
      <c r="N250" s="59">
        <v>-1.662077</v>
      </c>
      <c r="O250" s="60">
        <v>-4.6744130000000004</v>
      </c>
      <c r="P250" s="59">
        <v>-4.748297</v>
      </c>
      <c r="Q250" s="60">
        <v>-4.2731409999999999</v>
      </c>
      <c r="R250" s="59">
        <v>-8.7309420000000006</v>
      </c>
      <c r="S250" s="60">
        <v>-0.66883099999999995</v>
      </c>
      <c r="T250" s="59">
        <v>4.1764000000000003E-2</v>
      </c>
      <c r="U250" s="60">
        <v>-2.7946460000000002</v>
      </c>
      <c r="V250" s="59">
        <v>-4.7844160000000002</v>
      </c>
      <c r="W250" s="60">
        <v>8.9986999999999998E-2</v>
      </c>
      <c r="X250" s="59">
        <v>-3.6483020000000002</v>
      </c>
      <c r="Y250" s="60">
        <v>-12.702324000000001</v>
      </c>
      <c r="Z250" s="59">
        <v>-1.39456</v>
      </c>
      <c r="AA250" s="60">
        <v>-5.0955409999999999</v>
      </c>
      <c r="AB250" s="59">
        <v>-3.5936409999999999</v>
      </c>
      <c r="AC250" s="60">
        <v>-0.96327300000000005</v>
      </c>
      <c r="AD250" s="59">
        <v>-0.82580799999999999</v>
      </c>
      <c r="AE250" s="60">
        <v>1.6854450000000001</v>
      </c>
      <c r="AF250" s="59">
        <v>-2.5166550000000001</v>
      </c>
      <c r="AG250" s="60">
        <v>-9.4107819999999993</v>
      </c>
      <c r="AH250" s="59">
        <v>-4.4135020000000003</v>
      </c>
      <c r="AI250" s="60">
        <v>-2.6055350000000002</v>
      </c>
      <c r="AJ250" s="59">
        <v>-0.87362200000000001</v>
      </c>
      <c r="AK250" s="60">
        <v>-1.565901</v>
      </c>
      <c r="AL250" s="59">
        <v>-4.0494539999999999</v>
      </c>
      <c r="AM250" s="60">
        <v>-1.7472639999999999</v>
      </c>
      <c r="AN250" s="59">
        <v>-1.122695</v>
      </c>
      <c r="AO250" s="60">
        <v>-3.1483530000000002</v>
      </c>
      <c r="AP250" s="59">
        <v>-2.9549289999999999</v>
      </c>
      <c r="AQ250" s="60">
        <v>-2.2794319999999999</v>
      </c>
      <c r="AR250" s="59">
        <v>-1.5814170000000001</v>
      </c>
      <c r="AS250" s="60">
        <v>-2.7610839999999999</v>
      </c>
      <c r="AT250" s="59">
        <v>-1.542168</v>
      </c>
      <c r="AU250" s="60">
        <v>-2.252955</v>
      </c>
      <c r="AV250" s="59">
        <v>-3.647125</v>
      </c>
      <c r="AW250" s="60">
        <v>-1.6488700000000001</v>
      </c>
      <c r="AX250" s="59">
        <v>-3.9377620000000002</v>
      </c>
      <c r="AY250" s="60" t="s">
        <v>179</v>
      </c>
      <c r="AZ250" s="59">
        <v>-1.8461369999999999</v>
      </c>
      <c r="BA250" s="60">
        <v>1.3578969999999999</v>
      </c>
      <c r="BB250" s="59">
        <v>-7.8899350000000004</v>
      </c>
      <c r="BC250" s="60">
        <v>-3.5269819999999998</v>
      </c>
      <c r="BD250" s="59" t="s">
        <v>179</v>
      </c>
      <c r="BE250" s="60">
        <v>-1.555488</v>
      </c>
    </row>
    <row r="251" spans="1:57" x14ac:dyDescent="0.35">
      <c r="A251" s="240"/>
      <c r="B251" s="240"/>
      <c r="C251" s="58" t="s">
        <v>427</v>
      </c>
      <c r="D251" s="59">
        <v>0.55910300000000002</v>
      </c>
      <c r="E251" s="60">
        <v>-0.88970199999999999</v>
      </c>
      <c r="F251" s="59">
        <v>4.7808999999999997E-2</v>
      </c>
      <c r="G251" s="60">
        <v>-1.091259</v>
      </c>
      <c r="H251" s="59">
        <v>-0.51058199999999998</v>
      </c>
      <c r="I251" s="60">
        <v>1.1762779999999999</v>
      </c>
      <c r="J251" s="59">
        <v>-0.369002</v>
      </c>
      <c r="K251" s="60">
        <v>-1.9383410000000001</v>
      </c>
      <c r="L251" s="59">
        <v>-3.309323</v>
      </c>
      <c r="M251" s="60">
        <v>-0.31243100000000001</v>
      </c>
      <c r="N251" s="59">
        <v>-0.108182</v>
      </c>
      <c r="O251" s="60">
        <v>0.15965299999999999</v>
      </c>
      <c r="P251" s="59">
        <v>2.7779959999999999</v>
      </c>
      <c r="Q251" s="60">
        <v>-0.113783</v>
      </c>
      <c r="R251" s="59">
        <v>3.6098150000000002</v>
      </c>
      <c r="S251" s="60">
        <v>-4.7407999999999999E-2</v>
      </c>
      <c r="T251" s="59">
        <v>0.87002699999999999</v>
      </c>
      <c r="U251" s="60">
        <v>-0.31516100000000002</v>
      </c>
      <c r="V251" s="59">
        <v>2.0926680000000002</v>
      </c>
      <c r="W251" s="60">
        <v>1.332778</v>
      </c>
      <c r="X251" s="59">
        <v>-5.6517590000000002</v>
      </c>
      <c r="Y251" s="60">
        <v>-1.251225</v>
      </c>
      <c r="Z251" s="59">
        <v>-1.761944</v>
      </c>
      <c r="AA251" s="60">
        <v>-1.5138400000000001</v>
      </c>
      <c r="AB251" s="59">
        <v>2.5089999999999999E-3</v>
      </c>
      <c r="AC251" s="60">
        <v>-0.106375</v>
      </c>
      <c r="AD251" s="59">
        <v>-0.87957399999999997</v>
      </c>
      <c r="AE251" s="60">
        <v>2.3595999999999999E-2</v>
      </c>
      <c r="AF251" s="59">
        <v>8.9481000000000005E-2</v>
      </c>
      <c r="AG251" s="60">
        <v>1.566605</v>
      </c>
      <c r="AH251" s="59">
        <v>-1.088238</v>
      </c>
      <c r="AI251" s="60">
        <v>-1.0777999999999999E-2</v>
      </c>
      <c r="AJ251" s="59">
        <v>-0.193745</v>
      </c>
      <c r="AK251" s="60">
        <v>8.6759999999999997E-3</v>
      </c>
      <c r="AL251" s="59">
        <v>1.9618450000000001</v>
      </c>
      <c r="AM251" s="60">
        <v>-0.24340000000000001</v>
      </c>
      <c r="AN251" s="59">
        <v>-0.14399000000000001</v>
      </c>
      <c r="AO251" s="60">
        <v>-3.0328000000000001E-2</v>
      </c>
      <c r="AP251" s="59">
        <v>-7.2011000000000006E-2</v>
      </c>
      <c r="AQ251" s="60">
        <v>0.14649899999999999</v>
      </c>
      <c r="AR251" s="59">
        <v>-0.34020800000000001</v>
      </c>
      <c r="AS251" s="60">
        <v>3.2218999999999998E-2</v>
      </c>
      <c r="AT251" s="59">
        <v>1.0057199999999999</v>
      </c>
      <c r="AU251" s="60">
        <v>0.15563199999999999</v>
      </c>
      <c r="AV251" s="59">
        <v>-2.1694640000000001</v>
      </c>
      <c r="AW251" s="60">
        <v>1.998696</v>
      </c>
      <c r="AX251" s="59">
        <v>-0.18862599999999999</v>
      </c>
      <c r="AY251" s="60" t="s">
        <v>179</v>
      </c>
      <c r="AZ251" s="59">
        <v>5.8036580000000004</v>
      </c>
      <c r="BA251" s="60">
        <v>1.2723880000000001</v>
      </c>
      <c r="BB251" s="59">
        <v>0.63349100000000003</v>
      </c>
      <c r="BC251" s="60">
        <v>-1.458861</v>
      </c>
      <c r="BD251" s="59" t="s">
        <v>179</v>
      </c>
      <c r="BE251" s="60">
        <v>-0.34317500000000001</v>
      </c>
    </row>
    <row r="252" spans="1:57" x14ac:dyDescent="0.35">
      <c r="A252" s="240"/>
      <c r="B252" s="240"/>
      <c r="C252" s="58" t="s">
        <v>428</v>
      </c>
      <c r="D252" s="59">
        <v>0.30635299999999999</v>
      </c>
      <c r="E252" s="60">
        <v>0.32691900000000002</v>
      </c>
      <c r="F252" s="59">
        <v>1.2636719999999999</v>
      </c>
      <c r="G252" s="60">
        <v>0.44993899999999998</v>
      </c>
      <c r="H252" s="59">
        <v>1.1613770000000001</v>
      </c>
      <c r="I252" s="60">
        <v>0.661582</v>
      </c>
      <c r="J252" s="59">
        <v>0.44950600000000002</v>
      </c>
      <c r="K252" s="60">
        <v>0.34576299999999999</v>
      </c>
      <c r="L252" s="59">
        <v>-1.8921809999999999</v>
      </c>
      <c r="M252" s="60">
        <v>1.1300429999999999</v>
      </c>
      <c r="N252" s="59">
        <v>0.15720200000000001</v>
      </c>
      <c r="O252" s="60">
        <v>0.54650600000000005</v>
      </c>
      <c r="P252" s="59">
        <v>-0.72396400000000005</v>
      </c>
      <c r="Q252" s="60">
        <v>-1.5651000000000002E-2</v>
      </c>
      <c r="R252" s="59">
        <v>-1.533061</v>
      </c>
      <c r="S252" s="60">
        <v>-1.486199</v>
      </c>
      <c r="T252" s="59">
        <v>0.98753000000000002</v>
      </c>
      <c r="U252" s="60">
        <v>0.48001199999999999</v>
      </c>
      <c r="V252" s="59">
        <v>5.0025E-2</v>
      </c>
      <c r="W252" s="60">
        <v>2.9926750000000002</v>
      </c>
      <c r="X252" s="59">
        <v>-4.9605940000000004</v>
      </c>
      <c r="Y252" s="60">
        <v>0.28240900000000002</v>
      </c>
      <c r="Z252" s="59">
        <v>1.6922470000000001</v>
      </c>
      <c r="AA252" s="60">
        <v>3.249749</v>
      </c>
      <c r="AB252" s="59">
        <v>0.40070800000000001</v>
      </c>
      <c r="AC252" s="60">
        <v>0.57137400000000005</v>
      </c>
      <c r="AD252" s="59">
        <v>6.4356999999999998E-2</v>
      </c>
      <c r="AE252" s="60">
        <v>0.63090999999999997</v>
      </c>
      <c r="AF252" s="59">
        <v>0.88224599999999997</v>
      </c>
      <c r="AG252" s="60">
        <v>1.6066</v>
      </c>
      <c r="AH252" s="59">
        <v>0.23705899999999999</v>
      </c>
      <c r="AI252" s="60">
        <v>0.21112800000000001</v>
      </c>
      <c r="AJ252" s="59">
        <v>-0.209647</v>
      </c>
      <c r="AK252" s="60">
        <v>0.97994899999999996</v>
      </c>
      <c r="AL252" s="59">
        <v>1.5701000000000001</v>
      </c>
      <c r="AM252" s="60">
        <v>7.1029999999999996E-2</v>
      </c>
      <c r="AN252" s="59">
        <v>0.36411100000000002</v>
      </c>
      <c r="AO252" s="60">
        <v>0.36982900000000002</v>
      </c>
      <c r="AP252" s="59">
        <v>0.36913099999999999</v>
      </c>
      <c r="AQ252" s="60">
        <v>0.31093999999999999</v>
      </c>
      <c r="AR252" s="59">
        <v>0.628776</v>
      </c>
      <c r="AS252" s="60">
        <v>0.403445</v>
      </c>
      <c r="AT252" s="59">
        <v>1.2486250000000001</v>
      </c>
      <c r="AU252" s="60">
        <v>0.55993000000000004</v>
      </c>
      <c r="AV252" s="59">
        <v>3.8680789999999998</v>
      </c>
      <c r="AW252" s="60">
        <v>2.4666510000000001</v>
      </c>
      <c r="AX252" s="59">
        <v>0.66261199999999998</v>
      </c>
      <c r="AY252" s="60" t="s">
        <v>179</v>
      </c>
      <c r="AZ252" s="59">
        <v>2.5538850000000002</v>
      </c>
      <c r="BA252" s="60">
        <v>1.548934</v>
      </c>
      <c r="BB252" s="59">
        <v>1.7283409999999999</v>
      </c>
      <c r="BC252" s="60">
        <v>0.41042499999999998</v>
      </c>
      <c r="BD252" s="59" t="s">
        <v>179</v>
      </c>
      <c r="BE252" s="60">
        <v>0.231904</v>
      </c>
    </row>
    <row r="253" spans="1:57" x14ac:dyDescent="0.35">
      <c r="A253" s="240"/>
      <c r="B253" s="240"/>
      <c r="C253" s="58" t="s">
        <v>429</v>
      </c>
      <c r="D253" s="59">
        <v>0.73256900000000003</v>
      </c>
      <c r="E253" s="60">
        <v>1.0587690000000001</v>
      </c>
      <c r="F253" s="59">
        <v>0.80327199999999999</v>
      </c>
      <c r="G253" s="60">
        <v>1.1661570000000001</v>
      </c>
      <c r="H253" s="59">
        <v>1.3546940000000001</v>
      </c>
      <c r="I253" s="60">
        <v>1.116814</v>
      </c>
      <c r="J253" s="59">
        <v>8.3592E-2</v>
      </c>
      <c r="K253" s="60">
        <v>9.0743000000000004E-2</v>
      </c>
      <c r="L253" s="59">
        <v>0.52194099999999999</v>
      </c>
      <c r="M253" s="60">
        <v>-0.14185900000000001</v>
      </c>
      <c r="N253" s="59">
        <v>0.73199599999999998</v>
      </c>
      <c r="O253" s="60">
        <v>0.73604199999999997</v>
      </c>
      <c r="P253" s="59">
        <v>0.12761600000000001</v>
      </c>
      <c r="Q253" s="60">
        <v>-4.0973000000000002E-2</v>
      </c>
      <c r="R253" s="59">
        <v>-0.99719899999999995</v>
      </c>
      <c r="S253" s="60">
        <v>-0.24065800000000001</v>
      </c>
      <c r="T253" s="59">
        <v>1.327623</v>
      </c>
      <c r="U253" s="60">
        <v>0.31251000000000001</v>
      </c>
      <c r="V253" s="59">
        <v>1.375567</v>
      </c>
      <c r="W253" s="60">
        <v>0.74686799999999998</v>
      </c>
      <c r="X253" s="59">
        <v>0.27984599999999998</v>
      </c>
      <c r="Y253" s="60">
        <v>-1.3483259999999999</v>
      </c>
      <c r="Z253" s="59">
        <v>1.8691329999999999</v>
      </c>
      <c r="AA253" s="60">
        <v>1.7235929999999999</v>
      </c>
      <c r="AB253" s="59">
        <v>0.60232799999999997</v>
      </c>
      <c r="AC253" s="60">
        <v>1.2421180000000001</v>
      </c>
      <c r="AD253" s="59">
        <v>5.3321E-2</v>
      </c>
      <c r="AE253" s="60">
        <v>2.4040270000000001</v>
      </c>
      <c r="AF253" s="59">
        <v>4.7782999999999999E-2</v>
      </c>
      <c r="AG253" s="60">
        <v>1.812683</v>
      </c>
      <c r="AH253" s="59">
        <v>-0.13064899999999999</v>
      </c>
      <c r="AI253" s="60">
        <v>-2.0400999999999999E-2</v>
      </c>
      <c r="AJ253" s="59">
        <v>0.231543</v>
      </c>
      <c r="AK253" s="60">
        <v>0.25366100000000003</v>
      </c>
      <c r="AL253" s="59">
        <v>2.1431840000000002</v>
      </c>
      <c r="AM253" s="60">
        <v>0.30005100000000001</v>
      </c>
      <c r="AN253" s="59">
        <v>1.098384</v>
      </c>
      <c r="AO253" s="60">
        <v>0.50698500000000002</v>
      </c>
      <c r="AP253" s="59">
        <v>0.543296</v>
      </c>
      <c r="AQ253" s="60">
        <v>0.96470800000000001</v>
      </c>
      <c r="AR253" s="59">
        <v>1.160895</v>
      </c>
      <c r="AS253" s="60">
        <v>0.62040200000000001</v>
      </c>
      <c r="AT253" s="59">
        <v>1.4127510000000001</v>
      </c>
      <c r="AU253" s="60">
        <v>0.94004100000000002</v>
      </c>
      <c r="AV253" s="59">
        <v>1.8940680000000001</v>
      </c>
      <c r="AW253" s="60">
        <v>2.4789479999999999</v>
      </c>
      <c r="AX253" s="59">
        <v>-3.106163</v>
      </c>
      <c r="AY253" s="60" t="s">
        <v>179</v>
      </c>
      <c r="AZ253" s="59">
        <v>2.1267260000000001</v>
      </c>
      <c r="BA253" s="60">
        <v>1.4634560000000001</v>
      </c>
      <c r="BB253" s="59">
        <v>1.2761929999999999</v>
      </c>
      <c r="BC253" s="60">
        <v>1.0817079999999999</v>
      </c>
      <c r="BD253" s="59" t="s">
        <v>179</v>
      </c>
      <c r="BE253" s="60">
        <v>0.66676899999999995</v>
      </c>
    </row>
    <row r="254" spans="1:57" x14ac:dyDescent="0.35">
      <c r="A254" s="240"/>
      <c r="B254" s="240"/>
      <c r="C254" s="58" t="s">
        <v>430</v>
      </c>
      <c r="D254" s="59">
        <v>0.50568500000000005</v>
      </c>
      <c r="E254" s="60">
        <v>-0.79217400000000004</v>
      </c>
      <c r="F254" s="59">
        <v>0.51807000000000003</v>
      </c>
      <c r="G254" s="60">
        <v>1.2063410000000001</v>
      </c>
      <c r="H254" s="59">
        <v>0.16198799999999999</v>
      </c>
      <c r="I254" s="60">
        <v>0.83443800000000001</v>
      </c>
      <c r="J254" s="59">
        <v>0.69490099999999999</v>
      </c>
      <c r="K254" s="60">
        <v>0.86356900000000003</v>
      </c>
      <c r="L254" s="59">
        <v>1.432291</v>
      </c>
      <c r="M254" s="60">
        <v>0.244782</v>
      </c>
      <c r="N254" s="59">
        <v>0.381687</v>
      </c>
      <c r="O254" s="60">
        <v>0.83184000000000002</v>
      </c>
      <c r="P254" s="59">
        <v>-1.6375420000000001</v>
      </c>
      <c r="Q254" s="60">
        <v>-0.25506800000000002</v>
      </c>
      <c r="R254" s="59">
        <v>-4.4128189999999998</v>
      </c>
      <c r="S254" s="60">
        <v>1.9393849999999999</v>
      </c>
      <c r="T254" s="59">
        <v>1.3819250000000001</v>
      </c>
      <c r="U254" s="60">
        <v>0.32098300000000002</v>
      </c>
      <c r="V254" s="59">
        <v>0.859352</v>
      </c>
      <c r="W254" s="60">
        <v>1.959077</v>
      </c>
      <c r="X254" s="59">
        <v>-0.61060199999999998</v>
      </c>
      <c r="Y254" s="60">
        <v>1.0446899999999999</v>
      </c>
      <c r="Z254" s="59">
        <v>1.3625719999999999</v>
      </c>
      <c r="AA254" s="60">
        <v>1.0643800000000001</v>
      </c>
      <c r="AB254" s="59">
        <v>-0.188883</v>
      </c>
      <c r="AC254" s="60">
        <v>0.19808700000000001</v>
      </c>
      <c r="AD254" s="59">
        <v>1.9512290000000001</v>
      </c>
      <c r="AE254" s="60">
        <v>-0.59184700000000001</v>
      </c>
      <c r="AF254" s="59">
        <v>0.82300099999999998</v>
      </c>
      <c r="AG254" s="60">
        <v>1.567825</v>
      </c>
      <c r="AH254" s="59">
        <v>-0.11922000000000001</v>
      </c>
      <c r="AI254" s="60">
        <v>-2.8195999999999999E-2</v>
      </c>
      <c r="AJ254" s="59">
        <v>3.4094259999999998</v>
      </c>
      <c r="AK254" s="60">
        <v>1.0437719999999999</v>
      </c>
      <c r="AL254" s="59">
        <v>1.706515</v>
      </c>
      <c r="AM254" s="60">
        <v>0.63713699999999995</v>
      </c>
      <c r="AN254" s="59">
        <v>0.38478000000000001</v>
      </c>
      <c r="AO254" s="60">
        <v>0.37792999999999999</v>
      </c>
      <c r="AP254" s="59">
        <v>0.353634</v>
      </c>
      <c r="AQ254" s="60">
        <v>0.54814099999999999</v>
      </c>
      <c r="AR254" s="59">
        <v>0.51612899999999995</v>
      </c>
      <c r="AS254" s="60">
        <v>0.55071999999999999</v>
      </c>
      <c r="AT254" s="59">
        <v>1.2198020000000001</v>
      </c>
      <c r="AU254" s="60">
        <v>0.61924400000000002</v>
      </c>
      <c r="AV254" s="59">
        <v>3.0442819999999999</v>
      </c>
      <c r="AW254" s="60">
        <v>1.801536</v>
      </c>
      <c r="AX254" s="59">
        <v>0.92667200000000005</v>
      </c>
      <c r="AY254" s="60" t="s">
        <v>179</v>
      </c>
      <c r="AZ254" s="59">
        <v>2.6001759999999998</v>
      </c>
      <c r="BA254" s="60">
        <v>1.6342719999999999</v>
      </c>
      <c r="BB254" s="59">
        <v>-6.4228820000000004</v>
      </c>
      <c r="BC254" s="60">
        <v>2.1384620000000001</v>
      </c>
      <c r="BD254" s="59">
        <v>1.4209639999999999</v>
      </c>
      <c r="BE254" s="60">
        <v>1.1385019999999999</v>
      </c>
    </row>
    <row r="255" spans="1:57" x14ac:dyDescent="0.35">
      <c r="A255" s="240"/>
      <c r="B255" s="240"/>
      <c r="C255" s="58" t="s">
        <v>431</v>
      </c>
      <c r="D255" s="59">
        <v>0.51703500000000002</v>
      </c>
      <c r="E255" s="60">
        <v>1.6530320000000001</v>
      </c>
      <c r="F255" s="59">
        <v>0.98526199999999997</v>
      </c>
      <c r="G255" s="60">
        <v>0.52326099999999998</v>
      </c>
      <c r="H255" s="59">
        <v>3.4860929999999999</v>
      </c>
      <c r="I255" s="60">
        <v>1.454126</v>
      </c>
      <c r="J255" s="59">
        <v>1.168693</v>
      </c>
      <c r="K255" s="60">
        <v>0.68351799999999996</v>
      </c>
      <c r="L255" s="59">
        <v>1.3291139999999999</v>
      </c>
      <c r="M255" s="60">
        <v>2.8822459999999999</v>
      </c>
      <c r="N255" s="59">
        <v>0.51004300000000002</v>
      </c>
      <c r="O255" s="60">
        <v>2.2296480000000001</v>
      </c>
      <c r="P255" s="59">
        <v>-3.0553319999999999</v>
      </c>
      <c r="Q255" s="60">
        <v>0.77561999999999998</v>
      </c>
      <c r="R255" s="59">
        <v>2.2004709999999998</v>
      </c>
      <c r="S255" s="60">
        <v>0.56644600000000001</v>
      </c>
      <c r="T255" s="59">
        <v>1.3964259999999999</v>
      </c>
      <c r="U255" s="60">
        <v>0.73851699999999998</v>
      </c>
      <c r="V255" s="59">
        <v>1.3523270000000001</v>
      </c>
      <c r="W255" s="60">
        <v>1.8998010000000001</v>
      </c>
      <c r="X255" s="59">
        <v>-0.74329299999999998</v>
      </c>
      <c r="Y255" s="60">
        <v>1.292516</v>
      </c>
      <c r="Z255" s="59">
        <v>2.0169800000000002</v>
      </c>
      <c r="AA255" s="60">
        <v>1.064314</v>
      </c>
      <c r="AB255" s="59">
        <v>0.43876300000000001</v>
      </c>
      <c r="AC255" s="60">
        <v>0.85457099999999997</v>
      </c>
      <c r="AD255" s="59">
        <v>-1.06297</v>
      </c>
      <c r="AE255" s="60">
        <v>1.474494</v>
      </c>
      <c r="AF255" s="59">
        <v>0.55245</v>
      </c>
      <c r="AG255" s="60">
        <v>1.0665880000000001</v>
      </c>
      <c r="AH255" s="59">
        <v>1.7651110000000001</v>
      </c>
      <c r="AI255" s="60">
        <v>0.149925</v>
      </c>
      <c r="AJ255" s="59">
        <v>1.7268969999999999</v>
      </c>
      <c r="AK255" s="60">
        <v>0.95138900000000004</v>
      </c>
      <c r="AL255" s="59">
        <v>2.5831019999999998</v>
      </c>
      <c r="AM255" s="60">
        <v>1.0020530000000001</v>
      </c>
      <c r="AN255" s="59">
        <v>0.92202799999999996</v>
      </c>
      <c r="AO255" s="60">
        <v>0.98694300000000001</v>
      </c>
      <c r="AP255" s="59">
        <v>1.0085470000000001</v>
      </c>
      <c r="AQ255" s="60">
        <v>1.0628709999999999</v>
      </c>
      <c r="AR255" s="59">
        <v>0.90557600000000005</v>
      </c>
      <c r="AS255" s="60">
        <v>1.0777270000000001</v>
      </c>
      <c r="AT255" s="59">
        <v>1.440396</v>
      </c>
      <c r="AU255" s="60">
        <v>1.072176</v>
      </c>
      <c r="AV255" s="59">
        <v>4.5035470000000002</v>
      </c>
      <c r="AW255" s="60">
        <v>1.499417</v>
      </c>
      <c r="AX255" s="59">
        <v>1.4909140000000001</v>
      </c>
      <c r="AY255" s="60" t="s">
        <v>179</v>
      </c>
      <c r="AZ255" s="59">
        <v>2.4025599999999998</v>
      </c>
      <c r="BA255" s="60">
        <v>1.6697029999999999</v>
      </c>
      <c r="BB255" s="59">
        <v>0.74858999999999998</v>
      </c>
      <c r="BC255" s="60">
        <v>0.95009900000000003</v>
      </c>
      <c r="BD255" s="59">
        <v>1.905322</v>
      </c>
      <c r="BE255" s="60">
        <v>0.68224399999999996</v>
      </c>
    </row>
    <row r="256" spans="1:57" x14ac:dyDescent="0.35">
      <c r="A256" s="240"/>
      <c r="B256" s="240"/>
      <c r="C256" s="58" t="s">
        <v>432</v>
      </c>
      <c r="D256" s="59">
        <v>0.69620199999999999</v>
      </c>
      <c r="E256" s="60">
        <v>0.95784499999999995</v>
      </c>
      <c r="F256" s="59">
        <v>0.41608600000000001</v>
      </c>
      <c r="G256" s="60">
        <v>0.70869499999999996</v>
      </c>
      <c r="H256" s="59">
        <v>2.3934500000000001</v>
      </c>
      <c r="I256" s="60">
        <v>1.1806410000000001</v>
      </c>
      <c r="J256" s="59">
        <v>0.78884100000000001</v>
      </c>
      <c r="K256" s="60">
        <v>1.5853729999999999</v>
      </c>
      <c r="L256" s="59">
        <v>1.5320819999999999</v>
      </c>
      <c r="M256" s="60">
        <v>-0.375087</v>
      </c>
      <c r="N256" s="59">
        <v>0.58447800000000005</v>
      </c>
      <c r="O256" s="60">
        <v>0.82879199999999997</v>
      </c>
      <c r="P256" s="59">
        <v>-3.509484</v>
      </c>
      <c r="Q256" s="60">
        <v>0.62890599999999997</v>
      </c>
      <c r="R256" s="59">
        <v>-1.8174090000000001</v>
      </c>
      <c r="S256" s="60">
        <v>0.69464599999999999</v>
      </c>
      <c r="T256" s="59">
        <v>1.1181840000000001</v>
      </c>
      <c r="U256" s="60">
        <v>0.48399500000000001</v>
      </c>
      <c r="V256" s="59">
        <v>1.806635</v>
      </c>
      <c r="W256" s="60">
        <v>1.1552150000000001</v>
      </c>
      <c r="X256" s="59">
        <v>-0.52817000000000003</v>
      </c>
      <c r="Y256" s="60">
        <v>-1.8100000000000001E-4</v>
      </c>
      <c r="Z256" s="59">
        <v>-0.14024800000000001</v>
      </c>
      <c r="AA256" s="60">
        <v>0.91577699999999995</v>
      </c>
      <c r="AB256" s="59">
        <v>0.44157099999999999</v>
      </c>
      <c r="AC256" s="60">
        <v>-0.243447</v>
      </c>
      <c r="AD256" s="59">
        <v>-2.4815830000000001</v>
      </c>
      <c r="AE256" s="60">
        <v>1.438655</v>
      </c>
      <c r="AF256" s="59">
        <v>8.3811999999999998E-2</v>
      </c>
      <c r="AG256" s="60">
        <v>1.057823</v>
      </c>
      <c r="AH256" s="59">
        <v>0.26713700000000001</v>
      </c>
      <c r="AI256" s="60">
        <v>-5.1135E-2</v>
      </c>
      <c r="AJ256" s="59">
        <v>0.99480500000000005</v>
      </c>
      <c r="AK256" s="60">
        <v>0.45328499999999999</v>
      </c>
      <c r="AL256" s="59">
        <v>2.314438</v>
      </c>
      <c r="AM256" s="60">
        <v>0.66321600000000003</v>
      </c>
      <c r="AN256" s="59">
        <v>0.73721099999999995</v>
      </c>
      <c r="AO256" s="60">
        <v>0.43149900000000002</v>
      </c>
      <c r="AP256" s="59">
        <v>0.50614400000000004</v>
      </c>
      <c r="AQ256" s="60">
        <v>0.86718499999999998</v>
      </c>
      <c r="AR256" s="59">
        <v>0.75223099999999998</v>
      </c>
      <c r="AS256" s="60">
        <v>0.60118499999999997</v>
      </c>
      <c r="AT256" s="59">
        <v>1.260162</v>
      </c>
      <c r="AU256" s="60">
        <v>0.82121599999999995</v>
      </c>
      <c r="AV256" s="59">
        <v>0.47477799999999998</v>
      </c>
      <c r="AW256" s="60">
        <v>1.0676190000000001</v>
      </c>
      <c r="AX256" s="59">
        <v>0.63599700000000003</v>
      </c>
      <c r="AY256" s="60" t="s">
        <v>179</v>
      </c>
      <c r="AZ256" s="59">
        <v>2.9559829999999998</v>
      </c>
      <c r="BA256" s="60">
        <v>1.5010889999999999</v>
      </c>
      <c r="BB256" s="59">
        <v>-0.47301500000000002</v>
      </c>
      <c r="BC256" s="60">
        <v>0.52351300000000001</v>
      </c>
      <c r="BD256" s="59">
        <v>0.45756200000000002</v>
      </c>
      <c r="BE256" s="60">
        <v>1.111748</v>
      </c>
    </row>
    <row r="257" spans="1:57" x14ac:dyDescent="0.35">
      <c r="A257" s="240"/>
      <c r="B257" s="240"/>
      <c r="C257" s="58" t="s">
        <v>433</v>
      </c>
      <c r="D257" s="59">
        <v>1.0184709999999999</v>
      </c>
      <c r="E257" s="60">
        <v>0.64344500000000004</v>
      </c>
      <c r="F257" s="59">
        <v>0.50519499999999995</v>
      </c>
      <c r="G257" s="60">
        <v>1.117505</v>
      </c>
      <c r="H257" s="59">
        <v>1.287865</v>
      </c>
      <c r="I257" s="60">
        <v>1.7507820000000001</v>
      </c>
      <c r="J257" s="59">
        <v>0.40804299999999999</v>
      </c>
      <c r="K257" s="60">
        <v>-0.22505</v>
      </c>
      <c r="L257" s="59">
        <v>2.1704840000000001</v>
      </c>
      <c r="M257" s="60">
        <v>2.2611249999999998</v>
      </c>
      <c r="N257" s="59">
        <v>0.70387299999999997</v>
      </c>
      <c r="O257" s="60">
        <v>0.78953399999999996</v>
      </c>
      <c r="P257" s="59">
        <v>-1.1770259999999999</v>
      </c>
      <c r="Q257" s="60">
        <v>0.15104799999999999</v>
      </c>
      <c r="R257" s="59">
        <v>3.8080259999999999</v>
      </c>
      <c r="S257" s="60">
        <v>-0.13197</v>
      </c>
      <c r="T257" s="59">
        <v>1.4176850000000001</v>
      </c>
      <c r="U257" s="60">
        <v>0.59464799999999995</v>
      </c>
      <c r="V257" s="59">
        <v>-0.81783099999999997</v>
      </c>
      <c r="W257" s="60">
        <v>1.219319</v>
      </c>
      <c r="X257" s="59">
        <v>1.2678149999999999</v>
      </c>
      <c r="Y257" s="60">
        <v>2.396871</v>
      </c>
      <c r="Z257" s="59">
        <v>0.72787599999999997</v>
      </c>
      <c r="AA257" s="60">
        <v>0.82024799999999998</v>
      </c>
      <c r="AB257" s="59">
        <v>1.1276949999999999</v>
      </c>
      <c r="AC257" s="60">
        <v>-0.50057600000000002</v>
      </c>
      <c r="AD257" s="59">
        <v>2.807388</v>
      </c>
      <c r="AE257" s="60">
        <v>0.97685999999999995</v>
      </c>
      <c r="AF257" s="59">
        <v>-0.194073</v>
      </c>
      <c r="AG257" s="60">
        <v>0.65888999999999998</v>
      </c>
      <c r="AH257" s="59">
        <v>0.52685000000000004</v>
      </c>
      <c r="AI257" s="60">
        <v>6.7102999999999996E-2</v>
      </c>
      <c r="AJ257" s="59">
        <v>1.5570059999999999</v>
      </c>
      <c r="AK257" s="60">
        <v>0.71573799999999999</v>
      </c>
      <c r="AL257" s="59">
        <v>3.5567880000000001</v>
      </c>
      <c r="AM257" s="60">
        <v>6.3325000000000006E-2</v>
      </c>
      <c r="AN257" s="59">
        <v>0.50190299999999999</v>
      </c>
      <c r="AO257" s="60">
        <v>0.62609300000000001</v>
      </c>
      <c r="AP257" s="59">
        <v>0.647814</v>
      </c>
      <c r="AQ257" s="60">
        <v>0.35394300000000001</v>
      </c>
      <c r="AR257" s="59">
        <v>0.57883700000000005</v>
      </c>
      <c r="AS257" s="60">
        <v>0.78935200000000005</v>
      </c>
      <c r="AT257" s="59">
        <v>1.2544919999999999</v>
      </c>
      <c r="AU257" s="60">
        <v>0.57069000000000003</v>
      </c>
      <c r="AV257" s="59">
        <v>1.383121</v>
      </c>
      <c r="AW257" s="60">
        <v>1.2694669999999999</v>
      </c>
      <c r="AX257" s="59">
        <v>1.02407</v>
      </c>
      <c r="AY257" s="60" t="s">
        <v>179</v>
      </c>
      <c r="AZ257" s="59">
        <v>2.3210739999999999</v>
      </c>
      <c r="BA257" s="60">
        <v>1.603437</v>
      </c>
      <c r="BB257" s="59">
        <v>1.946599</v>
      </c>
      <c r="BC257" s="60">
        <v>1.25698</v>
      </c>
      <c r="BD257" s="59">
        <v>7.6430860000000003</v>
      </c>
      <c r="BE257" s="60">
        <v>1.0697970000000001</v>
      </c>
    </row>
    <row r="258" spans="1:57" x14ac:dyDescent="0.35">
      <c r="A258" s="240"/>
      <c r="B258" s="240"/>
      <c r="C258" s="58" t="s">
        <v>434</v>
      </c>
      <c r="D258" s="59">
        <v>-0.2676</v>
      </c>
      <c r="E258" s="60">
        <v>1.4623349999999999</v>
      </c>
      <c r="F258" s="59">
        <v>0.48133100000000001</v>
      </c>
      <c r="G258" s="60">
        <v>0.75534699999999999</v>
      </c>
      <c r="H258" s="59">
        <v>1.218764</v>
      </c>
      <c r="I258" s="60">
        <v>2.1315750000000002</v>
      </c>
      <c r="J258" s="59">
        <v>0.58100200000000002</v>
      </c>
      <c r="K258" s="60">
        <v>0.21784300000000001</v>
      </c>
      <c r="L258" s="59">
        <v>2.0872220000000001</v>
      </c>
      <c r="M258" s="60">
        <v>0.106084</v>
      </c>
      <c r="N258" s="59">
        <v>1.0361400000000001</v>
      </c>
      <c r="O258" s="60">
        <v>1.9637249999999999</v>
      </c>
      <c r="P258" s="59">
        <v>-2.9129109999999998</v>
      </c>
      <c r="Q258" s="60">
        <v>0.83309</v>
      </c>
      <c r="R258" s="59">
        <v>-3.658236</v>
      </c>
      <c r="S258" s="60">
        <v>0.46535399999999999</v>
      </c>
      <c r="T258" s="59">
        <v>1.2538830000000001</v>
      </c>
      <c r="U258" s="60">
        <v>0.34091199999999999</v>
      </c>
      <c r="V258" s="59">
        <v>-1.3995899999999999</v>
      </c>
      <c r="W258" s="60">
        <v>0.93313100000000004</v>
      </c>
      <c r="X258" s="59">
        <v>1.6152550000000001</v>
      </c>
      <c r="Y258" s="60">
        <v>2.2461310000000001</v>
      </c>
      <c r="Z258" s="59">
        <v>1.966124</v>
      </c>
      <c r="AA258" s="60">
        <v>0.77519199999999999</v>
      </c>
      <c r="AB258" s="59">
        <v>0.57721699999999998</v>
      </c>
      <c r="AC258" s="60">
        <v>0.94452499999999995</v>
      </c>
      <c r="AD258" s="59">
        <v>9.3581999999999999E-2</v>
      </c>
      <c r="AE258" s="60">
        <v>1.291876</v>
      </c>
      <c r="AF258" s="59">
        <v>-0.66078099999999995</v>
      </c>
      <c r="AG258" s="60">
        <v>0.45383499999999999</v>
      </c>
      <c r="AH258" s="59">
        <v>0.64148000000000005</v>
      </c>
      <c r="AI258" s="60">
        <v>-0.155975</v>
      </c>
      <c r="AJ258" s="59">
        <v>0.77601699999999996</v>
      </c>
      <c r="AK258" s="60">
        <v>0.45776299999999998</v>
      </c>
      <c r="AL258" s="59">
        <v>2.5774970000000001</v>
      </c>
      <c r="AM258" s="60">
        <v>0.62948000000000004</v>
      </c>
      <c r="AN258" s="59">
        <v>-0.24044099999999999</v>
      </c>
      <c r="AO258" s="60">
        <v>0.847746</v>
      </c>
      <c r="AP258" s="59">
        <v>0.82587699999999997</v>
      </c>
      <c r="AQ258" s="60">
        <v>6.5577999999999997E-2</v>
      </c>
      <c r="AR258" s="59">
        <v>-6.7150000000000001E-2</v>
      </c>
      <c r="AS258" s="60">
        <v>0.92255100000000001</v>
      </c>
      <c r="AT258" s="59">
        <v>0.86651699999999998</v>
      </c>
      <c r="AU258" s="60">
        <v>0.28225099999999997</v>
      </c>
      <c r="AV258" s="59">
        <v>2.3983120000000002</v>
      </c>
      <c r="AW258" s="60">
        <v>1.0795360000000001</v>
      </c>
      <c r="AX258" s="59">
        <v>0.25748500000000002</v>
      </c>
      <c r="AY258" s="60">
        <v>2.6</v>
      </c>
      <c r="AZ258" s="59">
        <v>1.8306549999999999</v>
      </c>
      <c r="BA258" s="60">
        <v>1.449163</v>
      </c>
      <c r="BB258" s="59">
        <v>-0.40791500000000003</v>
      </c>
      <c r="BC258" s="60">
        <v>0.690774</v>
      </c>
      <c r="BD258" s="59">
        <v>7.5700000000000003E-3</v>
      </c>
      <c r="BE258" s="60">
        <v>0.95045599999999997</v>
      </c>
    </row>
    <row r="259" spans="1:57" x14ac:dyDescent="0.35">
      <c r="A259" s="240"/>
      <c r="B259" s="240"/>
      <c r="C259" s="58" t="s">
        <v>435</v>
      </c>
      <c r="D259" s="59">
        <v>1.172056</v>
      </c>
      <c r="E259" s="60">
        <v>0.203185</v>
      </c>
      <c r="F259" s="59">
        <v>0.20818400000000001</v>
      </c>
      <c r="G259" s="60">
        <v>0.19480700000000001</v>
      </c>
      <c r="H259" s="59">
        <v>1.2855700000000001</v>
      </c>
      <c r="I259" s="60">
        <v>1.678307</v>
      </c>
      <c r="J259" s="59">
        <v>0.30680499999999999</v>
      </c>
      <c r="K259" s="60">
        <v>1.002327</v>
      </c>
      <c r="L259" s="59">
        <v>1.9373929999999999</v>
      </c>
      <c r="M259" s="60">
        <v>3.7401999999999998E-2</v>
      </c>
      <c r="N259" s="59">
        <v>3.8390000000000001E-2</v>
      </c>
      <c r="O259" s="60">
        <v>8.4195000000000006E-2</v>
      </c>
      <c r="P259" s="59">
        <v>-1.5296620000000001</v>
      </c>
      <c r="Q259" s="60">
        <v>-1.4978999999999999E-2</v>
      </c>
      <c r="R259" s="59">
        <v>2.8504710000000002</v>
      </c>
      <c r="S259" s="60">
        <v>0.43791200000000002</v>
      </c>
      <c r="T259" s="59">
        <v>0.89792300000000003</v>
      </c>
      <c r="U259" s="60">
        <v>0.119673</v>
      </c>
      <c r="V259" s="59">
        <v>-0.65367799999999998</v>
      </c>
      <c r="W259" s="60">
        <v>0.49079099999999998</v>
      </c>
      <c r="X259" s="59">
        <v>3.5675330000000001</v>
      </c>
      <c r="Y259" s="60">
        <v>1.3104279999999999</v>
      </c>
      <c r="Z259" s="59">
        <v>-1.0066269999999999</v>
      </c>
      <c r="AA259" s="60">
        <v>0.49055799999999999</v>
      </c>
      <c r="AB259" s="59">
        <v>-8.9565000000000006E-2</v>
      </c>
      <c r="AC259" s="60">
        <v>0.73364700000000005</v>
      </c>
      <c r="AD259" s="59">
        <v>-0.413466</v>
      </c>
      <c r="AE259" s="60">
        <v>1.2989919999999999</v>
      </c>
      <c r="AF259" s="59">
        <v>-0.42888799999999999</v>
      </c>
      <c r="AG259" s="60">
        <v>0.77766599999999997</v>
      </c>
      <c r="AH259" s="59">
        <v>-0.498726</v>
      </c>
      <c r="AI259" s="60">
        <v>-0.31689000000000001</v>
      </c>
      <c r="AJ259" s="59">
        <v>0.15609799999999999</v>
      </c>
      <c r="AK259" s="60">
        <v>0.50297899999999995</v>
      </c>
      <c r="AL259" s="59">
        <v>2.1815479999999998</v>
      </c>
      <c r="AM259" s="60">
        <v>9.9461999999999995E-2</v>
      </c>
      <c r="AN259" s="59">
        <v>0.71497299999999997</v>
      </c>
      <c r="AO259" s="60">
        <v>5.7359999999999998E-3</v>
      </c>
      <c r="AP259" s="59">
        <v>9.1902999999999999E-2</v>
      </c>
      <c r="AQ259" s="60">
        <v>0.29042299999999999</v>
      </c>
      <c r="AR259" s="59">
        <v>0.65349000000000002</v>
      </c>
      <c r="AS259" s="60">
        <v>0.26223000000000002</v>
      </c>
      <c r="AT259" s="59">
        <v>0.91247500000000004</v>
      </c>
      <c r="AU259" s="60">
        <v>0.38580799999999998</v>
      </c>
      <c r="AV259" s="59">
        <v>0.93341200000000002</v>
      </c>
      <c r="AW259" s="60">
        <v>1.238991</v>
      </c>
      <c r="AX259" s="59">
        <v>1.036368</v>
      </c>
      <c r="AY259" s="60">
        <v>2.2999999999999998</v>
      </c>
      <c r="AZ259" s="59">
        <v>1.2116659999999999</v>
      </c>
      <c r="BA259" s="60">
        <v>1.4554720000000001</v>
      </c>
      <c r="BB259" s="59">
        <v>0.20739299999999999</v>
      </c>
      <c r="BC259" s="60">
        <v>1.3556520000000001</v>
      </c>
      <c r="BD259" s="59">
        <v>2.5924160000000001</v>
      </c>
      <c r="BE259" s="60">
        <v>0.57495200000000002</v>
      </c>
    </row>
    <row r="260" spans="1:57" x14ac:dyDescent="0.35">
      <c r="A260" s="240"/>
      <c r="B260" s="240"/>
      <c r="C260" s="58" t="s">
        <v>436</v>
      </c>
      <c r="D260" s="59">
        <v>1.350392</v>
      </c>
      <c r="E260" s="60">
        <v>7.9670000000000001E-3</v>
      </c>
      <c r="F260" s="59">
        <v>0.28540599999999999</v>
      </c>
      <c r="G260" s="60">
        <v>1.37964</v>
      </c>
      <c r="H260" s="59">
        <v>0.405918</v>
      </c>
      <c r="I260" s="60">
        <v>1.974421</v>
      </c>
      <c r="J260" s="59">
        <v>-0.14193700000000001</v>
      </c>
      <c r="K260" s="60">
        <v>-1.243706</v>
      </c>
      <c r="L260" s="59">
        <v>1.657907</v>
      </c>
      <c r="M260" s="60">
        <v>0.33025900000000002</v>
      </c>
      <c r="N260" s="59">
        <v>0.28686699999999998</v>
      </c>
      <c r="O260" s="60">
        <v>0.87277099999999996</v>
      </c>
      <c r="P260" s="59">
        <v>-2.0645539999999998</v>
      </c>
      <c r="Q260" s="60">
        <v>0.338976</v>
      </c>
      <c r="R260" s="59">
        <v>1.4102250000000001</v>
      </c>
      <c r="S260" s="60">
        <v>-0.83302200000000004</v>
      </c>
      <c r="T260" s="59">
        <v>1.8754960000000001</v>
      </c>
      <c r="U260" s="60">
        <v>-0.470252</v>
      </c>
      <c r="V260" s="59">
        <v>2.4894509999999999</v>
      </c>
      <c r="W260" s="60">
        <v>0.52632400000000001</v>
      </c>
      <c r="X260" s="59">
        <v>2.0458340000000002</v>
      </c>
      <c r="Y260" s="60">
        <v>0.71031999999999995</v>
      </c>
      <c r="Z260" s="59">
        <v>0.71016299999999999</v>
      </c>
      <c r="AA260" s="60">
        <v>1.925308</v>
      </c>
      <c r="AB260" s="59">
        <v>8.1700000000000002E-4</v>
      </c>
      <c r="AC260" s="60">
        <v>0.97987199999999997</v>
      </c>
      <c r="AD260" s="59">
        <v>1.61127</v>
      </c>
      <c r="AE260" s="60">
        <v>1.324856</v>
      </c>
      <c r="AF260" s="59">
        <v>-0.78081900000000004</v>
      </c>
      <c r="AG260" s="60">
        <v>0.57530999999999999</v>
      </c>
      <c r="AH260" s="59">
        <v>-0.17754300000000001</v>
      </c>
      <c r="AI260" s="60">
        <v>-0.64807899999999996</v>
      </c>
      <c r="AJ260" s="59">
        <v>1.089216</v>
      </c>
      <c r="AK260" s="60">
        <v>-0.33416200000000001</v>
      </c>
      <c r="AL260" s="59">
        <v>2.651322</v>
      </c>
      <c r="AM260" s="60">
        <v>0.31012099999999998</v>
      </c>
      <c r="AN260" s="59">
        <v>-2.7779000000000002E-2</v>
      </c>
      <c r="AO260" s="60">
        <v>9.6647999999999998E-2</v>
      </c>
      <c r="AP260" s="59">
        <v>0.16100999999999999</v>
      </c>
      <c r="AQ260" s="60">
        <v>0.50709899999999997</v>
      </c>
      <c r="AR260" s="59">
        <v>0.26877200000000001</v>
      </c>
      <c r="AS260" s="60">
        <v>0.38221100000000002</v>
      </c>
      <c r="AT260" s="59">
        <v>0.87604300000000002</v>
      </c>
      <c r="AU260" s="60">
        <v>0.59538199999999997</v>
      </c>
      <c r="AV260" s="59">
        <v>0.79330000000000001</v>
      </c>
      <c r="AW260" s="60">
        <v>-1.9938999999999998E-2</v>
      </c>
      <c r="AX260" s="59">
        <v>5.8061000000000001E-2</v>
      </c>
      <c r="AY260" s="60">
        <v>1.9</v>
      </c>
      <c r="AZ260" s="59">
        <v>-3.8539999999999998E-3</v>
      </c>
      <c r="BA260" s="60">
        <v>1.51308</v>
      </c>
      <c r="BB260" s="59">
        <v>2.1179760000000001</v>
      </c>
      <c r="BC260" s="60">
        <v>1.428275</v>
      </c>
      <c r="BD260" s="59">
        <v>2.4055360000000001</v>
      </c>
      <c r="BE260" s="60">
        <v>0.29824600000000001</v>
      </c>
    </row>
    <row r="261" spans="1:57" x14ac:dyDescent="0.35">
      <c r="A261" s="240"/>
      <c r="B261" s="240"/>
      <c r="C261" s="58" t="s">
        <v>437</v>
      </c>
      <c r="D261" s="59">
        <v>1.1425320000000001</v>
      </c>
      <c r="E261" s="60">
        <v>0.164073</v>
      </c>
      <c r="F261" s="59">
        <v>0.29163299999999998</v>
      </c>
      <c r="G261" s="60">
        <v>0.78751300000000002</v>
      </c>
      <c r="H261" s="59">
        <v>2.060127</v>
      </c>
      <c r="I261" s="60">
        <v>0.52869200000000005</v>
      </c>
      <c r="J261" s="59">
        <v>9.3278E-2</v>
      </c>
      <c r="K261" s="60">
        <v>0.81718800000000003</v>
      </c>
      <c r="L261" s="59">
        <v>-4.7468999999999997E-2</v>
      </c>
      <c r="M261" s="60">
        <v>0.12421599999999999</v>
      </c>
      <c r="N261" s="59">
        <v>0.23717199999999999</v>
      </c>
      <c r="O261" s="60">
        <v>-0.31273600000000001</v>
      </c>
      <c r="P261" s="59">
        <v>-3.999479</v>
      </c>
      <c r="Q261" s="60">
        <v>0.823739</v>
      </c>
      <c r="R261" s="59">
        <v>1.38845</v>
      </c>
      <c r="S261" s="60">
        <v>-0.82036799999999999</v>
      </c>
      <c r="T261" s="59">
        <v>0.57263900000000001</v>
      </c>
      <c r="U261" s="60">
        <v>-0.88345099999999999</v>
      </c>
      <c r="V261" s="59">
        <v>-0.156526</v>
      </c>
      <c r="W261" s="60">
        <v>0.472298</v>
      </c>
      <c r="X261" s="59">
        <v>0.24857399999999999</v>
      </c>
      <c r="Y261" s="60">
        <v>1.103164</v>
      </c>
      <c r="Z261" s="59">
        <v>2.4750000000000001E-2</v>
      </c>
      <c r="AA261" s="60">
        <v>0.70926800000000001</v>
      </c>
      <c r="AB261" s="59">
        <v>-0.60177000000000003</v>
      </c>
      <c r="AC261" s="60">
        <v>0.46728500000000001</v>
      </c>
      <c r="AD261" s="59">
        <v>5.1493999999999998E-2</v>
      </c>
      <c r="AE261" s="60">
        <v>0.81329099999999999</v>
      </c>
      <c r="AF261" s="59">
        <v>-1.4783949999999999</v>
      </c>
      <c r="AG261" s="60">
        <v>0.89129400000000003</v>
      </c>
      <c r="AH261" s="59">
        <v>6.4144999999999994E-2</v>
      </c>
      <c r="AI261" s="60">
        <v>-0.64856000000000003</v>
      </c>
      <c r="AJ261" s="59">
        <v>-1.1987559999999999</v>
      </c>
      <c r="AK261" s="60">
        <v>0.622784</v>
      </c>
      <c r="AL261" s="59">
        <v>1.0936900000000001</v>
      </c>
      <c r="AM261" s="60">
        <v>0.18589700000000001</v>
      </c>
      <c r="AN261" s="59">
        <v>1.1592849999999999</v>
      </c>
      <c r="AO261" s="60">
        <v>-0.377274</v>
      </c>
      <c r="AP261" s="59">
        <v>-0.32924500000000001</v>
      </c>
      <c r="AQ261" s="60">
        <v>0.51577600000000001</v>
      </c>
      <c r="AR261" s="59">
        <v>1.086319</v>
      </c>
      <c r="AS261" s="60">
        <v>-0.114577</v>
      </c>
      <c r="AT261" s="59">
        <v>0.84226599999999996</v>
      </c>
      <c r="AU261" s="60">
        <v>0.445108</v>
      </c>
      <c r="AV261" s="59">
        <v>9.9959000000000006E-2</v>
      </c>
      <c r="AW261" s="60">
        <v>0.322689</v>
      </c>
      <c r="AX261" s="59">
        <v>-0.174566</v>
      </c>
      <c r="AY261" s="60">
        <v>1.5</v>
      </c>
      <c r="AZ261" s="59">
        <v>1.6288629999999999</v>
      </c>
      <c r="BA261" s="60">
        <v>1.464518</v>
      </c>
      <c r="BB261" s="59">
        <v>-0.83482900000000004</v>
      </c>
      <c r="BC261" s="60">
        <v>1.277018</v>
      </c>
      <c r="BD261" s="59">
        <v>0.93276899999999996</v>
      </c>
      <c r="BE261" s="60">
        <v>0.76220500000000002</v>
      </c>
    </row>
    <row r="262" spans="1:57" x14ac:dyDescent="0.35">
      <c r="A262" s="240"/>
      <c r="B262" s="240"/>
      <c r="C262" s="58" t="s">
        <v>438</v>
      </c>
      <c r="D262" s="59">
        <v>0.93659599999999998</v>
      </c>
      <c r="E262" s="60">
        <v>0.87706399999999995</v>
      </c>
      <c r="F262" s="59">
        <v>0.21457899999999999</v>
      </c>
      <c r="G262" s="60">
        <v>6.4087000000000005E-2</v>
      </c>
      <c r="H262" s="59">
        <v>1.6846000000000001</v>
      </c>
      <c r="I262" s="60">
        <v>0.85072000000000003</v>
      </c>
      <c r="J262" s="59">
        <v>-0.209866</v>
      </c>
      <c r="K262" s="60">
        <v>-6.9457000000000005E-2</v>
      </c>
      <c r="L262" s="59">
        <v>0.58456200000000003</v>
      </c>
      <c r="M262" s="60">
        <v>-0.33083099999999999</v>
      </c>
      <c r="N262" s="59">
        <v>0.11282499999999999</v>
      </c>
      <c r="O262" s="60">
        <v>0.21698300000000001</v>
      </c>
      <c r="P262" s="59">
        <v>-1.030945</v>
      </c>
      <c r="Q262" s="60">
        <v>-1.8228789999999999</v>
      </c>
      <c r="R262" s="59">
        <v>-2.253314</v>
      </c>
      <c r="S262" s="60">
        <v>0.85492199999999996</v>
      </c>
      <c r="T262" s="59">
        <v>0.116593</v>
      </c>
      <c r="U262" s="60">
        <v>-1.1271770000000001</v>
      </c>
      <c r="V262" s="59">
        <v>1.209222</v>
      </c>
      <c r="W262" s="60">
        <v>0.87651100000000004</v>
      </c>
      <c r="X262" s="59">
        <v>1.9147110000000001</v>
      </c>
      <c r="Y262" s="60">
        <v>0.185645</v>
      </c>
      <c r="Z262" s="59">
        <v>-1.291315</v>
      </c>
      <c r="AA262" s="60">
        <v>0.62946400000000002</v>
      </c>
      <c r="AB262" s="59">
        <v>-0.21148</v>
      </c>
      <c r="AC262" s="60">
        <v>0.89078199999999996</v>
      </c>
      <c r="AD262" s="59">
        <v>2.1696770000000001</v>
      </c>
      <c r="AE262" s="60">
        <v>0.14796699999999999</v>
      </c>
      <c r="AF262" s="59">
        <v>-0.54571899999999995</v>
      </c>
      <c r="AG262" s="60">
        <v>0.477599</v>
      </c>
      <c r="AH262" s="59">
        <v>-0.64951000000000003</v>
      </c>
      <c r="AI262" s="60">
        <v>-0.93714200000000003</v>
      </c>
      <c r="AJ262" s="59">
        <v>0.18281600000000001</v>
      </c>
      <c r="AK262" s="60">
        <v>9.4719999999999999E-2</v>
      </c>
      <c r="AL262" s="59">
        <v>-0.38822200000000001</v>
      </c>
      <c r="AM262" s="60">
        <v>0.64355799999999996</v>
      </c>
      <c r="AN262" s="59">
        <v>0.78299300000000005</v>
      </c>
      <c r="AO262" s="60">
        <v>-0.207234</v>
      </c>
      <c r="AP262" s="59">
        <v>-0.18437799999999999</v>
      </c>
      <c r="AQ262" s="60">
        <v>0.56020000000000003</v>
      </c>
      <c r="AR262" s="59">
        <v>0.71463200000000004</v>
      </c>
      <c r="AS262" s="60">
        <v>-7.3186000000000001E-2</v>
      </c>
      <c r="AT262" s="59">
        <v>0.84189499999999995</v>
      </c>
      <c r="AU262" s="60">
        <v>0.45495999999999998</v>
      </c>
      <c r="AV262" s="59">
        <v>-1.083629</v>
      </c>
      <c r="AW262" s="60">
        <v>-1.9181E-2</v>
      </c>
      <c r="AX262" s="59">
        <v>0.42337900000000001</v>
      </c>
      <c r="AY262" s="60">
        <v>1.9</v>
      </c>
      <c r="AZ262" s="59">
        <v>1.380725</v>
      </c>
      <c r="BA262" s="60">
        <v>1.5136350000000001</v>
      </c>
      <c r="BB262" s="59">
        <v>0.95718000000000003</v>
      </c>
      <c r="BC262" s="60">
        <v>1.302298</v>
      </c>
      <c r="BD262" s="59">
        <v>2.6033300000000001</v>
      </c>
      <c r="BE262" s="60">
        <v>0.400084</v>
      </c>
    </row>
    <row r="263" spans="1:57" x14ac:dyDescent="0.35">
      <c r="A263" s="240"/>
      <c r="B263" s="240"/>
      <c r="C263" s="58" t="s">
        <v>439</v>
      </c>
      <c r="D263" s="59">
        <v>0.75268699999999999</v>
      </c>
      <c r="E263" s="60">
        <v>-0.642065</v>
      </c>
      <c r="F263" s="59">
        <v>-1.0009999999999999E-3</v>
      </c>
      <c r="G263" s="60">
        <v>0.32616400000000001</v>
      </c>
      <c r="H263" s="59">
        <v>1.414347</v>
      </c>
      <c r="I263" s="60">
        <v>1.4028389999999999</v>
      </c>
      <c r="J263" s="59">
        <v>-0.48454000000000003</v>
      </c>
      <c r="K263" s="60">
        <v>7.5249999999999997E-2</v>
      </c>
      <c r="L263" s="59">
        <v>1.1554329999999999</v>
      </c>
      <c r="M263" s="60">
        <v>-1.491608</v>
      </c>
      <c r="N263" s="59">
        <v>-0.193493</v>
      </c>
      <c r="O263" s="60">
        <v>0.20868700000000001</v>
      </c>
      <c r="P263" s="59">
        <v>-1.8565039999999999</v>
      </c>
      <c r="Q263" s="60">
        <v>-0.52790599999999999</v>
      </c>
      <c r="R263" s="59">
        <v>0.36996400000000002</v>
      </c>
      <c r="S263" s="60">
        <v>0.67461800000000005</v>
      </c>
      <c r="T263" s="59">
        <v>-0.19806399999999999</v>
      </c>
      <c r="U263" s="60">
        <v>-0.77357100000000001</v>
      </c>
      <c r="V263" s="59">
        <v>-0.73324500000000004</v>
      </c>
      <c r="W263" s="60">
        <v>0.56354499999999996</v>
      </c>
      <c r="X263" s="59">
        <v>-0.27817999999999998</v>
      </c>
      <c r="Y263" s="60">
        <v>0.74585599999999996</v>
      </c>
      <c r="Z263" s="59">
        <v>1.0032019999999999</v>
      </c>
      <c r="AA263" s="60">
        <v>0.83520700000000003</v>
      </c>
      <c r="AB263" s="59">
        <v>5.2873000000000003E-2</v>
      </c>
      <c r="AC263" s="60">
        <v>0.29017999999999999</v>
      </c>
      <c r="AD263" s="59">
        <v>0.235737</v>
      </c>
      <c r="AE263" s="60">
        <v>-0.21853700000000001</v>
      </c>
      <c r="AF263" s="59">
        <v>-1.3479129999999999</v>
      </c>
      <c r="AG263" s="60">
        <v>0.26754099999999997</v>
      </c>
      <c r="AH263" s="59">
        <v>-1.7422489999999999</v>
      </c>
      <c r="AI263" s="60">
        <v>-0.96123499999999995</v>
      </c>
      <c r="AJ263" s="59">
        <v>0.14403099999999999</v>
      </c>
      <c r="AK263" s="60">
        <v>0.228739</v>
      </c>
      <c r="AL263" s="59">
        <v>1.6830769999999999</v>
      </c>
      <c r="AM263" s="60">
        <v>-7.8856999999999997E-2</v>
      </c>
      <c r="AN263" s="59">
        <v>0.43020199999999997</v>
      </c>
      <c r="AO263" s="60">
        <v>-0.323162</v>
      </c>
      <c r="AP263" s="59">
        <v>-0.28611500000000001</v>
      </c>
      <c r="AQ263" s="60">
        <v>6.9832000000000005E-2</v>
      </c>
      <c r="AR263" s="59">
        <v>0.46352199999999999</v>
      </c>
      <c r="AS263" s="60">
        <v>-0.10071099999999999</v>
      </c>
      <c r="AT263" s="59">
        <v>0.59132200000000001</v>
      </c>
      <c r="AU263" s="60">
        <v>0.139623</v>
      </c>
      <c r="AV263" s="59">
        <v>-3.4818600000000002</v>
      </c>
      <c r="AW263" s="60">
        <v>0.74152700000000005</v>
      </c>
      <c r="AX263" s="59">
        <v>-0.288163</v>
      </c>
      <c r="AY263" s="60">
        <v>2.1</v>
      </c>
      <c r="AZ263" s="59">
        <v>1.1578660000000001</v>
      </c>
      <c r="BA263" s="60">
        <v>1.4942329999999999</v>
      </c>
      <c r="BB263" s="59">
        <v>0.96238400000000002</v>
      </c>
      <c r="BC263" s="60">
        <v>0.47064800000000001</v>
      </c>
      <c r="BD263" s="59">
        <v>0.50928799999999996</v>
      </c>
      <c r="BE263" s="60">
        <v>0.89770399999999995</v>
      </c>
    </row>
    <row r="264" spans="1:57" x14ac:dyDescent="0.35">
      <c r="A264" s="240"/>
      <c r="B264" s="240"/>
      <c r="C264" s="58" t="s">
        <v>440</v>
      </c>
      <c r="D264" s="59">
        <v>0.58135300000000001</v>
      </c>
      <c r="E264" s="60">
        <v>0.111086</v>
      </c>
      <c r="F264" s="59">
        <v>0.24413899999999999</v>
      </c>
      <c r="G264" s="60">
        <v>0.136217</v>
      </c>
      <c r="H264" s="59">
        <v>0.643544</v>
      </c>
      <c r="I264" s="60">
        <v>-0.21368200000000001</v>
      </c>
      <c r="J264" s="59">
        <v>-0.34148099999999998</v>
      </c>
      <c r="K264" s="60">
        <v>9.3894000000000005E-2</v>
      </c>
      <c r="L264" s="59">
        <v>0.44979400000000003</v>
      </c>
      <c r="M264" s="60">
        <v>-0.414877</v>
      </c>
      <c r="N264" s="59">
        <v>0.19348899999999999</v>
      </c>
      <c r="O264" s="60">
        <v>0.27072400000000002</v>
      </c>
      <c r="P264" s="59">
        <v>-1.2538830000000001</v>
      </c>
      <c r="Q264" s="60">
        <v>0.35564800000000002</v>
      </c>
      <c r="R264" s="59">
        <v>1.139591</v>
      </c>
      <c r="S264" s="60">
        <v>-0.99593600000000004</v>
      </c>
      <c r="T264" s="59">
        <v>1.008645</v>
      </c>
      <c r="U264" s="60">
        <v>-0.54783099999999996</v>
      </c>
      <c r="V264" s="59">
        <v>-0.38281700000000002</v>
      </c>
      <c r="W264" s="60">
        <v>0.43279299999999998</v>
      </c>
      <c r="X264" s="59">
        <v>1.054249</v>
      </c>
      <c r="Y264" s="60">
        <v>2.7087400000000001</v>
      </c>
      <c r="Z264" s="59">
        <v>-0.320627</v>
      </c>
      <c r="AA264" s="60">
        <v>0.61351500000000003</v>
      </c>
      <c r="AB264" s="59">
        <v>-0.427678</v>
      </c>
      <c r="AC264" s="60">
        <v>8.9500999999999997E-2</v>
      </c>
      <c r="AD264" s="59">
        <v>-1.4494419999999999</v>
      </c>
      <c r="AE264" s="60">
        <v>0.42919600000000002</v>
      </c>
      <c r="AF264" s="59">
        <v>-1.1296250000000001</v>
      </c>
      <c r="AG264" s="60">
        <v>0.15939700000000001</v>
      </c>
      <c r="AH264" s="59">
        <v>0.187221</v>
      </c>
      <c r="AI264" s="60">
        <v>-0.50968999999999998</v>
      </c>
      <c r="AJ264" s="59">
        <v>-0.24990100000000001</v>
      </c>
      <c r="AK264" s="60">
        <v>0.51521099999999997</v>
      </c>
      <c r="AL264" s="59">
        <v>1.58142</v>
      </c>
      <c r="AM264" s="60">
        <v>1.215525</v>
      </c>
      <c r="AN264" s="59">
        <v>0.13494800000000001</v>
      </c>
      <c r="AO264" s="60">
        <v>-9.7013000000000002E-2</v>
      </c>
      <c r="AP264" s="59">
        <v>-7.9841999999999996E-2</v>
      </c>
      <c r="AQ264" s="60">
        <v>0.114181</v>
      </c>
      <c r="AR264" s="59">
        <v>0.18387000000000001</v>
      </c>
      <c r="AS264" s="60">
        <v>0.20744000000000001</v>
      </c>
      <c r="AT264" s="59">
        <v>0.72489800000000004</v>
      </c>
      <c r="AU264" s="60">
        <v>0.15900800000000001</v>
      </c>
      <c r="AV264" s="59">
        <v>3.1887430000000001</v>
      </c>
      <c r="AW264" s="60">
        <v>1.541137</v>
      </c>
      <c r="AX264" s="59">
        <v>-0.17263500000000001</v>
      </c>
      <c r="AY264" s="60">
        <v>1.8</v>
      </c>
      <c r="AZ264" s="59">
        <v>1.794019</v>
      </c>
      <c r="BA264" s="60">
        <v>1.4010480000000001</v>
      </c>
      <c r="BB264" s="59">
        <v>-0.16939699999999999</v>
      </c>
      <c r="BC264" s="60">
        <v>0.51246499999999995</v>
      </c>
      <c r="BD264" s="59">
        <v>0.49777399999999999</v>
      </c>
      <c r="BE264" s="60">
        <v>0.29905399999999999</v>
      </c>
    </row>
    <row r="265" spans="1:57" x14ac:dyDescent="0.35">
      <c r="A265" s="240"/>
      <c r="B265" s="240"/>
      <c r="C265" s="58" t="s">
        <v>441</v>
      </c>
      <c r="D265" s="59">
        <v>0.55452800000000002</v>
      </c>
      <c r="E265" s="60">
        <v>-8.6998000000000006E-2</v>
      </c>
      <c r="F265" s="59">
        <v>-4.5914000000000003E-2</v>
      </c>
      <c r="G265" s="60">
        <v>0.20678099999999999</v>
      </c>
      <c r="H265" s="59">
        <v>0.87326000000000004</v>
      </c>
      <c r="I265" s="60">
        <v>1.1024940000000001</v>
      </c>
      <c r="J265" s="59">
        <v>-0.17935899999999999</v>
      </c>
      <c r="K265" s="60">
        <v>-0.16163</v>
      </c>
      <c r="L265" s="59">
        <v>0.85091399999999995</v>
      </c>
      <c r="M265" s="60">
        <v>-5.0754000000000001E-2</v>
      </c>
      <c r="N265" s="59">
        <v>-7.1357000000000004E-2</v>
      </c>
      <c r="O265" s="60">
        <v>-0.43614399999999998</v>
      </c>
      <c r="P265" s="59">
        <v>-1.0148000000000001E-2</v>
      </c>
      <c r="Q265" s="60">
        <v>-0.26722499999999999</v>
      </c>
      <c r="R265" s="59">
        <v>1.216744</v>
      </c>
      <c r="S265" s="60">
        <v>0.76450600000000002</v>
      </c>
      <c r="T265" s="59">
        <v>0.72026400000000002</v>
      </c>
      <c r="U265" s="60">
        <v>-0.80019499999999999</v>
      </c>
      <c r="V265" s="59">
        <v>0.26623799999999997</v>
      </c>
      <c r="W265" s="60">
        <v>0.50448899999999997</v>
      </c>
      <c r="X265" s="59">
        <v>0.313471</v>
      </c>
      <c r="Y265" s="60">
        <v>0.38153900000000002</v>
      </c>
      <c r="Z265" s="59">
        <v>0.92642199999999997</v>
      </c>
      <c r="AA265" s="60">
        <v>0.85044500000000001</v>
      </c>
      <c r="AB265" s="59">
        <v>-0.70049499999999998</v>
      </c>
      <c r="AC265" s="60">
        <v>1.4062669999999999</v>
      </c>
      <c r="AD265" s="59">
        <v>0.81725099999999995</v>
      </c>
      <c r="AE265" s="60">
        <v>-0.36937500000000001</v>
      </c>
      <c r="AF265" s="59">
        <v>-1.5807530000000001</v>
      </c>
      <c r="AG265" s="60">
        <v>-8.4834999999999994E-2</v>
      </c>
      <c r="AH265" s="59">
        <v>-1.997395</v>
      </c>
      <c r="AI265" s="60">
        <v>-0.76265700000000003</v>
      </c>
      <c r="AJ265" s="59">
        <v>-0.45184400000000002</v>
      </c>
      <c r="AK265" s="60">
        <v>0.216617</v>
      </c>
      <c r="AL265" s="59">
        <v>1.334811</v>
      </c>
      <c r="AM265" s="60">
        <v>-0.15376400000000001</v>
      </c>
      <c r="AN265" s="59">
        <v>0.113873</v>
      </c>
      <c r="AO265" s="60">
        <v>-0.41922100000000001</v>
      </c>
      <c r="AP265" s="59">
        <v>-0.39756999999999998</v>
      </c>
      <c r="AQ265" s="60">
        <v>-1.1828E-2</v>
      </c>
      <c r="AR265" s="59">
        <v>0.19633999999999999</v>
      </c>
      <c r="AS265" s="60">
        <v>-0.20774400000000001</v>
      </c>
      <c r="AT265" s="59">
        <v>0.54586699999999999</v>
      </c>
      <c r="AU265" s="60">
        <v>7.8570000000000001E-2</v>
      </c>
      <c r="AV265" s="59">
        <v>1.7381979999999999</v>
      </c>
      <c r="AW265" s="60">
        <v>0.26639000000000002</v>
      </c>
      <c r="AX265" s="59">
        <v>-0.17672099999999999</v>
      </c>
      <c r="AY265" s="60">
        <v>1.9</v>
      </c>
      <c r="AZ265" s="59">
        <v>1.186998</v>
      </c>
      <c r="BA265" s="60">
        <v>1.382984</v>
      </c>
      <c r="BB265" s="59">
        <v>0.47788599999999998</v>
      </c>
      <c r="BC265" s="60">
        <v>6.5351999999999993E-2</v>
      </c>
      <c r="BD265" s="59">
        <v>-1.7056789999999999</v>
      </c>
      <c r="BE265" s="60">
        <v>0.43531500000000001</v>
      </c>
    </row>
    <row r="266" spans="1:57" x14ac:dyDescent="0.35">
      <c r="A266" s="240"/>
      <c r="B266" s="240"/>
      <c r="C266" s="58" t="s">
        <v>442</v>
      </c>
      <c r="D266" s="59">
        <v>0.27364699999999997</v>
      </c>
      <c r="E266" s="60">
        <v>-0.48702299999999998</v>
      </c>
      <c r="F266" s="59">
        <v>-0.27561099999999999</v>
      </c>
      <c r="G266" s="60">
        <v>0.89700500000000005</v>
      </c>
      <c r="H266" s="59">
        <v>1.021366</v>
      </c>
      <c r="I266" s="60">
        <v>1.56349</v>
      </c>
      <c r="J266" s="59">
        <v>-0.39922999999999997</v>
      </c>
      <c r="K266" s="60">
        <v>0.56383499999999998</v>
      </c>
      <c r="L266" s="59">
        <v>0.433639</v>
      </c>
      <c r="M266" s="60">
        <v>-0.82093799999999995</v>
      </c>
      <c r="N266" s="59">
        <v>-2.4747000000000002E-2</v>
      </c>
      <c r="O266" s="60">
        <v>-0.45631100000000002</v>
      </c>
      <c r="P266" s="59">
        <v>-2.1957300000000002</v>
      </c>
      <c r="Q266" s="60">
        <v>0.56643699999999997</v>
      </c>
      <c r="R266" s="59">
        <v>0.52563499999999996</v>
      </c>
      <c r="S266" s="60">
        <v>-1.7679959999999999</v>
      </c>
      <c r="T266" s="59">
        <v>1.1266290000000001</v>
      </c>
      <c r="U266" s="60">
        <v>-0.84656600000000004</v>
      </c>
      <c r="V266" s="59">
        <v>1.2223040000000001</v>
      </c>
      <c r="W266" s="60">
        <v>0.88172600000000001</v>
      </c>
      <c r="X266" s="59">
        <v>0.80211500000000002</v>
      </c>
      <c r="Y266" s="60">
        <v>0.33581899999999998</v>
      </c>
      <c r="Z266" s="59">
        <v>0.55728100000000003</v>
      </c>
      <c r="AA266" s="60">
        <v>0.279057</v>
      </c>
      <c r="AB266" s="59">
        <v>0.32347300000000001</v>
      </c>
      <c r="AC266" s="60">
        <v>4.7640000000000002E-2</v>
      </c>
      <c r="AD266" s="59">
        <v>0.15056</v>
      </c>
      <c r="AE266" s="60">
        <v>0.21584999999999999</v>
      </c>
      <c r="AF266" s="59">
        <v>0.41592600000000002</v>
      </c>
      <c r="AG266" s="60">
        <v>-3.6477000000000002E-2</v>
      </c>
      <c r="AH266" s="59">
        <v>0.18867500000000001</v>
      </c>
      <c r="AI266" s="60">
        <v>-0.31963200000000003</v>
      </c>
      <c r="AJ266" s="59">
        <v>1.2013990000000001</v>
      </c>
      <c r="AK266" s="60">
        <v>0.413051</v>
      </c>
      <c r="AL266" s="59">
        <v>3.6208469999999999</v>
      </c>
      <c r="AM266" s="60">
        <v>0.64457900000000001</v>
      </c>
      <c r="AN266" s="59">
        <v>0.88567499999999999</v>
      </c>
      <c r="AO266" s="60">
        <v>-0.39267000000000002</v>
      </c>
      <c r="AP266" s="59">
        <v>-0.25866899999999998</v>
      </c>
      <c r="AQ266" s="60">
        <v>0.59314</v>
      </c>
      <c r="AR266" s="59">
        <v>0.82390600000000003</v>
      </c>
      <c r="AS266" s="60">
        <v>0.17321300000000001</v>
      </c>
      <c r="AT266" s="59">
        <v>0.92012499999999997</v>
      </c>
      <c r="AU266" s="60">
        <v>0.59876200000000002</v>
      </c>
      <c r="AV266" s="59">
        <v>-0.16094</v>
      </c>
      <c r="AW266" s="60">
        <v>-9.8935999999999996E-2</v>
      </c>
      <c r="AX266" s="59">
        <v>6.2773999999999996E-2</v>
      </c>
      <c r="AY266" s="60">
        <v>1.9</v>
      </c>
      <c r="AZ266" s="59">
        <v>1.598975</v>
      </c>
      <c r="BA266" s="60">
        <v>1.399397</v>
      </c>
      <c r="BB266" s="59">
        <v>0.91958099999999998</v>
      </c>
      <c r="BC266" s="60">
        <v>0.74051800000000001</v>
      </c>
      <c r="BD266" s="59">
        <v>1.05264</v>
      </c>
      <c r="BE266" s="60">
        <v>0.414045</v>
      </c>
    </row>
    <row r="267" spans="1:57" x14ac:dyDescent="0.35">
      <c r="A267" s="240"/>
      <c r="B267" s="240"/>
      <c r="C267" s="58" t="s">
        <v>443</v>
      </c>
      <c r="D267" s="59">
        <v>0.45246500000000001</v>
      </c>
      <c r="E267" s="60">
        <v>0.51800999999999997</v>
      </c>
      <c r="F267" s="59">
        <v>0.58378799999999997</v>
      </c>
      <c r="G267" s="60">
        <v>0.58035700000000001</v>
      </c>
      <c r="H267" s="59">
        <v>1.4664900000000001</v>
      </c>
      <c r="I267" s="60">
        <v>2.2250749999999999</v>
      </c>
      <c r="J267" s="59">
        <v>0.38100499999999998</v>
      </c>
      <c r="K267" s="60">
        <v>7.4282000000000001E-2</v>
      </c>
      <c r="L267" s="59">
        <v>-0.251247</v>
      </c>
      <c r="M267" s="60">
        <v>0.62080000000000002</v>
      </c>
      <c r="N267" s="59">
        <v>0.67627199999999998</v>
      </c>
      <c r="O267" s="60">
        <v>1.06873</v>
      </c>
      <c r="P267" s="59">
        <v>6.4157000000000006E-2</v>
      </c>
      <c r="Q267" s="60">
        <v>0.89134000000000002</v>
      </c>
      <c r="R267" s="59">
        <v>0.63773500000000005</v>
      </c>
      <c r="S267" s="60">
        <v>2.127345</v>
      </c>
      <c r="T267" s="59">
        <v>1.7647839999999999</v>
      </c>
      <c r="U267" s="60">
        <v>5.751E-3</v>
      </c>
      <c r="V267" s="59">
        <v>0.77035100000000001</v>
      </c>
      <c r="W267" s="60">
        <v>1.1764380000000001</v>
      </c>
      <c r="X267" s="59">
        <v>8.9607999999999993E-2</v>
      </c>
      <c r="Y267" s="60">
        <v>0.94450299999999998</v>
      </c>
      <c r="Z267" s="59">
        <v>2.393329</v>
      </c>
      <c r="AA267" s="60">
        <v>-0.639733</v>
      </c>
      <c r="AB267" s="59">
        <v>-0.181863</v>
      </c>
      <c r="AC267" s="60">
        <v>0.86146400000000001</v>
      </c>
      <c r="AD267" s="59">
        <v>0.72246900000000003</v>
      </c>
      <c r="AE267" s="60">
        <v>1.0708850000000001</v>
      </c>
      <c r="AF267" s="59">
        <v>0.75862300000000005</v>
      </c>
      <c r="AG267" s="60">
        <v>0.32098700000000002</v>
      </c>
      <c r="AH267" s="59">
        <v>0.29537600000000003</v>
      </c>
      <c r="AI267" s="60">
        <v>-8.7486999999999995E-2</v>
      </c>
      <c r="AJ267" s="59">
        <v>-9.8896999999999999E-2</v>
      </c>
      <c r="AK267" s="60">
        <v>0.76360799999999995</v>
      </c>
      <c r="AL267" s="59">
        <v>2.6178720000000002</v>
      </c>
      <c r="AM267" s="60">
        <v>0.53598400000000002</v>
      </c>
      <c r="AN267" s="59">
        <v>0.12339600000000001</v>
      </c>
      <c r="AO267" s="60">
        <v>0.533219</v>
      </c>
      <c r="AP267" s="59">
        <v>0.52453499999999997</v>
      </c>
      <c r="AQ267" s="60">
        <v>0.40032800000000002</v>
      </c>
      <c r="AR267" s="59">
        <v>7.9377000000000003E-2</v>
      </c>
      <c r="AS267" s="60">
        <v>0.71977899999999995</v>
      </c>
      <c r="AT267" s="59">
        <v>0.91549700000000001</v>
      </c>
      <c r="AU267" s="60">
        <v>0.498172</v>
      </c>
      <c r="AV267" s="59">
        <v>0.66522099999999995</v>
      </c>
      <c r="AW267" s="60">
        <v>2.334781</v>
      </c>
      <c r="AX267" s="59">
        <v>1.456E-2</v>
      </c>
      <c r="AY267" s="60">
        <v>1.8</v>
      </c>
      <c r="AZ267" s="59">
        <v>1.4041669999999999</v>
      </c>
      <c r="BA267" s="60">
        <v>1.280521</v>
      </c>
      <c r="BB267" s="59">
        <v>1.283755</v>
      </c>
      <c r="BC267" s="60">
        <v>0.34066999999999997</v>
      </c>
      <c r="BD267" s="59">
        <v>2.1293139999999999</v>
      </c>
      <c r="BE267" s="60">
        <v>1.060173</v>
      </c>
    </row>
    <row r="268" spans="1:57" x14ac:dyDescent="0.35">
      <c r="A268" s="240"/>
      <c r="B268" s="240"/>
      <c r="C268" s="58" t="s">
        <v>444</v>
      </c>
      <c r="D268" s="59">
        <v>0.79769800000000002</v>
      </c>
      <c r="E268" s="60">
        <v>0.21310899999999999</v>
      </c>
      <c r="F268" s="59">
        <v>0.310608</v>
      </c>
      <c r="G268" s="60">
        <v>0.81497299999999995</v>
      </c>
      <c r="H268" s="59">
        <v>0.94434499999999999</v>
      </c>
      <c r="I268" s="60">
        <v>0.728383</v>
      </c>
      <c r="J268" s="59">
        <v>0.37965300000000002</v>
      </c>
      <c r="K268" s="60">
        <v>0.633382</v>
      </c>
      <c r="L268" s="59">
        <v>-0.24637899999999999</v>
      </c>
      <c r="M268" s="60">
        <v>0.32438600000000001</v>
      </c>
      <c r="N268" s="59">
        <v>9.384E-3</v>
      </c>
      <c r="O268" s="60">
        <v>0.53908599999999995</v>
      </c>
      <c r="P268" s="59">
        <v>0.42325699999999999</v>
      </c>
      <c r="Q268" s="60">
        <v>1.3050470000000001</v>
      </c>
      <c r="R268" s="59">
        <v>1.6643600000000001</v>
      </c>
      <c r="S268" s="60">
        <v>2.8437329999999998</v>
      </c>
      <c r="T268" s="59">
        <v>0.98266200000000004</v>
      </c>
      <c r="U268" s="60">
        <v>0.18338599999999999</v>
      </c>
      <c r="V268" s="59">
        <v>0.83487100000000003</v>
      </c>
      <c r="W268" s="60">
        <v>0.85753900000000005</v>
      </c>
      <c r="X268" s="59">
        <v>1.2318420000000001</v>
      </c>
      <c r="Y268" s="60">
        <v>0.96324900000000002</v>
      </c>
      <c r="Z268" s="59">
        <v>1.689932</v>
      </c>
      <c r="AA268" s="60">
        <v>0.96484999999999999</v>
      </c>
      <c r="AB268" s="59">
        <v>0.60294199999999998</v>
      </c>
      <c r="AC268" s="60">
        <v>0.72292299999999998</v>
      </c>
      <c r="AD268" s="59">
        <v>0.98080199999999995</v>
      </c>
      <c r="AE268" s="60">
        <v>0.80507700000000004</v>
      </c>
      <c r="AF268" s="59">
        <v>-0.13889699999999999</v>
      </c>
      <c r="AG268" s="60">
        <v>0.469364</v>
      </c>
      <c r="AH268" s="59">
        <v>3.3839999999999999E-3</v>
      </c>
      <c r="AI268" s="60">
        <v>-5.4726999999999998E-2</v>
      </c>
      <c r="AJ268" s="59">
        <v>0.43719000000000002</v>
      </c>
      <c r="AK268" s="60">
        <v>0.706488</v>
      </c>
      <c r="AL268" s="59">
        <v>1.346778</v>
      </c>
      <c r="AM268" s="60">
        <v>0.94574499999999995</v>
      </c>
      <c r="AN268" s="59">
        <v>0.78341499999999997</v>
      </c>
      <c r="AO268" s="60">
        <v>0.32064100000000001</v>
      </c>
      <c r="AP268" s="59">
        <v>0.36615999999999999</v>
      </c>
      <c r="AQ268" s="60">
        <v>0.68251499999999998</v>
      </c>
      <c r="AR268" s="59">
        <v>0.80422300000000002</v>
      </c>
      <c r="AS268" s="60">
        <v>0.54418699999999998</v>
      </c>
      <c r="AT268" s="59">
        <v>1.0257050000000001</v>
      </c>
      <c r="AU268" s="60">
        <v>0.70470500000000003</v>
      </c>
      <c r="AV268" s="59">
        <v>0.64828699999999995</v>
      </c>
      <c r="AW268" s="60">
        <v>0.36416900000000002</v>
      </c>
      <c r="AX268" s="59">
        <v>0.65329599999999999</v>
      </c>
      <c r="AY268" s="60">
        <v>2.1</v>
      </c>
      <c r="AZ268" s="59">
        <v>1.601029</v>
      </c>
      <c r="BA268" s="60">
        <v>1.3169500000000001</v>
      </c>
      <c r="BB268" s="59">
        <v>1.1071709999999999</v>
      </c>
      <c r="BC268" s="60">
        <v>4.0488000000000003E-2</v>
      </c>
      <c r="BD268" s="59">
        <v>2.1021899999999998</v>
      </c>
      <c r="BE268" s="60">
        <v>0.45908599999999999</v>
      </c>
    </row>
    <row r="269" spans="1:57" x14ac:dyDescent="0.35">
      <c r="A269" s="240"/>
      <c r="B269" s="240"/>
      <c r="C269" s="58" t="s">
        <v>445</v>
      </c>
      <c r="D269" s="59">
        <v>0.81751499999999999</v>
      </c>
      <c r="E269" s="60">
        <v>0.47955300000000001</v>
      </c>
      <c r="F269" s="59">
        <v>0.21834100000000001</v>
      </c>
      <c r="G269" s="60">
        <v>1.0505599999999999</v>
      </c>
      <c r="H269" s="59">
        <v>0.39235700000000001</v>
      </c>
      <c r="I269" s="60">
        <v>1.486208</v>
      </c>
      <c r="J269" s="59">
        <v>1.2341470000000001</v>
      </c>
      <c r="K269" s="60">
        <v>0.201104</v>
      </c>
      <c r="L269" s="59">
        <v>-5.9833999999999998E-2</v>
      </c>
      <c r="M269" s="60">
        <v>-0.33390399999999998</v>
      </c>
      <c r="N269" s="59">
        <v>0.49507000000000001</v>
      </c>
      <c r="O269" s="60">
        <v>0.319656</v>
      </c>
      <c r="P269" s="59">
        <v>-0.61463900000000005</v>
      </c>
      <c r="Q269" s="60">
        <v>1.028176</v>
      </c>
      <c r="R269" s="59">
        <v>2.6185749999999999</v>
      </c>
      <c r="S269" s="60">
        <v>-0.96897699999999998</v>
      </c>
      <c r="T269" s="59">
        <v>0.60542799999999997</v>
      </c>
      <c r="U269" s="60">
        <v>-0.199346</v>
      </c>
      <c r="V269" s="59">
        <v>-3.0609000000000001E-2</v>
      </c>
      <c r="W269" s="60">
        <v>0.78686599999999995</v>
      </c>
      <c r="X269" s="59">
        <v>0.76780199999999998</v>
      </c>
      <c r="Y269" s="60">
        <v>1.240715</v>
      </c>
      <c r="Z269" s="59">
        <v>-1.45553</v>
      </c>
      <c r="AA269" s="60">
        <v>0.591723</v>
      </c>
      <c r="AB269" s="59">
        <v>0.63544400000000001</v>
      </c>
      <c r="AC269" s="60">
        <v>0.20021</v>
      </c>
      <c r="AD269" s="59">
        <v>-0.17716000000000001</v>
      </c>
      <c r="AE269" s="60">
        <v>0.147174</v>
      </c>
      <c r="AF269" s="59">
        <v>1.09558</v>
      </c>
      <c r="AG269" s="60">
        <v>0.58815499999999998</v>
      </c>
      <c r="AH269" s="59">
        <v>1.9509030000000001</v>
      </c>
      <c r="AI269" s="60">
        <v>0.16661899999999999</v>
      </c>
      <c r="AJ269" s="59">
        <v>0.86762300000000003</v>
      </c>
      <c r="AK269" s="60">
        <v>0.195685</v>
      </c>
      <c r="AL269" s="59">
        <v>0.73230300000000004</v>
      </c>
      <c r="AM269" s="60">
        <v>0.53090800000000005</v>
      </c>
      <c r="AN269" s="59">
        <v>0.79824899999999999</v>
      </c>
      <c r="AO269" s="60">
        <v>0.24946699999999999</v>
      </c>
      <c r="AP269" s="59">
        <v>0.30017300000000002</v>
      </c>
      <c r="AQ269" s="60">
        <v>0.53307000000000004</v>
      </c>
      <c r="AR269" s="59">
        <v>0.79615199999999997</v>
      </c>
      <c r="AS269" s="60">
        <v>0.34778900000000001</v>
      </c>
      <c r="AT269" s="59">
        <v>0.86494099999999996</v>
      </c>
      <c r="AU269" s="60">
        <v>0.53535200000000005</v>
      </c>
      <c r="AV269" s="59">
        <v>-0.97010399999999997</v>
      </c>
      <c r="AW269" s="60">
        <v>2.3960000000000001E-3</v>
      </c>
      <c r="AX269" s="59">
        <v>0.37436599999999998</v>
      </c>
      <c r="AY269" s="60">
        <v>1.6</v>
      </c>
      <c r="AZ269" s="59">
        <v>2.2005759999999999</v>
      </c>
      <c r="BA269" s="60">
        <v>1.271096</v>
      </c>
      <c r="BB269" s="59">
        <v>1.2226809999999999</v>
      </c>
      <c r="BC269" s="60">
        <v>0.57809500000000003</v>
      </c>
      <c r="BD269" s="59">
        <v>-0.40182099999999998</v>
      </c>
      <c r="BE269" s="60">
        <v>1.2879069999999999</v>
      </c>
    </row>
    <row r="270" spans="1:57" x14ac:dyDescent="0.35">
      <c r="A270" s="240"/>
      <c r="B270" s="240"/>
      <c r="C270" s="58" t="s">
        <v>446</v>
      </c>
      <c r="D270" s="59">
        <v>0.69377599999999995</v>
      </c>
      <c r="E270" s="60">
        <v>-4.581E-3</v>
      </c>
      <c r="F270" s="59">
        <v>0.43077799999999999</v>
      </c>
      <c r="G270" s="60">
        <v>0.16344800000000001</v>
      </c>
      <c r="H270" s="59">
        <v>-5.5135999999999998E-2</v>
      </c>
      <c r="I270" s="60">
        <v>1.5021370000000001</v>
      </c>
      <c r="J270" s="59">
        <v>-0.64782300000000004</v>
      </c>
      <c r="K270" s="60">
        <v>0.25325599999999998</v>
      </c>
      <c r="L270" s="59">
        <v>1.631394</v>
      </c>
      <c r="M270" s="60">
        <v>-0.805751</v>
      </c>
      <c r="N270" s="59">
        <v>0.13669700000000001</v>
      </c>
      <c r="O270" s="60">
        <v>0.95590900000000001</v>
      </c>
      <c r="P270" s="59">
        <v>0.77979299999999996</v>
      </c>
      <c r="Q270" s="60">
        <v>0.85517399999999999</v>
      </c>
      <c r="R270" s="59">
        <v>-4.0394050000000004</v>
      </c>
      <c r="S270" s="60">
        <v>4.3127149999999999</v>
      </c>
      <c r="T270" s="59">
        <v>1.107178</v>
      </c>
      <c r="U270" s="60">
        <v>0.11325200000000001</v>
      </c>
      <c r="V270" s="59">
        <v>0.99276500000000001</v>
      </c>
      <c r="W270" s="60">
        <v>0.95341600000000004</v>
      </c>
      <c r="X270" s="59">
        <v>-7.7587000000000003E-2</v>
      </c>
      <c r="Y270" s="60">
        <v>1.1944760000000001</v>
      </c>
      <c r="Z270" s="59">
        <v>4.1887939999999997</v>
      </c>
      <c r="AA270" s="60">
        <v>0.70183200000000001</v>
      </c>
      <c r="AB270" s="59">
        <v>-9.4668000000000002E-2</v>
      </c>
      <c r="AC270" s="60">
        <v>1.4355659999999999</v>
      </c>
      <c r="AD270" s="59">
        <v>0.520764</v>
      </c>
      <c r="AE270" s="60">
        <v>1.0616730000000001</v>
      </c>
      <c r="AF270" s="59">
        <v>-0.64147699999999996</v>
      </c>
      <c r="AG270" s="60">
        <v>0.69475299999999995</v>
      </c>
      <c r="AH270" s="59">
        <v>6.2408999999999999E-2</v>
      </c>
      <c r="AI270" s="60">
        <v>0.36743599999999998</v>
      </c>
      <c r="AJ270" s="59">
        <v>0.66244199999999998</v>
      </c>
      <c r="AK270" s="60">
        <v>0.71370699999999998</v>
      </c>
      <c r="AL270" s="59">
        <v>2.6644199999999998</v>
      </c>
      <c r="AM270" s="60">
        <v>0.65896200000000005</v>
      </c>
      <c r="AN270" s="59">
        <v>-0.28270499999999998</v>
      </c>
      <c r="AO270" s="60">
        <v>0.465443</v>
      </c>
      <c r="AP270" s="59">
        <v>0.47310200000000002</v>
      </c>
      <c r="AQ270" s="60">
        <v>0.17960799999999999</v>
      </c>
      <c r="AR270" s="59">
        <v>-0.1487</v>
      </c>
      <c r="AS270" s="60">
        <v>0.68956399999999995</v>
      </c>
      <c r="AT270" s="59">
        <v>0.73083799999999999</v>
      </c>
      <c r="AU270" s="60">
        <v>0.392733</v>
      </c>
      <c r="AV270" s="59">
        <v>-1.5195129999999999</v>
      </c>
      <c r="AW270" s="60">
        <v>0.47652499999999998</v>
      </c>
      <c r="AX270" s="59">
        <v>0.196851</v>
      </c>
      <c r="AY270" s="60">
        <v>1.8</v>
      </c>
      <c r="AZ270" s="59">
        <v>1.158015</v>
      </c>
      <c r="BA270" s="60">
        <v>1.180509</v>
      </c>
      <c r="BB270" s="59">
        <v>0.46363700000000002</v>
      </c>
      <c r="BC270" s="60">
        <v>-4.8849999999999996E-3</v>
      </c>
      <c r="BD270" s="59">
        <v>2.445703</v>
      </c>
      <c r="BE270" s="60">
        <v>-0.39007999999999998</v>
      </c>
    </row>
    <row r="271" spans="1:57" x14ac:dyDescent="0.35">
      <c r="A271" s="240"/>
      <c r="B271" s="240"/>
      <c r="C271" s="58" t="s">
        <v>447</v>
      </c>
      <c r="D271" s="59">
        <v>0.54290300000000002</v>
      </c>
      <c r="E271" s="60">
        <v>6.5050000000000004E-3</v>
      </c>
      <c r="F271" s="59">
        <v>0.26426100000000002</v>
      </c>
      <c r="G271" s="60">
        <v>0.91332899999999995</v>
      </c>
      <c r="H271" s="59">
        <v>0.34545599999999999</v>
      </c>
      <c r="I271" s="60">
        <v>0.42271700000000001</v>
      </c>
      <c r="J271" s="59">
        <v>1.0465390000000001</v>
      </c>
      <c r="K271" s="60">
        <v>-7.2442000000000006E-2</v>
      </c>
      <c r="L271" s="59">
        <v>0.43303000000000003</v>
      </c>
      <c r="M271" s="60">
        <v>0.15604599999999999</v>
      </c>
      <c r="N271" s="59">
        <v>7.4409000000000003E-2</v>
      </c>
      <c r="O271" s="60">
        <v>1.0175E-2</v>
      </c>
      <c r="P271" s="59">
        <v>-0.18130599999999999</v>
      </c>
      <c r="Q271" s="60">
        <v>1.2593890000000001</v>
      </c>
      <c r="R271" s="59">
        <v>2.1395729999999999</v>
      </c>
      <c r="S271" s="60">
        <v>2.9852270000000001</v>
      </c>
      <c r="T271" s="59">
        <v>1.0353509999999999</v>
      </c>
      <c r="U271" s="60">
        <v>-6.0610000000000004E-3</v>
      </c>
      <c r="V271" s="59">
        <v>-1.919994</v>
      </c>
      <c r="W271" s="60">
        <v>0.85018400000000005</v>
      </c>
      <c r="X271" s="59">
        <v>0.62129900000000005</v>
      </c>
      <c r="Y271" s="60">
        <v>0.60006099999999996</v>
      </c>
      <c r="Z271" s="59">
        <v>-1.9465079999999999</v>
      </c>
      <c r="AA271" s="60">
        <v>1.217222</v>
      </c>
      <c r="AB271" s="59">
        <v>0.58494599999999997</v>
      </c>
      <c r="AC271" s="60">
        <v>0.46507599999999999</v>
      </c>
      <c r="AD271" s="59">
        <v>0.73908200000000002</v>
      </c>
      <c r="AE271" s="60">
        <v>1.1240810000000001</v>
      </c>
      <c r="AF271" s="59">
        <v>0.332675</v>
      </c>
      <c r="AG271" s="60">
        <v>0.74551999999999996</v>
      </c>
      <c r="AH271" s="59">
        <v>0.86603200000000002</v>
      </c>
      <c r="AI271" s="60">
        <v>0.46335199999999999</v>
      </c>
      <c r="AJ271" s="59">
        <v>0.88355799999999995</v>
      </c>
      <c r="AK271" s="60">
        <v>0.617483</v>
      </c>
      <c r="AL271" s="59">
        <v>-1.549806</v>
      </c>
      <c r="AM271" s="60">
        <v>0.65570399999999995</v>
      </c>
      <c r="AN271" s="59">
        <v>1.3536809999999999</v>
      </c>
      <c r="AO271" s="60">
        <v>0.17425399999999999</v>
      </c>
      <c r="AP271" s="59">
        <v>0.25781700000000002</v>
      </c>
      <c r="AQ271" s="60">
        <v>0.47796300000000003</v>
      </c>
      <c r="AR271" s="59">
        <v>1.3060339999999999</v>
      </c>
      <c r="AS271" s="60">
        <v>0.19969899999999999</v>
      </c>
      <c r="AT271" s="59">
        <v>0.78476999999999997</v>
      </c>
      <c r="AU271" s="60">
        <v>0.47745100000000001</v>
      </c>
      <c r="AV271" s="59">
        <v>-0.65961000000000003</v>
      </c>
      <c r="AW271" s="60">
        <v>-1.2303550000000001</v>
      </c>
      <c r="AX271" s="59">
        <v>0.86930200000000002</v>
      </c>
      <c r="AY271" s="60">
        <v>1.8</v>
      </c>
      <c r="AZ271" s="59">
        <v>2.2881879999999999</v>
      </c>
      <c r="BA271" s="60">
        <v>1.2476119999999999</v>
      </c>
      <c r="BB271" s="59">
        <v>0.47670200000000001</v>
      </c>
      <c r="BC271" s="60">
        <v>0.48345199999999999</v>
      </c>
      <c r="BD271" s="59">
        <v>-0.53163700000000003</v>
      </c>
      <c r="BE271" s="60">
        <v>0.244204</v>
      </c>
    </row>
    <row r="272" spans="1:57" x14ac:dyDescent="0.35">
      <c r="A272" s="240"/>
      <c r="B272" s="240"/>
      <c r="C272" s="58" t="s">
        <v>448</v>
      </c>
      <c r="D272" s="59">
        <v>0.47857899999999998</v>
      </c>
      <c r="E272" s="60">
        <v>0.21470500000000001</v>
      </c>
      <c r="F272" s="59">
        <v>0.68939700000000004</v>
      </c>
      <c r="G272" s="60">
        <v>0.95905099999999999</v>
      </c>
      <c r="H272" s="59">
        <v>0.110164</v>
      </c>
      <c r="I272" s="60">
        <v>0.60665899999999995</v>
      </c>
      <c r="J272" s="59">
        <v>1.1865410000000001</v>
      </c>
      <c r="K272" s="60">
        <v>1.673875</v>
      </c>
      <c r="L272" s="59">
        <v>1.253271</v>
      </c>
      <c r="M272" s="60">
        <v>0.61894400000000005</v>
      </c>
      <c r="N272" s="59">
        <v>0.42525200000000002</v>
      </c>
      <c r="O272" s="60">
        <v>0.48864800000000003</v>
      </c>
      <c r="P272" s="59">
        <v>1.2931109999999999</v>
      </c>
      <c r="Q272" s="60">
        <v>0.882629</v>
      </c>
      <c r="R272" s="59">
        <v>3.1904849999999998</v>
      </c>
      <c r="S272" s="60">
        <v>1.255058</v>
      </c>
      <c r="T272" s="59">
        <v>0.44803500000000002</v>
      </c>
      <c r="U272" s="60">
        <v>0.14166300000000001</v>
      </c>
      <c r="V272" s="59">
        <v>9.0879000000000001E-2</v>
      </c>
      <c r="W272" s="60">
        <v>0.307228</v>
      </c>
      <c r="X272" s="59">
        <v>0.49899399999999999</v>
      </c>
      <c r="Y272" s="60">
        <v>0.11611100000000001</v>
      </c>
      <c r="Z272" s="59">
        <v>2.1353149999999999</v>
      </c>
      <c r="AA272" s="60">
        <v>0.34619899999999998</v>
      </c>
      <c r="AB272" s="59">
        <v>0.24979199999999999</v>
      </c>
      <c r="AC272" s="60">
        <v>1.2348749999999999</v>
      </c>
      <c r="AD272" s="59">
        <v>0.42036699999999999</v>
      </c>
      <c r="AE272" s="60">
        <v>0.83191899999999996</v>
      </c>
      <c r="AF272" s="59">
        <v>9.3387999999999999E-2</v>
      </c>
      <c r="AG272" s="60">
        <v>0.908883</v>
      </c>
      <c r="AH272" s="59">
        <v>0.59488399999999997</v>
      </c>
      <c r="AI272" s="60">
        <v>0.740035</v>
      </c>
      <c r="AJ272" s="59">
        <v>0.67392200000000002</v>
      </c>
      <c r="AK272" s="60">
        <v>0.76775300000000002</v>
      </c>
      <c r="AL272" s="59">
        <v>2.3568370000000001</v>
      </c>
      <c r="AM272" s="60">
        <v>0.57595300000000005</v>
      </c>
      <c r="AN272" s="59">
        <v>1.2209319999999999</v>
      </c>
      <c r="AO272" s="60">
        <v>0.47115400000000002</v>
      </c>
      <c r="AP272" s="59">
        <v>0.54037800000000002</v>
      </c>
      <c r="AQ272" s="60">
        <v>0.79397499999999999</v>
      </c>
      <c r="AR272" s="59">
        <v>1.1119410000000001</v>
      </c>
      <c r="AS272" s="60">
        <v>0.70225199999999999</v>
      </c>
      <c r="AT272" s="59">
        <v>0.98276399999999997</v>
      </c>
      <c r="AU272" s="60">
        <v>0.78624300000000003</v>
      </c>
      <c r="AV272" s="59">
        <v>-0.80818199999999996</v>
      </c>
      <c r="AW272" s="60">
        <v>0.19178000000000001</v>
      </c>
      <c r="AX272" s="59">
        <v>0.57617600000000002</v>
      </c>
      <c r="AY272" s="60">
        <v>1.8</v>
      </c>
      <c r="AZ272" s="59">
        <v>1.826176</v>
      </c>
      <c r="BA272" s="60">
        <v>1.164927</v>
      </c>
      <c r="BB272" s="59">
        <v>1.3889009999999999</v>
      </c>
      <c r="BC272" s="60">
        <v>-0.31755499999999998</v>
      </c>
      <c r="BD272" s="59">
        <v>0.65049400000000002</v>
      </c>
      <c r="BE272" s="60">
        <v>0.63747399999999999</v>
      </c>
    </row>
    <row r="273" spans="1:57" x14ac:dyDescent="0.35">
      <c r="A273" s="240"/>
      <c r="B273" s="240"/>
      <c r="C273" s="58" t="s">
        <v>449</v>
      </c>
      <c r="D273" s="59">
        <v>0.37674600000000003</v>
      </c>
      <c r="E273" s="60">
        <v>0.27383800000000003</v>
      </c>
      <c r="F273" s="59">
        <v>0.52058899999999997</v>
      </c>
      <c r="G273" s="60">
        <v>0.69197600000000004</v>
      </c>
      <c r="H273" s="59">
        <v>1.2977179999999999</v>
      </c>
      <c r="I273" s="60">
        <v>1.129615</v>
      </c>
      <c r="J273" s="59">
        <v>1.2306600000000001</v>
      </c>
      <c r="K273" s="60">
        <v>0.35869299999999998</v>
      </c>
      <c r="L273" s="59">
        <v>1.5192829999999999</v>
      </c>
      <c r="M273" s="60">
        <v>-0.18878300000000001</v>
      </c>
      <c r="N273" s="59">
        <v>0.12915099999999999</v>
      </c>
      <c r="O273" s="60">
        <v>0.83072400000000002</v>
      </c>
      <c r="P273" s="59">
        <v>-1.1122380000000001</v>
      </c>
      <c r="Q273" s="60">
        <v>0.62715799999999999</v>
      </c>
      <c r="R273" s="59">
        <v>0.37824200000000002</v>
      </c>
      <c r="S273" s="60">
        <v>9.2550999999999994E-2</v>
      </c>
      <c r="T273" s="59">
        <v>1.5368889999999999</v>
      </c>
      <c r="U273" s="60">
        <v>-0.20899599999999999</v>
      </c>
      <c r="V273" s="59">
        <v>0.499222</v>
      </c>
      <c r="W273" s="60">
        <v>0.44720900000000002</v>
      </c>
      <c r="X273" s="59">
        <v>0.68646600000000002</v>
      </c>
      <c r="Y273" s="60">
        <v>0.24623999999999999</v>
      </c>
      <c r="Z273" s="59">
        <v>0.79435500000000003</v>
      </c>
      <c r="AA273" s="60">
        <v>1.092201</v>
      </c>
      <c r="AB273" s="59">
        <v>0.89607099999999995</v>
      </c>
      <c r="AC273" s="60">
        <v>1.4789220000000001</v>
      </c>
      <c r="AD273" s="59">
        <v>1.222445</v>
      </c>
      <c r="AE273" s="60">
        <v>0.60808200000000001</v>
      </c>
      <c r="AF273" s="59">
        <v>0.80738399999999999</v>
      </c>
      <c r="AG273" s="60">
        <v>1.028052</v>
      </c>
      <c r="AH273" s="59">
        <v>0.13208600000000001</v>
      </c>
      <c r="AI273" s="60">
        <v>0.85837699999999995</v>
      </c>
      <c r="AJ273" s="59">
        <v>0.86065800000000003</v>
      </c>
      <c r="AK273" s="60">
        <v>0.83217699999999994</v>
      </c>
      <c r="AL273" s="59">
        <v>1.494893</v>
      </c>
      <c r="AM273" s="60">
        <v>0.55931299999999995</v>
      </c>
      <c r="AN273" s="59">
        <v>0.56279400000000002</v>
      </c>
      <c r="AO273" s="60">
        <v>0.42702800000000002</v>
      </c>
      <c r="AP273" s="59">
        <v>0.47070099999999998</v>
      </c>
      <c r="AQ273" s="60">
        <v>0.50702499999999995</v>
      </c>
      <c r="AR273" s="59">
        <v>0.62609700000000001</v>
      </c>
      <c r="AS273" s="60">
        <v>0.58726999999999996</v>
      </c>
      <c r="AT273" s="59">
        <v>0.85004599999999997</v>
      </c>
      <c r="AU273" s="60">
        <v>0.60472099999999995</v>
      </c>
      <c r="AV273" s="59">
        <v>0.52363700000000002</v>
      </c>
      <c r="AW273" s="60">
        <v>0.42372100000000001</v>
      </c>
      <c r="AX273" s="59">
        <v>1.080756</v>
      </c>
      <c r="AY273" s="60">
        <v>1.7</v>
      </c>
      <c r="AZ273" s="59">
        <v>1.536205</v>
      </c>
      <c r="BA273" s="60">
        <v>1.1457520000000001</v>
      </c>
      <c r="BB273" s="59">
        <v>0.83696700000000002</v>
      </c>
      <c r="BC273" s="60">
        <v>-0.239121</v>
      </c>
      <c r="BD273" s="59">
        <v>-2.0483999999999999E-2</v>
      </c>
      <c r="BE273" s="60">
        <v>1.086025</v>
      </c>
    </row>
    <row r="274" spans="1:57" x14ac:dyDescent="0.35">
      <c r="A274" s="240"/>
      <c r="B274" s="240"/>
      <c r="C274" s="58" t="s">
        <v>450</v>
      </c>
      <c r="D274" s="59">
        <v>0.84819900000000004</v>
      </c>
      <c r="E274" s="60">
        <v>-9.8170999999999994E-2</v>
      </c>
      <c r="F274" s="59">
        <v>0.51692099999999996</v>
      </c>
      <c r="G274" s="60">
        <v>-0.54951899999999998</v>
      </c>
      <c r="H274" s="59">
        <v>9.2447000000000001E-2</v>
      </c>
      <c r="I274" s="60">
        <v>0.78358300000000003</v>
      </c>
      <c r="J274" s="59">
        <v>1.7877190000000001</v>
      </c>
      <c r="K274" s="60">
        <v>0.68467999999999996</v>
      </c>
      <c r="L274" s="59">
        <v>-1.1979299999999999</v>
      </c>
      <c r="M274" s="60">
        <v>-0.80969100000000005</v>
      </c>
      <c r="N274" s="59">
        <v>0.52353499999999997</v>
      </c>
      <c r="O274" s="60">
        <v>-0.504853</v>
      </c>
      <c r="P274" s="59">
        <v>0.37526399999999999</v>
      </c>
      <c r="Q274" s="60">
        <v>1.7119789999999999</v>
      </c>
      <c r="R274" s="59">
        <v>-1.8502959999999999</v>
      </c>
      <c r="S274" s="60">
        <v>23.681851999999999</v>
      </c>
      <c r="T274" s="59">
        <v>0.27869899999999997</v>
      </c>
      <c r="U274" s="60">
        <v>0.20863000000000001</v>
      </c>
      <c r="V274" s="59">
        <v>1.371229</v>
      </c>
      <c r="W274" s="60">
        <v>0.85708700000000004</v>
      </c>
      <c r="X274" s="59">
        <v>0.73477899999999996</v>
      </c>
      <c r="Y274" s="60">
        <v>0.812697</v>
      </c>
      <c r="Z274" s="59">
        <v>2.9120189999999999</v>
      </c>
      <c r="AA274" s="60">
        <v>0.56606999999999996</v>
      </c>
      <c r="AB274" s="59">
        <v>0.59555100000000005</v>
      </c>
      <c r="AC274" s="60">
        <v>0.31645699999999999</v>
      </c>
      <c r="AD274" s="59">
        <v>-0.25673899999999999</v>
      </c>
      <c r="AE274" s="60">
        <v>1.2163349999999999</v>
      </c>
      <c r="AF274" s="59">
        <v>0.64372499999999999</v>
      </c>
      <c r="AG274" s="60">
        <v>1.698199</v>
      </c>
      <c r="AH274" s="59">
        <v>0.48211900000000002</v>
      </c>
      <c r="AI274" s="60">
        <v>1.147594</v>
      </c>
      <c r="AJ274" s="59">
        <v>1.35541</v>
      </c>
      <c r="AK274" s="60">
        <v>-0.296761</v>
      </c>
      <c r="AL274" s="59">
        <v>1.858967</v>
      </c>
      <c r="AM274" s="60">
        <v>0.52676400000000001</v>
      </c>
      <c r="AN274" s="59">
        <v>0.94915499999999997</v>
      </c>
      <c r="AO274" s="60">
        <v>0.75757200000000002</v>
      </c>
      <c r="AP274" s="59">
        <v>0.82111699999999999</v>
      </c>
      <c r="AQ274" s="60">
        <v>0.67761700000000002</v>
      </c>
      <c r="AR274" s="59">
        <v>0.79632999999999998</v>
      </c>
      <c r="AS274" s="60">
        <v>0.77758499999999997</v>
      </c>
      <c r="AT274" s="59">
        <v>0.95521999999999996</v>
      </c>
      <c r="AU274" s="60">
        <v>0.83981799999999995</v>
      </c>
      <c r="AV274" s="59">
        <v>1.5042610000000001</v>
      </c>
      <c r="AW274" s="60">
        <v>-1.1626179999999999</v>
      </c>
      <c r="AX274" s="59">
        <v>1.1040099999999999</v>
      </c>
      <c r="AY274" s="60">
        <v>1.9</v>
      </c>
      <c r="AZ274" s="59">
        <v>1.6884440000000001</v>
      </c>
      <c r="BA274" s="60">
        <v>1.225317</v>
      </c>
      <c r="BB274" s="59">
        <v>1.12401</v>
      </c>
      <c r="BC274" s="60">
        <v>-1.023204</v>
      </c>
      <c r="BD274" s="59">
        <v>2.5263969999999998</v>
      </c>
      <c r="BE274" s="60">
        <v>0.42524099999999998</v>
      </c>
    </row>
    <row r="275" spans="1:57" x14ac:dyDescent="0.35">
      <c r="A275" s="240"/>
      <c r="B275" s="240"/>
      <c r="C275" s="58" t="s">
        <v>451</v>
      </c>
      <c r="D275" s="59">
        <v>0.13283600000000001</v>
      </c>
      <c r="E275" s="60">
        <v>0.66196299999999997</v>
      </c>
      <c r="F275" s="59">
        <v>0.668929</v>
      </c>
      <c r="G275" s="60">
        <v>-0.27217200000000003</v>
      </c>
      <c r="H275" s="59">
        <v>1.0339149999999999</v>
      </c>
      <c r="I275" s="60">
        <v>0.37382399999999999</v>
      </c>
      <c r="J275" s="59">
        <v>1.4339729999999999</v>
      </c>
      <c r="K275" s="60">
        <v>0.46777299999999999</v>
      </c>
      <c r="L275" s="59">
        <v>1.761379</v>
      </c>
      <c r="M275" s="60">
        <v>1.169816</v>
      </c>
      <c r="N275" s="59">
        <v>-3.3737000000000003E-2</v>
      </c>
      <c r="O275" s="60">
        <v>0.71694999999999998</v>
      </c>
      <c r="P275" s="59">
        <v>5.5803999999999999E-2</v>
      </c>
      <c r="Q275" s="60">
        <v>0.25059599999999999</v>
      </c>
      <c r="R275" s="59">
        <v>5.9001710000000003</v>
      </c>
      <c r="S275" s="60">
        <v>-2.447543</v>
      </c>
      <c r="T275" s="59">
        <v>0.119431</v>
      </c>
      <c r="U275" s="60">
        <v>0.39891199999999999</v>
      </c>
      <c r="V275" s="59">
        <v>0.110138</v>
      </c>
      <c r="W275" s="60">
        <v>0.40724500000000002</v>
      </c>
      <c r="X275" s="59">
        <v>1.4412370000000001</v>
      </c>
      <c r="Y275" s="60">
        <v>0.77940299999999996</v>
      </c>
      <c r="Z275" s="59">
        <v>0.39980500000000002</v>
      </c>
      <c r="AA275" s="60">
        <v>1.153762</v>
      </c>
      <c r="AB275" s="59">
        <v>0.30968000000000001</v>
      </c>
      <c r="AC275" s="60">
        <v>0.79368300000000003</v>
      </c>
      <c r="AD275" s="59">
        <v>0.53006799999999998</v>
      </c>
      <c r="AE275" s="60">
        <v>0.68696500000000005</v>
      </c>
      <c r="AF275" s="59">
        <v>0.29879899999999998</v>
      </c>
      <c r="AG275" s="60">
        <v>1.1763870000000001</v>
      </c>
      <c r="AH275" s="59">
        <v>0.69294</v>
      </c>
      <c r="AI275" s="60">
        <v>1.0727770000000001</v>
      </c>
      <c r="AJ275" s="59">
        <v>1.0023070000000001</v>
      </c>
      <c r="AK275" s="60">
        <v>-1.0189999999999999E-2</v>
      </c>
      <c r="AL275" s="59">
        <v>1.498102</v>
      </c>
      <c r="AM275" s="60">
        <v>0.71310700000000005</v>
      </c>
      <c r="AN275" s="59">
        <v>0.67661300000000002</v>
      </c>
      <c r="AO275" s="60">
        <v>0.40557500000000002</v>
      </c>
      <c r="AP275" s="59">
        <v>0.45378499999999999</v>
      </c>
      <c r="AQ275" s="60">
        <v>0.49132900000000002</v>
      </c>
      <c r="AR275" s="59">
        <v>0.65403699999999998</v>
      </c>
      <c r="AS275" s="60">
        <v>0.61155800000000005</v>
      </c>
      <c r="AT275" s="59">
        <v>0.82325599999999999</v>
      </c>
      <c r="AU275" s="60">
        <v>0.56266000000000005</v>
      </c>
      <c r="AV275" s="59">
        <v>2.2736519999999998</v>
      </c>
      <c r="AW275" s="60">
        <v>-2.1427870000000002</v>
      </c>
      <c r="AX275" s="59">
        <v>0.85121199999999997</v>
      </c>
      <c r="AY275" s="60">
        <v>1.8</v>
      </c>
      <c r="AZ275" s="59">
        <v>2.147872</v>
      </c>
      <c r="BA275" s="60">
        <v>1.1570780000000001</v>
      </c>
      <c r="BB275" s="59">
        <v>0.26977200000000001</v>
      </c>
      <c r="BC275" s="60">
        <v>-0.67361099999999996</v>
      </c>
      <c r="BD275" s="59">
        <v>1.912358</v>
      </c>
      <c r="BE275" s="60">
        <v>-0.591144</v>
      </c>
    </row>
    <row r="276" spans="1:57" x14ac:dyDescent="0.35">
      <c r="A276" s="240"/>
      <c r="B276" s="240"/>
      <c r="C276" s="58" t="s">
        <v>452</v>
      </c>
      <c r="D276" s="59">
        <v>1.077574</v>
      </c>
      <c r="E276" s="60">
        <v>0.47648200000000002</v>
      </c>
      <c r="F276" s="59">
        <v>0.189167</v>
      </c>
      <c r="G276" s="60">
        <v>0.35370200000000002</v>
      </c>
      <c r="H276" s="59">
        <v>-4.0195000000000002E-2</v>
      </c>
      <c r="I276" s="60">
        <v>1.429489</v>
      </c>
      <c r="J276" s="59">
        <v>1.1102259999999999</v>
      </c>
      <c r="K276" s="60">
        <v>0.301653</v>
      </c>
      <c r="L276" s="59">
        <v>0.71898799999999996</v>
      </c>
      <c r="M276" s="60">
        <v>0.21177499999999999</v>
      </c>
      <c r="N276" s="59">
        <v>0.34523300000000001</v>
      </c>
      <c r="O276" s="60">
        <v>0.43111899999999997</v>
      </c>
      <c r="P276" s="59">
        <v>-1.9637370000000001</v>
      </c>
      <c r="Q276" s="60">
        <v>0.71743699999999999</v>
      </c>
      <c r="R276" s="59">
        <v>-1.2051620000000001</v>
      </c>
      <c r="S276" s="60">
        <v>3.3235980000000001</v>
      </c>
      <c r="T276" s="59">
        <v>0.19772300000000001</v>
      </c>
      <c r="U276" s="60">
        <v>0.22875000000000001</v>
      </c>
      <c r="V276" s="59">
        <v>-6.1853999999999999E-2</v>
      </c>
      <c r="W276" s="60">
        <v>1.4689989999999999</v>
      </c>
      <c r="X276" s="59">
        <v>0.95805399999999996</v>
      </c>
      <c r="Y276" s="60">
        <v>0.44423000000000001</v>
      </c>
      <c r="Z276" s="59">
        <v>-1.0040150000000001</v>
      </c>
      <c r="AA276" s="60">
        <v>1.198499</v>
      </c>
      <c r="AB276" s="59">
        <v>0.342862</v>
      </c>
      <c r="AC276" s="60">
        <v>0.97004999999999997</v>
      </c>
      <c r="AD276" s="59">
        <v>1.1717740000000001</v>
      </c>
      <c r="AE276" s="60">
        <v>1.146474</v>
      </c>
      <c r="AF276" s="59">
        <v>0.116212</v>
      </c>
      <c r="AG276" s="60">
        <v>1.120798</v>
      </c>
      <c r="AH276" s="59">
        <v>0.58412900000000001</v>
      </c>
      <c r="AI276" s="60">
        <v>0.91003000000000001</v>
      </c>
      <c r="AJ276" s="59">
        <v>1.3251390000000001</v>
      </c>
      <c r="AK276" s="60">
        <v>0.63114700000000001</v>
      </c>
      <c r="AL276" s="59">
        <v>1.180777</v>
      </c>
      <c r="AM276" s="60">
        <v>0.42999500000000002</v>
      </c>
      <c r="AN276" s="59">
        <v>0.36260399999999998</v>
      </c>
      <c r="AO276" s="60">
        <v>0.43793700000000002</v>
      </c>
      <c r="AP276" s="59">
        <v>0.52598599999999995</v>
      </c>
      <c r="AQ276" s="60">
        <v>0.30583199999999999</v>
      </c>
      <c r="AR276" s="59">
        <v>0.44736399999999998</v>
      </c>
      <c r="AS276" s="60">
        <v>0.579044</v>
      </c>
      <c r="AT276" s="59">
        <v>0.74337299999999995</v>
      </c>
      <c r="AU276" s="60">
        <v>0.51119199999999998</v>
      </c>
      <c r="AV276" s="59">
        <v>-6.9582000000000005E-2</v>
      </c>
      <c r="AW276" s="60">
        <v>-1.4466920000000001</v>
      </c>
      <c r="AX276" s="59">
        <v>1.2504759999999999</v>
      </c>
      <c r="AY276" s="60">
        <v>1.7</v>
      </c>
      <c r="AZ276" s="59">
        <v>1.846201</v>
      </c>
      <c r="BA276" s="60">
        <v>1.2401</v>
      </c>
      <c r="BB276" s="59">
        <v>1.592808</v>
      </c>
      <c r="BC276" s="60">
        <v>0.19348699999999999</v>
      </c>
      <c r="BD276" s="59">
        <v>-5.8540000000000002E-2</v>
      </c>
      <c r="BE276" s="60">
        <v>-1.0030000000000001E-2</v>
      </c>
    </row>
    <row r="277" spans="1:57" x14ac:dyDescent="0.35">
      <c r="A277" s="240"/>
      <c r="B277" s="240"/>
      <c r="C277" s="58" t="s">
        <v>453</v>
      </c>
      <c r="D277" s="59">
        <v>0.57518000000000002</v>
      </c>
      <c r="E277" s="60">
        <v>8.4555000000000005E-2</v>
      </c>
      <c r="F277" s="59">
        <v>0.41691400000000001</v>
      </c>
      <c r="G277" s="60">
        <v>7.4876999999999999E-2</v>
      </c>
      <c r="H277" s="59">
        <v>1.122214</v>
      </c>
      <c r="I277" s="60">
        <v>-0.425817</v>
      </c>
      <c r="J277" s="59">
        <v>0.65142500000000003</v>
      </c>
      <c r="K277" s="60">
        <v>0.222825</v>
      </c>
      <c r="L277" s="59">
        <v>-0.468949</v>
      </c>
      <c r="M277" s="60">
        <v>0.68258700000000005</v>
      </c>
      <c r="N277" s="59">
        <v>0.113579</v>
      </c>
      <c r="O277" s="60">
        <v>0.46920200000000001</v>
      </c>
      <c r="P277" s="59">
        <v>1.257727</v>
      </c>
      <c r="Q277" s="60">
        <v>1.061259</v>
      </c>
      <c r="R277" s="59">
        <v>1.7275419999999999</v>
      </c>
      <c r="S277" s="60">
        <v>-8.8946999999999998E-2</v>
      </c>
      <c r="T277" s="59">
        <v>0.89344599999999996</v>
      </c>
      <c r="U277" s="60">
        <v>0.489311</v>
      </c>
      <c r="V277" s="59">
        <v>-0.378272</v>
      </c>
      <c r="W277" s="60">
        <v>0.720414</v>
      </c>
      <c r="X277" s="59">
        <v>-0.41137499999999999</v>
      </c>
      <c r="Y277" s="60">
        <v>0.236454</v>
      </c>
      <c r="Z277" s="59">
        <v>1.615602</v>
      </c>
      <c r="AA277" s="60">
        <v>-0.21656500000000001</v>
      </c>
      <c r="AB277" s="59">
        <v>1.6288E-2</v>
      </c>
      <c r="AC277" s="60">
        <v>0.94464499999999996</v>
      </c>
      <c r="AD277" s="59">
        <v>-0.87807999999999997</v>
      </c>
      <c r="AE277" s="60">
        <v>1.2272860000000001</v>
      </c>
      <c r="AF277" s="59">
        <v>0.48263899999999998</v>
      </c>
      <c r="AG277" s="60">
        <v>0.73948199999999997</v>
      </c>
      <c r="AH277" s="59">
        <v>0.13875199999999999</v>
      </c>
      <c r="AI277" s="60">
        <v>0.96906199999999998</v>
      </c>
      <c r="AJ277" s="59">
        <v>0.73333999999999999</v>
      </c>
      <c r="AK277" s="60">
        <v>0.37175900000000001</v>
      </c>
      <c r="AL277" s="59">
        <v>1.384622</v>
      </c>
      <c r="AM277" s="60">
        <v>0.74743400000000004</v>
      </c>
      <c r="AN277" s="59">
        <v>0.160362</v>
      </c>
      <c r="AO277" s="60">
        <v>0.40776400000000002</v>
      </c>
      <c r="AP277" s="59">
        <v>0.46377699999999999</v>
      </c>
      <c r="AQ277" s="60">
        <v>0.17529600000000001</v>
      </c>
      <c r="AR277" s="59">
        <v>0.115215</v>
      </c>
      <c r="AS277" s="60">
        <v>0.58604699999999998</v>
      </c>
      <c r="AT277" s="59">
        <v>0.64511099999999999</v>
      </c>
      <c r="AU277" s="60">
        <v>0.29979299999999998</v>
      </c>
      <c r="AV277" s="59">
        <v>-1.08684</v>
      </c>
      <c r="AW277" s="60">
        <v>-0.84018400000000004</v>
      </c>
      <c r="AX277" s="59">
        <v>0.80746899999999999</v>
      </c>
      <c r="AY277" s="60">
        <v>1.6</v>
      </c>
      <c r="AZ277" s="59">
        <v>2.0262519999999999</v>
      </c>
      <c r="BA277" s="60">
        <v>1.2883990000000001</v>
      </c>
      <c r="BB277" s="59">
        <v>1.1593249999999999</v>
      </c>
      <c r="BC277" s="60">
        <v>-0.25650800000000001</v>
      </c>
      <c r="BD277" s="59">
        <v>-0.161357</v>
      </c>
      <c r="BE277" s="60">
        <v>0.103074</v>
      </c>
    </row>
    <row r="278" spans="1:57" x14ac:dyDescent="0.35">
      <c r="A278" s="240"/>
      <c r="B278" s="240"/>
      <c r="C278" s="58" t="s">
        <v>454</v>
      </c>
      <c r="D278" s="59">
        <v>0.87798200000000004</v>
      </c>
      <c r="E278" s="60">
        <v>0.81823199999999996</v>
      </c>
      <c r="F278" s="59">
        <v>0.168937</v>
      </c>
      <c r="G278" s="60">
        <v>0.54850100000000002</v>
      </c>
      <c r="H278" s="59">
        <v>0.51439000000000001</v>
      </c>
      <c r="I278" s="60">
        <v>0.79001500000000002</v>
      </c>
      <c r="J278" s="59">
        <v>0.16734299999999999</v>
      </c>
      <c r="K278" s="60">
        <v>1.1520589999999999</v>
      </c>
      <c r="L278" s="59">
        <v>1.12686</v>
      </c>
      <c r="M278" s="60">
        <v>0.38410699999999998</v>
      </c>
      <c r="N278" s="59">
        <v>0.70236200000000004</v>
      </c>
      <c r="O278" s="60">
        <v>0.86699199999999998</v>
      </c>
      <c r="P278" s="59">
        <v>3.245E-2</v>
      </c>
      <c r="Q278" s="60">
        <v>-0.539435</v>
      </c>
      <c r="R278" s="59">
        <v>-1.9862169999999999</v>
      </c>
      <c r="S278" s="60">
        <v>-1.761803</v>
      </c>
      <c r="T278" s="59">
        <v>0.89911300000000005</v>
      </c>
      <c r="U278" s="60">
        <v>0.30642799999999998</v>
      </c>
      <c r="V278" s="59">
        <v>0.50252799999999997</v>
      </c>
      <c r="W278" s="60">
        <v>0.28596199999999999</v>
      </c>
      <c r="X278" s="59">
        <v>1.1559429999999999</v>
      </c>
      <c r="Y278" s="60">
        <v>0.50955099999999998</v>
      </c>
      <c r="Z278" s="59">
        <v>1.1629700000000001</v>
      </c>
      <c r="AA278" s="60">
        <v>0.59078900000000001</v>
      </c>
      <c r="AB278" s="59">
        <v>0.916493</v>
      </c>
      <c r="AC278" s="60">
        <v>1.2289680000000001</v>
      </c>
      <c r="AD278" s="59">
        <v>0.75306700000000004</v>
      </c>
      <c r="AE278" s="60">
        <v>-0.23344699999999999</v>
      </c>
      <c r="AF278" s="59">
        <v>0.46186300000000002</v>
      </c>
      <c r="AG278" s="60">
        <v>0.12856000000000001</v>
      </c>
      <c r="AH278" s="59">
        <v>1.0927579999999999</v>
      </c>
      <c r="AI278" s="60">
        <v>0.677651</v>
      </c>
      <c r="AJ278" s="59">
        <v>5.0818000000000002E-2</v>
      </c>
      <c r="AK278" s="60">
        <v>0.35147600000000001</v>
      </c>
      <c r="AL278" s="59">
        <v>0.474574</v>
      </c>
      <c r="AM278" s="60">
        <v>0.166348</v>
      </c>
      <c r="AN278" s="59">
        <v>0.56641300000000006</v>
      </c>
      <c r="AO278" s="60">
        <v>0.59902100000000003</v>
      </c>
      <c r="AP278" s="59">
        <v>0.55732099999999996</v>
      </c>
      <c r="AQ278" s="60">
        <v>0.55220800000000003</v>
      </c>
      <c r="AR278" s="59">
        <v>0.56785099999999999</v>
      </c>
      <c r="AS278" s="60">
        <v>0.46128400000000003</v>
      </c>
      <c r="AT278" s="59">
        <v>0.85653100000000004</v>
      </c>
      <c r="AU278" s="60">
        <v>0.52035299999999995</v>
      </c>
      <c r="AV278" s="59">
        <v>-0.83193799999999996</v>
      </c>
      <c r="AW278" s="60">
        <v>-0.878714</v>
      </c>
      <c r="AX278" s="59">
        <v>0.99651900000000004</v>
      </c>
      <c r="AY278" s="60">
        <v>1.5</v>
      </c>
      <c r="AZ278" s="59">
        <v>2.874396</v>
      </c>
      <c r="BA278" s="60">
        <v>1.2046399999999999</v>
      </c>
      <c r="BB278" s="59">
        <v>1.1702680000000001</v>
      </c>
      <c r="BC278" s="60">
        <v>0.19011900000000001</v>
      </c>
      <c r="BD278" s="59">
        <v>0.932284</v>
      </c>
      <c r="BE278" s="60">
        <v>-0.245419</v>
      </c>
    </row>
    <row r="279" spans="1:57" x14ac:dyDescent="0.35">
      <c r="A279" s="240"/>
      <c r="B279" s="240"/>
      <c r="C279" s="58" t="s">
        <v>455</v>
      </c>
      <c r="D279" s="59">
        <v>0.707847</v>
      </c>
      <c r="E279" s="60">
        <v>0.42959900000000001</v>
      </c>
      <c r="F279" s="59">
        <v>0.65840900000000002</v>
      </c>
      <c r="G279" s="60">
        <v>-0.49171199999999998</v>
      </c>
      <c r="H279" s="59">
        <v>-0.44693300000000002</v>
      </c>
      <c r="I279" s="60">
        <v>0.44589299999999998</v>
      </c>
      <c r="J279" s="59">
        <v>0.371915</v>
      </c>
      <c r="K279" s="60">
        <v>1.352638</v>
      </c>
      <c r="L279" s="59">
        <v>9.2610000000000001E-3</v>
      </c>
      <c r="M279" s="60">
        <v>0.98900200000000005</v>
      </c>
      <c r="N279" s="59">
        <v>-0.24518799999999999</v>
      </c>
      <c r="O279" s="60">
        <v>0.39405200000000001</v>
      </c>
      <c r="P279" s="59">
        <v>-0.61573199999999995</v>
      </c>
      <c r="Q279" s="60">
        <v>1.3280479999999999</v>
      </c>
      <c r="R279" s="59">
        <v>6.2007399999999997</v>
      </c>
      <c r="S279" s="60">
        <v>0.168099</v>
      </c>
      <c r="T279" s="59">
        <v>1.6450070000000001</v>
      </c>
      <c r="U279" s="60">
        <v>0.18637200000000001</v>
      </c>
      <c r="V279" s="59">
        <v>0.14096500000000001</v>
      </c>
      <c r="W279" s="60">
        <v>1.126822</v>
      </c>
      <c r="X279" s="59">
        <v>-0.63117699999999999</v>
      </c>
      <c r="Y279" s="60">
        <v>0.50229199999999996</v>
      </c>
      <c r="Z279" s="59">
        <v>2.2724769999999999</v>
      </c>
      <c r="AA279" s="60">
        <v>0.38899899999999998</v>
      </c>
      <c r="AB279" s="59">
        <v>0.23283499999999999</v>
      </c>
      <c r="AC279" s="60">
        <v>0.96324299999999996</v>
      </c>
      <c r="AD279" s="59">
        <v>-0.66234700000000002</v>
      </c>
      <c r="AE279" s="60">
        <v>1.2852319999999999</v>
      </c>
      <c r="AF279" s="59">
        <v>0.305508</v>
      </c>
      <c r="AG279" s="60">
        <v>0.28073399999999998</v>
      </c>
      <c r="AH279" s="59">
        <v>1.1287069999999999</v>
      </c>
      <c r="AI279" s="60">
        <v>0.41940899999999998</v>
      </c>
      <c r="AJ279" s="59">
        <v>-6.5208000000000002E-2</v>
      </c>
      <c r="AK279" s="60">
        <v>0.50425299999999995</v>
      </c>
      <c r="AL279" s="59">
        <v>1.133464</v>
      </c>
      <c r="AM279" s="60">
        <v>0.53074399999999999</v>
      </c>
      <c r="AN279" s="59">
        <v>0.31191799999999997</v>
      </c>
      <c r="AO279" s="60">
        <v>0.279053</v>
      </c>
      <c r="AP279" s="59">
        <v>0.35669099999999998</v>
      </c>
      <c r="AQ279" s="60">
        <v>0.22942599999999999</v>
      </c>
      <c r="AR279" s="59">
        <v>0.26183899999999999</v>
      </c>
      <c r="AS279" s="60">
        <v>0.42097000000000001</v>
      </c>
      <c r="AT279" s="59">
        <v>0.77194600000000002</v>
      </c>
      <c r="AU279" s="60">
        <v>0.36299199999999998</v>
      </c>
      <c r="AV279" s="59">
        <v>-1.7467859999999999</v>
      </c>
      <c r="AW279" s="60">
        <v>-7.7092999999999995E-2</v>
      </c>
      <c r="AX279" s="59">
        <v>0.95055699999999999</v>
      </c>
      <c r="AY279" s="60">
        <v>1.8</v>
      </c>
      <c r="AZ279" s="59">
        <v>1.8855150000000001</v>
      </c>
      <c r="BA279" s="60">
        <v>1.2600199999999999</v>
      </c>
      <c r="BB279" s="59">
        <v>1.460917</v>
      </c>
      <c r="BC279" s="60">
        <v>5.3395999999999999E-2</v>
      </c>
      <c r="BD279" s="59">
        <v>0.24037700000000001</v>
      </c>
      <c r="BE279" s="60">
        <v>0.78888000000000003</v>
      </c>
    </row>
    <row r="280" spans="1:57" x14ac:dyDescent="0.35">
      <c r="A280" s="240"/>
      <c r="B280" s="240"/>
      <c r="C280" s="58" t="s">
        <v>456</v>
      </c>
      <c r="D280" s="59">
        <v>0.146704</v>
      </c>
      <c r="E280" s="60">
        <v>0.51932800000000001</v>
      </c>
      <c r="F280" s="59">
        <v>0.220558</v>
      </c>
      <c r="G280" s="60">
        <v>1.0312140000000001</v>
      </c>
      <c r="H280" s="59">
        <v>0.54816299999999996</v>
      </c>
      <c r="I280" s="60">
        <v>0.73208700000000004</v>
      </c>
      <c r="J280" s="59">
        <v>0.73098300000000005</v>
      </c>
      <c r="K280" s="60">
        <v>0.84838199999999997</v>
      </c>
      <c r="L280" s="59">
        <v>1.3558380000000001</v>
      </c>
      <c r="M280" s="60">
        <v>0.75985000000000003</v>
      </c>
      <c r="N280" s="59">
        <v>0.22733300000000001</v>
      </c>
      <c r="O280" s="60">
        <v>0.24531500000000001</v>
      </c>
      <c r="P280" s="59">
        <v>0.31307099999999999</v>
      </c>
      <c r="Q280" s="60">
        <v>0.51247200000000004</v>
      </c>
      <c r="R280" s="59">
        <v>1.8736029999999999</v>
      </c>
      <c r="S280" s="60">
        <v>-6.7885000000000001E-2</v>
      </c>
      <c r="T280" s="59">
        <v>1.2204440000000001</v>
      </c>
      <c r="U280" s="60">
        <v>0.53656999999999999</v>
      </c>
      <c r="V280" s="59">
        <v>0.21313399999999999</v>
      </c>
      <c r="W280" s="60">
        <v>0.44351000000000002</v>
      </c>
      <c r="X280" s="59">
        <v>0.14973</v>
      </c>
      <c r="Y280" s="60">
        <v>1.241843</v>
      </c>
      <c r="Z280" s="59">
        <v>0.99527299999999996</v>
      </c>
      <c r="AA280" s="60">
        <v>0.96948000000000001</v>
      </c>
      <c r="AB280" s="59">
        <v>1.1224320000000001</v>
      </c>
      <c r="AC280" s="60">
        <v>0.91940999999999995</v>
      </c>
      <c r="AD280" s="59">
        <v>-0.86209100000000005</v>
      </c>
      <c r="AE280" s="60">
        <v>0.200819</v>
      </c>
      <c r="AF280" s="59">
        <v>1.174161</v>
      </c>
      <c r="AG280" s="60">
        <v>0.41569600000000001</v>
      </c>
      <c r="AH280" s="59">
        <v>0.97649200000000003</v>
      </c>
      <c r="AI280" s="60">
        <v>0.88707000000000003</v>
      </c>
      <c r="AJ280" s="59">
        <v>0.359684</v>
      </c>
      <c r="AK280" s="60">
        <v>0.57333100000000004</v>
      </c>
      <c r="AL280" s="59">
        <v>-3.081223</v>
      </c>
      <c r="AM280" s="60">
        <v>0.45077</v>
      </c>
      <c r="AN280" s="59">
        <v>0.54439599999999999</v>
      </c>
      <c r="AO280" s="60">
        <v>0.44054500000000002</v>
      </c>
      <c r="AP280" s="59">
        <v>0.445351</v>
      </c>
      <c r="AQ280" s="60">
        <v>0.456208</v>
      </c>
      <c r="AR280" s="59">
        <v>0.62237699999999996</v>
      </c>
      <c r="AS280" s="60">
        <v>0.113066</v>
      </c>
      <c r="AT280" s="59">
        <v>0.72872300000000001</v>
      </c>
      <c r="AU280" s="60">
        <v>0.36280299999999999</v>
      </c>
      <c r="AV280" s="59">
        <v>0.35979</v>
      </c>
      <c r="AW280" s="60">
        <v>-0.69572400000000001</v>
      </c>
      <c r="AX280" s="59">
        <v>0.66570099999999999</v>
      </c>
      <c r="AY280" s="60">
        <v>1.7</v>
      </c>
      <c r="AZ280" s="59">
        <v>1.9879690000000001</v>
      </c>
      <c r="BA280" s="60">
        <v>1.2286760000000001</v>
      </c>
      <c r="BB280" s="59">
        <v>0.37930199999999997</v>
      </c>
      <c r="BC280" s="60">
        <v>0.101379</v>
      </c>
      <c r="BD280" s="59">
        <v>0.11907</v>
      </c>
      <c r="BE280" s="60">
        <v>0.223191</v>
      </c>
    </row>
    <row r="281" spans="1:57" x14ac:dyDescent="0.35">
      <c r="A281" s="240"/>
      <c r="B281" s="240"/>
      <c r="C281" s="58" t="s">
        <v>457</v>
      </c>
      <c r="D281" s="59">
        <v>1.036224</v>
      </c>
      <c r="E281" s="60">
        <v>0.91612700000000002</v>
      </c>
      <c r="F281" s="59">
        <v>0.49303900000000001</v>
      </c>
      <c r="G281" s="60">
        <v>0.56148299999999995</v>
      </c>
      <c r="H281" s="59">
        <v>0.38303900000000002</v>
      </c>
      <c r="I281" s="60">
        <v>0.39450099999999999</v>
      </c>
      <c r="J281" s="59">
        <v>0.86700999999999995</v>
      </c>
      <c r="K281" s="60">
        <v>0.72049700000000005</v>
      </c>
      <c r="L281" s="59">
        <v>1.714332</v>
      </c>
      <c r="M281" s="60">
        <v>0.42945800000000001</v>
      </c>
      <c r="N281" s="59">
        <v>0.58400099999999999</v>
      </c>
      <c r="O281" s="60">
        <v>0.38175100000000001</v>
      </c>
      <c r="P281" s="59">
        <v>0.23519200000000001</v>
      </c>
      <c r="Q281" s="60">
        <v>0.82981300000000002</v>
      </c>
      <c r="R281" s="59">
        <v>3.3323990000000001</v>
      </c>
      <c r="S281" s="60">
        <v>10.968864999999999</v>
      </c>
      <c r="T281" s="59">
        <v>0.97640000000000005</v>
      </c>
      <c r="U281" s="60">
        <v>0.30769800000000003</v>
      </c>
      <c r="V281" s="59">
        <v>0.29310700000000001</v>
      </c>
      <c r="W281" s="60">
        <v>0.76271599999999995</v>
      </c>
      <c r="X281" s="59">
        <v>1.316508</v>
      </c>
      <c r="Y281" s="60">
        <v>1.147381</v>
      </c>
      <c r="Z281" s="59">
        <v>1.324041</v>
      </c>
      <c r="AA281" s="60">
        <v>1.1257550000000001</v>
      </c>
      <c r="AB281" s="59">
        <v>0.84283699999999995</v>
      </c>
      <c r="AC281" s="60">
        <v>0.30456699999999998</v>
      </c>
      <c r="AD281" s="59">
        <v>2.3699840000000001</v>
      </c>
      <c r="AE281" s="60">
        <v>2.2585820000000001</v>
      </c>
      <c r="AF281" s="59">
        <v>0.91756700000000002</v>
      </c>
      <c r="AG281" s="60">
        <v>0.63397000000000003</v>
      </c>
      <c r="AH281" s="59">
        <v>0.785806</v>
      </c>
      <c r="AI281" s="60">
        <v>0.46456700000000001</v>
      </c>
      <c r="AJ281" s="59">
        <v>0.82500899999999999</v>
      </c>
      <c r="AK281" s="60">
        <v>0.37103900000000001</v>
      </c>
      <c r="AL281" s="59">
        <v>5.8157810000000003</v>
      </c>
      <c r="AM281" s="60">
        <v>0.649613</v>
      </c>
      <c r="AN281" s="59">
        <v>0.62929800000000002</v>
      </c>
      <c r="AO281" s="60">
        <v>0.75179099999999999</v>
      </c>
      <c r="AP281" s="59">
        <v>0.82834300000000005</v>
      </c>
      <c r="AQ281" s="60">
        <v>0.53171299999999999</v>
      </c>
      <c r="AR281" s="59">
        <v>0.67502399999999996</v>
      </c>
      <c r="AS281" s="60">
        <v>1.279271</v>
      </c>
      <c r="AT281" s="59">
        <v>1.0174920000000001</v>
      </c>
      <c r="AU281" s="60">
        <v>0.89258800000000005</v>
      </c>
      <c r="AV281" s="59">
        <v>0.68046099999999998</v>
      </c>
      <c r="AW281" s="60">
        <v>-0.55587699999999995</v>
      </c>
      <c r="AX281" s="59">
        <v>1.139378</v>
      </c>
      <c r="AY281" s="60">
        <v>1.6</v>
      </c>
      <c r="AZ281" s="59">
        <v>1.4328149999999999</v>
      </c>
      <c r="BA281" s="60">
        <v>1.204698</v>
      </c>
      <c r="BB281" s="59">
        <v>2.0063789999999999</v>
      </c>
      <c r="BC281" s="60">
        <v>0.81138600000000005</v>
      </c>
      <c r="BD281" s="59">
        <v>0.675987</v>
      </c>
      <c r="BE281" s="60">
        <v>7.4162000000000006E-2</v>
      </c>
    </row>
    <row r="282" spans="1:57" x14ac:dyDescent="0.35">
      <c r="A282" s="240"/>
      <c r="B282" s="240"/>
      <c r="C282" s="58" t="s">
        <v>458</v>
      </c>
      <c r="D282" s="59">
        <v>0.29932700000000001</v>
      </c>
      <c r="E282" s="60">
        <v>0.40700500000000001</v>
      </c>
      <c r="F282" s="59">
        <v>0.75096799999999997</v>
      </c>
      <c r="G282" s="60">
        <v>1.151748</v>
      </c>
      <c r="H282" s="59">
        <v>-0.85252700000000003</v>
      </c>
      <c r="I282" s="60">
        <v>-0.24062</v>
      </c>
      <c r="J282" s="59">
        <v>1.663786</v>
      </c>
      <c r="K282" s="60">
        <v>0.59026900000000004</v>
      </c>
      <c r="L282" s="59">
        <v>1.7018279999999999</v>
      </c>
      <c r="M282" s="60">
        <v>1.614322</v>
      </c>
      <c r="N282" s="59">
        <v>0.81499299999999997</v>
      </c>
      <c r="O282" s="60">
        <v>1.228669</v>
      </c>
      <c r="P282" s="59">
        <v>3.1391000000000002E-2</v>
      </c>
      <c r="Q282" s="60">
        <v>1.4886140000000001</v>
      </c>
      <c r="R282" s="59">
        <v>-3.2523939999999998</v>
      </c>
      <c r="S282" s="60">
        <v>-3.9886789999999999</v>
      </c>
      <c r="T282" s="59">
        <v>6.7636000000000002E-2</v>
      </c>
      <c r="U282" s="60">
        <v>0.576241</v>
      </c>
      <c r="V282" s="59">
        <v>1.1574199999999999</v>
      </c>
      <c r="W282" s="60">
        <v>0.816716</v>
      </c>
      <c r="X282" s="59">
        <v>1.5026600000000001</v>
      </c>
      <c r="Y282" s="60">
        <v>1.162528</v>
      </c>
      <c r="Z282" s="59">
        <v>-1.6007229999999999</v>
      </c>
      <c r="AA282" s="60">
        <v>0.53239999999999998</v>
      </c>
      <c r="AB282" s="59">
        <v>0.50758499999999995</v>
      </c>
      <c r="AC282" s="60">
        <v>0.77982099999999999</v>
      </c>
      <c r="AD282" s="59">
        <v>0.46674399999999999</v>
      </c>
      <c r="AE282" s="60">
        <v>1.0432140000000001</v>
      </c>
      <c r="AF282" s="59">
        <v>1.185818</v>
      </c>
      <c r="AG282" s="60">
        <v>0.82179899999999995</v>
      </c>
      <c r="AH282" s="59">
        <v>1.7348699999999999</v>
      </c>
      <c r="AI282" s="60">
        <v>0.75451100000000004</v>
      </c>
      <c r="AJ282" s="59">
        <v>0.53541499999999997</v>
      </c>
      <c r="AK282" s="60">
        <v>8.0604999999999996E-2</v>
      </c>
      <c r="AL282" s="59">
        <v>1.5180400000000001</v>
      </c>
      <c r="AM282" s="60">
        <v>0.57644600000000001</v>
      </c>
      <c r="AN282" s="59">
        <v>0.56566899999999998</v>
      </c>
      <c r="AO282" s="60">
        <v>0.71760000000000002</v>
      </c>
      <c r="AP282" s="59">
        <v>0.75819199999999998</v>
      </c>
      <c r="AQ282" s="60">
        <v>0.76319700000000001</v>
      </c>
      <c r="AR282" s="59">
        <v>0.60636800000000002</v>
      </c>
      <c r="AS282" s="60">
        <v>0.79252199999999995</v>
      </c>
      <c r="AT282" s="59">
        <v>0.93839099999999998</v>
      </c>
      <c r="AU282" s="60">
        <v>0.71424299999999996</v>
      </c>
      <c r="AV282" s="59">
        <v>1.04261</v>
      </c>
      <c r="AW282" s="60">
        <v>1.6952560000000001</v>
      </c>
      <c r="AX282" s="59">
        <v>0.80752199999999996</v>
      </c>
      <c r="AY282" s="60">
        <v>1.7</v>
      </c>
      <c r="AZ282" s="59">
        <v>1.238499</v>
      </c>
      <c r="BA282" s="60">
        <v>1.2537590000000001</v>
      </c>
      <c r="BB282" s="59">
        <v>2.280116</v>
      </c>
      <c r="BC282" s="60">
        <v>0.26624799999999998</v>
      </c>
      <c r="BD282" s="59">
        <v>-1.695314</v>
      </c>
      <c r="BE282" s="60">
        <v>-6.4320000000000002E-2</v>
      </c>
    </row>
    <row r="283" spans="1:57" x14ac:dyDescent="0.35">
      <c r="A283" s="240"/>
      <c r="B283" s="240"/>
      <c r="C283" s="58" t="s">
        <v>459</v>
      </c>
      <c r="D283" s="59">
        <v>0.65082600000000002</v>
      </c>
      <c r="E283" s="60">
        <v>0.880741</v>
      </c>
      <c r="F283" s="59">
        <v>0.30598399999999998</v>
      </c>
      <c r="G283" s="60">
        <v>1.179154</v>
      </c>
      <c r="H283" s="59">
        <v>0.87302900000000005</v>
      </c>
      <c r="I283" s="60">
        <v>0.69662900000000005</v>
      </c>
      <c r="J283" s="59">
        <v>2.6949800000000002</v>
      </c>
      <c r="K283" s="60">
        <v>0.46539900000000001</v>
      </c>
      <c r="L283" s="59">
        <v>1.5433779999999999</v>
      </c>
      <c r="M283" s="60">
        <v>0.15101500000000001</v>
      </c>
      <c r="N283" s="59">
        <v>0.71400699999999995</v>
      </c>
      <c r="O283" s="60">
        <v>0.65504300000000004</v>
      </c>
      <c r="P283" s="59">
        <v>1.149214</v>
      </c>
      <c r="Q283" s="60">
        <v>1.2248000000000001</v>
      </c>
      <c r="R283" s="59">
        <v>2.039256</v>
      </c>
      <c r="S283" s="60">
        <v>2.122414</v>
      </c>
      <c r="T283" s="59">
        <v>1.1211690000000001</v>
      </c>
      <c r="U283" s="60">
        <v>0.36957699999999999</v>
      </c>
      <c r="V283" s="59">
        <v>0.351385</v>
      </c>
      <c r="W283" s="60">
        <v>0.69175200000000003</v>
      </c>
      <c r="X283" s="59">
        <v>1.122031</v>
      </c>
      <c r="Y283" s="60">
        <v>1.0420849999999999</v>
      </c>
      <c r="Z283" s="59">
        <v>0.44666</v>
      </c>
      <c r="AA283" s="60">
        <v>0.29440100000000002</v>
      </c>
      <c r="AB283" s="59">
        <v>0.88116099999999997</v>
      </c>
      <c r="AC283" s="60">
        <v>1.0820989999999999</v>
      </c>
      <c r="AD283" s="59">
        <v>0.94399200000000005</v>
      </c>
      <c r="AE283" s="60">
        <v>0.96668799999999999</v>
      </c>
      <c r="AF283" s="59">
        <v>0.49681999999999998</v>
      </c>
      <c r="AG283" s="60">
        <v>0.96590600000000004</v>
      </c>
      <c r="AH283" s="59">
        <v>1.3581829999999999</v>
      </c>
      <c r="AI283" s="60">
        <v>1.0277780000000001</v>
      </c>
      <c r="AJ283" s="59">
        <v>1.182483</v>
      </c>
      <c r="AK283" s="60">
        <v>0.64894399999999997</v>
      </c>
      <c r="AL283" s="59">
        <v>1.7166159999999999</v>
      </c>
      <c r="AM283" s="60">
        <v>0.251392</v>
      </c>
      <c r="AN283" s="59">
        <v>0.42694399999999999</v>
      </c>
      <c r="AO283" s="60">
        <v>0.68073700000000004</v>
      </c>
      <c r="AP283" s="59">
        <v>0.75242100000000001</v>
      </c>
      <c r="AQ283" s="60">
        <v>0.48005100000000001</v>
      </c>
      <c r="AR283" s="59">
        <v>0.46867599999999998</v>
      </c>
      <c r="AS283" s="60">
        <v>0.81122000000000005</v>
      </c>
      <c r="AT283" s="59">
        <v>0.96454099999999998</v>
      </c>
      <c r="AU283" s="60">
        <v>0.62498900000000002</v>
      </c>
      <c r="AV283" s="59">
        <v>0.72655899999999995</v>
      </c>
      <c r="AW283" s="60">
        <v>0.47867199999999999</v>
      </c>
      <c r="AX283" s="59">
        <v>0.84873900000000002</v>
      </c>
      <c r="AY283" s="60">
        <v>1.8</v>
      </c>
      <c r="AZ283" s="59">
        <v>1.8944890000000001</v>
      </c>
      <c r="BA283" s="60">
        <v>1.253126</v>
      </c>
      <c r="BB283" s="59">
        <v>1.589127</v>
      </c>
      <c r="BC283" s="60">
        <v>0.62308600000000003</v>
      </c>
      <c r="BD283" s="59">
        <v>0.35464499999999999</v>
      </c>
      <c r="BE283" s="60">
        <v>0.73103300000000004</v>
      </c>
    </row>
    <row r="284" spans="1:57" x14ac:dyDescent="0.35">
      <c r="A284" s="240"/>
      <c r="B284" s="240"/>
      <c r="C284" s="58" t="s">
        <v>460</v>
      </c>
      <c r="D284" s="59">
        <v>0.97400699999999996</v>
      </c>
      <c r="E284" s="60">
        <v>0.73241000000000001</v>
      </c>
      <c r="F284" s="59">
        <v>0.123694</v>
      </c>
      <c r="G284" s="60">
        <v>0.35661700000000002</v>
      </c>
      <c r="H284" s="59">
        <v>1.853575</v>
      </c>
      <c r="I284" s="60">
        <v>0.29568299999999997</v>
      </c>
      <c r="J284" s="59">
        <v>0.51036800000000004</v>
      </c>
      <c r="K284" s="60">
        <v>-0.87554200000000004</v>
      </c>
      <c r="L284" s="59">
        <v>0.62228899999999998</v>
      </c>
      <c r="M284" s="60">
        <v>0.47447699999999998</v>
      </c>
      <c r="N284" s="59">
        <v>0.69377</v>
      </c>
      <c r="O284" s="60">
        <v>0.88046800000000003</v>
      </c>
      <c r="P284" s="59">
        <v>0.428977</v>
      </c>
      <c r="Q284" s="60">
        <v>0.88024599999999997</v>
      </c>
      <c r="R284" s="59">
        <v>1.6838249999999999</v>
      </c>
      <c r="S284" s="60">
        <v>4.9869890000000003</v>
      </c>
      <c r="T284" s="59">
        <v>1.211641</v>
      </c>
      <c r="U284" s="60">
        <v>0.37966</v>
      </c>
      <c r="V284" s="59">
        <v>0.55699500000000002</v>
      </c>
      <c r="W284" s="60">
        <v>1.464971</v>
      </c>
      <c r="X284" s="59">
        <v>0.629776</v>
      </c>
      <c r="Y284" s="60">
        <v>1.0288459999999999</v>
      </c>
      <c r="Z284" s="59">
        <v>1.5653140000000001</v>
      </c>
      <c r="AA284" s="60">
        <v>-0.37541600000000003</v>
      </c>
      <c r="AB284" s="59">
        <v>0.727858</v>
      </c>
      <c r="AC284" s="60">
        <v>0.74506700000000003</v>
      </c>
      <c r="AD284" s="59">
        <v>0.79945200000000005</v>
      </c>
      <c r="AE284" s="60">
        <v>1.1423620000000001</v>
      </c>
      <c r="AF284" s="59">
        <v>0.70637399999999995</v>
      </c>
      <c r="AG284" s="60">
        <v>0.83287500000000003</v>
      </c>
      <c r="AH284" s="59">
        <v>0.80930299999999999</v>
      </c>
      <c r="AI284" s="60">
        <v>0.53286699999999998</v>
      </c>
      <c r="AJ284" s="59">
        <v>1.0902689999999999</v>
      </c>
      <c r="AK284" s="60">
        <v>0.66882399999999997</v>
      </c>
      <c r="AL284" s="59">
        <v>1.736567</v>
      </c>
      <c r="AM284" s="60">
        <v>0.34045999999999998</v>
      </c>
      <c r="AN284" s="59">
        <v>0.72883399999999998</v>
      </c>
      <c r="AO284" s="60">
        <v>0.77118100000000001</v>
      </c>
      <c r="AP284" s="59">
        <v>0.77193599999999996</v>
      </c>
      <c r="AQ284" s="60">
        <v>0.65125299999999997</v>
      </c>
      <c r="AR284" s="59">
        <v>0.58555299999999999</v>
      </c>
      <c r="AS284" s="60">
        <v>0.79996199999999995</v>
      </c>
      <c r="AT284" s="59">
        <v>1.0287269999999999</v>
      </c>
      <c r="AU284" s="60">
        <v>0.72391899999999998</v>
      </c>
      <c r="AV284" s="59">
        <v>1.32725</v>
      </c>
      <c r="AW284" s="60">
        <v>1.01E-4</v>
      </c>
      <c r="AX284" s="59">
        <v>0.82079599999999997</v>
      </c>
      <c r="AY284" s="60">
        <v>1.6</v>
      </c>
      <c r="AZ284" s="59">
        <v>1.924841</v>
      </c>
      <c r="BA284" s="60">
        <v>1.2588029999999999</v>
      </c>
      <c r="BB284" s="59">
        <v>1.946283</v>
      </c>
      <c r="BC284" s="60">
        <v>0.646791</v>
      </c>
      <c r="BD284" s="59">
        <v>0.45316200000000001</v>
      </c>
      <c r="BE284" s="60">
        <v>0.69224600000000003</v>
      </c>
    </row>
    <row r="285" spans="1:57" x14ac:dyDescent="0.35">
      <c r="A285" s="240"/>
      <c r="B285" s="240"/>
      <c r="C285" s="58" t="s">
        <v>461</v>
      </c>
      <c r="D285" s="59">
        <v>0.52436400000000005</v>
      </c>
      <c r="E285" s="60">
        <v>0.44283400000000001</v>
      </c>
      <c r="F285" s="59">
        <v>0.819276</v>
      </c>
      <c r="G285" s="60">
        <v>0.43526100000000001</v>
      </c>
      <c r="H285" s="59">
        <v>0.91117099999999995</v>
      </c>
      <c r="I285" s="60">
        <v>0.60913099999999998</v>
      </c>
      <c r="J285" s="59">
        <v>0.83582299999999998</v>
      </c>
      <c r="K285" s="60">
        <v>0.91236399999999995</v>
      </c>
      <c r="L285" s="59">
        <v>1.2417819999999999</v>
      </c>
      <c r="M285" s="60">
        <v>0.94247099999999995</v>
      </c>
      <c r="N285" s="59">
        <v>0.85636199999999996</v>
      </c>
      <c r="O285" s="60">
        <v>0.83482999999999996</v>
      </c>
      <c r="P285" s="59">
        <v>0.616977</v>
      </c>
      <c r="Q285" s="60">
        <v>1.4150640000000001</v>
      </c>
      <c r="R285" s="59">
        <v>2.306594</v>
      </c>
      <c r="S285" s="60">
        <v>4.021795</v>
      </c>
      <c r="T285" s="59">
        <v>1.0890930000000001</v>
      </c>
      <c r="U285" s="60">
        <v>0.532501</v>
      </c>
      <c r="V285" s="59">
        <v>0.467499</v>
      </c>
      <c r="W285" s="60">
        <v>-7.4981000000000006E-2</v>
      </c>
      <c r="X285" s="59">
        <v>0.56947099999999995</v>
      </c>
      <c r="Y285" s="60">
        <v>0.89670899999999998</v>
      </c>
      <c r="Z285" s="59">
        <v>1.011347</v>
      </c>
      <c r="AA285" s="60">
        <v>1.335331</v>
      </c>
      <c r="AB285" s="59">
        <v>0.791995</v>
      </c>
      <c r="AC285" s="60">
        <v>0.67246899999999998</v>
      </c>
      <c r="AD285" s="59">
        <v>-0.166216</v>
      </c>
      <c r="AE285" s="60">
        <v>1.655545</v>
      </c>
      <c r="AF285" s="59">
        <v>0.80530100000000004</v>
      </c>
      <c r="AG285" s="60">
        <v>1.1692739999999999</v>
      </c>
      <c r="AH285" s="59">
        <v>2.1002589999999999</v>
      </c>
      <c r="AI285" s="60">
        <v>0.68985700000000005</v>
      </c>
      <c r="AJ285" s="59">
        <v>0.15265200000000001</v>
      </c>
      <c r="AK285" s="60">
        <v>1.0337289999999999</v>
      </c>
      <c r="AL285" s="59">
        <v>2.29678</v>
      </c>
      <c r="AM285" s="60">
        <v>0.39922800000000003</v>
      </c>
      <c r="AN285" s="59">
        <v>0.955677</v>
      </c>
      <c r="AO285" s="60">
        <v>0.82763500000000001</v>
      </c>
      <c r="AP285" s="59">
        <v>0.83583799999999997</v>
      </c>
      <c r="AQ285" s="60">
        <v>0.77683899999999995</v>
      </c>
      <c r="AR285" s="59">
        <v>0.95635999999999999</v>
      </c>
      <c r="AS285" s="60">
        <v>0.95041100000000001</v>
      </c>
      <c r="AT285" s="59">
        <v>1.02833</v>
      </c>
      <c r="AU285" s="60">
        <v>0.85884000000000005</v>
      </c>
      <c r="AV285" s="59">
        <v>1.155494</v>
      </c>
      <c r="AW285" s="60">
        <v>0.199684</v>
      </c>
      <c r="AX285" s="59">
        <v>0.71592699999999998</v>
      </c>
      <c r="AY285" s="60">
        <v>1.6</v>
      </c>
      <c r="AZ285" s="59">
        <v>1.9390179999999999</v>
      </c>
      <c r="BA285" s="60">
        <v>1.279164</v>
      </c>
      <c r="BB285" s="59">
        <v>0.76094899999999999</v>
      </c>
      <c r="BC285" s="60">
        <v>2.4400999999999999E-2</v>
      </c>
      <c r="BD285" s="59">
        <v>-0.60020399999999996</v>
      </c>
      <c r="BE285" s="60">
        <v>0.85036400000000001</v>
      </c>
    </row>
    <row r="286" spans="1:57" x14ac:dyDescent="0.35">
      <c r="A286" s="240"/>
      <c r="B286" s="240"/>
      <c r="C286" s="58" t="s">
        <v>462</v>
      </c>
      <c r="D286" s="59">
        <v>0.89502899999999996</v>
      </c>
      <c r="E286" s="60">
        <v>0.82528500000000005</v>
      </c>
      <c r="F286" s="59">
        <v>0.22664899999999999</v>
      </c>
      <c r="G286" s="60">
        <v>0.54337800000000003</v>
      </c>
      <c r="H286" s="59">
        <v>1.2542720000000001</v>
      </c>
      <c r="I286" s="60">
        <v>0.64306700000000006</v>
      </c>
      <c r="J286" s="59">
        <v>0.66776899999999995</v>
      </c>
      <c r="K286" s="60">
        <v>1.2490030000000001</v>
      </c>
      <c r="L286" s="59">
        <v>1.3142590000000001</v>
      </c>
      <c r="M286" s="60">
        <v>0.72354600000000002</v>
      </c>
      <c r="N286" s="59">
        <v>0.14327300000000001</v>
      </c>
      <c r="O286" s="60">
        <v>-0.20697399999999999</v>
      </c>
      <c r="P286" s="59">
        <v>0.48429499999999998</v>
      </c>
      <c r="Q286" s="60">
        <v>1.4898849999999999</v>
      </c>
      <c r="R286" s="59">
        <v>-0.88480599999999998</v>
      </c>
      <c r="S286" s="60">
        <v>0.88222100000000003</v>
      </c>
      <c r="T286" s="59">
        <v>1.0406550000000001</v>
      </c>
      <c r="U286" s="60">
        <v>-4.8899999999999996E-4</v>
      </c>
      <c r="V286" s="59">
        <v>-0.47943999999999998</v>
      </c>
      <c r="W286" s="60">
        <v>1.0662700000000001</v>
      </c>
      <c r="X286" s="59">
        <v>1.4336180000000001</v>
      </c>
      <c r="Y286" s="60">
        <v>0.69131299999999996</v>
      </c>
      <c r="Z286" s="59">
        <v>1.66675</v>
      </c>
      <c r="AA286" s="60">
        <v>1.2904119999999999</v>
      </c>
      <c r="AB286" s="59">
        <v>0.45719799999999999</v>
      </c>
      <c r="AC286" s="60">
        <v>0.726607</v>
      </c>
      <c r="AD286" s="59">
        <v>0.425709</v>
      </c>
      <c r="AE286" s="60">
        <v>1.3798440000000001</v>
      </c>
      <c r="AF286" s="59">
        <v>0.60277700000000001</v>
      </c>
      <c r="AG286" s="60">
        <v>0.86724100000000004</v>
      </c>
      <c r="AH286" s="59">
        <v>0.29329899999999998</v>
      </c>
      <c r="AI286" s="60">
        <v>0.49175600000000003</v>
      </c>
      <c r="AJ286" s="59">
        <v>0.43967000000000001</v>
      </c>
      <c r="AK286" s="60">
        <v>1.002121</v>
      </c>
      <c r="AL286" s="59">
        <v>1.265987</v>
      </c>
      <c r="AM286" s="60">
        <v>5.9490000000000001E-2</v>
      </c>
      <c r="AN286" s="59">
        <v>0.93167900000000003</v>
      </c>
      <c r="AO286" s="60">
        <v>0.26741599999999999</v>
      </c>
      <c r="AP286" s="59">
        <v>0.35857699999999998</v>
      </c>
      <c r="AQ286" s="60">
        <v>0.41648499999999999</v>
      </c>
      <c r="AR286" s="59">
        <v>0.93985200000000002</v>
      </c>
      <c r="AS286" s="60">
        <v>0.38135200000000002</v>
      </c>
      <c r="AT286" s="59">
        <v>0.85503099999999999</v>
      </c>
      <c r="AU286" s="60">
        <v>0.583256</v>
      </c>
      <c r="AV286" s="59">
        <v>-0.116769</v>
      </c>
      <c r="AW286" s="60">
        <v>0.79456099999999996</v>
      </c>
      <c r="AX286" s="59">
        <v>0.61075599999999997</v>
      </c>
      <c r="AY286" s="60">
        <v>1.9</v>
      </c>
      <c r="AZ286" s="59">
        <v>1.6419889999999999</v>
      </c>
      <c r="BA286" s="60">
        <v>1.2864199999999999</v>
      </c>
      <c r="BB286" s="59">
        <v>0.60500600000000004</v>
      </c>
      <c r="BC286" s="60">
        <v>1.326584</v>
      </c>
      <c r="BD286" s="59">
        <v>1.2101299999999999</v>
      </c>
      <c r="BE286" s="60">
        <v>-0.68310099999999996</v>
      </c>
    </row>
    <row r="287" spans="1:57" x14ac:dyDescent="0.35">
      <c r="A287" s="240"/>
      <c r="B287" s="240"/>
      <c r="C287" s="58" t="s">
        <v>463</v>
      </c>
      <c r="D287" s="59">
        <v>0.78735100000000002</v>
      </c>
      <c r="E287" s="60">
        <v>0.304755</v>
      </c>
      <c r="F287" s="59">
        <v>0.28864499999999998</v>
      </c>
      <c r="G287" s="60">
        <v>0.39058500000000002</v>
      </c>
      <c r="H287" s="59">
        <v>0.89925699999999997</v>
      </c>
      <c r="I287" s="60">
        <v>0.60250300000000001</v>
      </c>
      <c r="J287" s="59">
        <v>0.60802800000000001</v>
      </c>
      <c r="K287" s="60">
        <v>0.39019900000000002</v>
      </c>
      <c r="L287" s="59">
        <v>1.1247290000000001</v>
      </c>
      <c r="M287" s="60">
        <v>-0.15547800000000001</v>
      </c>
      <c r="N287" s="59">
        <v>0.19573099999999999</v>
      </c>
      <c r="O287" s="60">
        <v>0.471387</v>
      </c>
      <c r="P287" s="59">
        <v>-0.17166400000000001</v>
      </c>
      <c r="Q287" s="60">
        <v>1.081307</v>
      </c>
      <c r="R287" s="59">
        <v>1.475014</v>
      </c>
      <c r="S287" s="60">
        <v>1.441165</v>
      </c>
      <c r="T287" s="59">
        <v>0.38040200000000002</v>
      </c>
      <c r="U287" s="60">
        <v>-4.6569999999999997E-3</v>
      </c>
      <c r="V287" s="59">
        <v>0.44579099999999999</v>
      </c>
      <c r="W287" s="60">
        <v>0.61551999999999996</v>
      </c>
      <c r="X287" s="59">
        <v>1.3272870000000001</v>
      </c>
      <c r="Y287" s="60">
        <v>1.087863</v>
      </c>
      <c r="Z287" s="59">
        <v>-0.72164099999999998</v>
      </c>
      <c r="AA287" s="60">
        <v>-6.2014E-2</v>
      </c>
      <c r="AB287" s="59">
        <v>0.60398499999999999</v>
      </c>
      <c r="AC287" s="60">
        <v>0.999112</v>
      </c>
      <c r="AD287" s="59">
        <v>0.29622799999999999</v>
      </c>
      <c r="AE287" s="60">
        <v>1.3236829999999999</v>
      </c>
      <c r="AF287" s="59">
        <v>0.80075700000000005</v>
      </c>
      <c r="AG287" s="60">
        <v>1.124215</v>
      </c>
      <c r="AH287" s="59">
        <v>1.140944</v>
      </c>
      <c r="AI287" s="60">
        <v>0.54521600000000003</v>
      </c>
      <c r="AJ287" s="59">
        <v>0.76848700000000003</v>
      </c>
      <c r="AK287" s="60">
        <v>0.84304900000000005</v>
      </c>
      <c r="AL287" s="59">
        <v>6.2299999999999996E-4</v>
      </c>
      <c r="AM287" s="60">
        <v>0.52667799999999998</v>
      </c>
      <c r="AN287" s="59">
        <v>0.668628</v>
      </c>
      <c r="AO287" s="60">
        <v>0.33964899999999998</v>
      </c>
      <c r="AP287" s="59">
        <v>0.42660999999999999</v>
      </c>
      <c r="AQ287" s="60">
        <v>0.51574299999999995</v>
      </c>
      <c r="AR287" s="59">
        <v>0.57196199999999997</v>
      </c>
      <c r="AS287" s="60">
        <v>0.43127599999999999</v>
      </c>
      <c r="AT287" s="59">
        <v>0.78127199999999997</v>
      </c>
      <c r="AU287" s="60">
        <v>0.51052699999999995</v>
      </c>
      <c r="AV287" s="59">
        <v>-5.0862090000000002</v>
      </c>
      <c r="AW287" s="60">
        <v>7.2535000000000002E-2</v>
      </c>
      <c r="AX287" s="59">
        <v>0.92788899999999996</v>
      </c>
      <c r="AY287" s="60">
        <v>1.6</v>
      </c>
      <c r="AZ287" s="59">
        <v>1.3248979999999999</v>
      </c>
      <c r="BA287" s="60">
        <v>1.2488490000000001</v>
      </c>
      <c r="BB287" s="59">
        <v>1.344379</v>
      </c>
      <c r="BC287" s="60">
        <v>0.30736999999999998</v>
      </c>
      <c r="BD287" s="59">
        <v>0.58668600000000004</v>
      </c>
      <c r="BE287" s="60">
        <v>-0.131193</v>
      </c>
    </row>
    <row r="288" spans="1:57" x14ac:dyDescent="0.35">
      <c r="A288" s="240"/>
      <c r="B288" s="240"/>
      <c r="C288" s="58" t="s">
        <v>464</v>
      </c>
      <c r="D288" s="59">
        <v>0.31718200000000002</v>
      </c>
      <c r="E288" s="60">
        <v>0.22783200000000001</v>
      </c>
      <c r="F288" s="59">
        <v>0.168656</v>
      </c>
      <c r="G288" s="60">
        <v>0.60800600000000005</v>
      </c>
      <c r="H288" s="59">
        <v>-0.114964</v>
      </c>
      <c r="I288" s="60">
        <v>0.95140499999999995</v>
      </c>
      <c r="J288" s="59">
        <v>0.55218</v>
      </c>
      <c r="K288" s="60">
        <v>0.52843600000000002</v>
      </c>
      <c r="L288" s="59">
        <v>1.081909</v>
      </c>
      <c r="M288" s="60">
        <v>-0.12812399999999999</v>
      </c>
      <c r="N288" s="59">
        <v>0.35548200000000002</v>
      </c>
      <c r="O288" s="60">
        <v>-0.328428</v>
      </c>
      <c r="P288" s="59">
        <v>0.91553700000000005</v>
      </c>
      <c r="Q288" s="60">
        <v>1.338023</v>
      </c>
      <c r="R288" s="59">
        <v>0.19173200000000001</v>
      </c>
      <c r="S288" s="60">
        <v>0.91794200000000004</v>
      </c>
      <c r="T288" s="59">
        <v>0.72814599999999996</v>
      </c>
      <c r="U288" s="60">
        <v>-7.9038999999999998E-2</v>
      </c>
      <c r="V288" s="59">
        <v>-0.84155599999999997</v>
      </c>
      <c r="W288" s="60">
        <v>0.57708499999999996</v>
      </c>
      <c r="X288" s="59">
        <v>1.4019889999999999</v>
      </c>
      <c r="Y288" s="60">
        <v>0.89811300000000005</v>
      </c>
      <c r="Z288" s="59">
        <v>0.48852899999999999</v>
      </c>
      <c r="AA288" s="60">
        <v>0.220912</v>
      </c>
      <c r="AB288" s="59">
        <v>0.22110399999999999</v>
      </c>
      <c r="AC288" s="60">
        <v>0.53524899999999997</v>
      </c>
      <c r="AD288" s="59">
        <v>0.64093100000000003</v>
      </c>
      <c r="AE288" s="60">
        <v>1.2867550000000001</v>
      </c>
      <c r="AF288" s="59">
        <v>0.43854399999999999</v>
      </c>
      <c r="AG288" s="60">
        <v>0.95975600000000005</v>
      </c>
      <c r="AH288" s="59">
        <v>1.0347010000000001</v>
      </c>
      <c r="AI288" s="60">
        <v>0.50178699999999998</v>
      </c>
      <c r="AJ288" s="59">
        <v>-0.44534800000000002</v>
      </c>
      <c r="AK288" s="60">
        <v>-0.33215800000000001</v>
      </c>
      <c r="AL288" s="59">
        <v>-1.2824800000000001</v>
      </c>
      <c r="AM288" s="60">
        <v>0.58714699999999997</v>
      </c>
      <c r="AN288" s="59">
        <v>0.525196</v>
      </c>
      <c r="AO288" s="60">
        <v>0.193216</v>
      </c>
      <c r="AP288" s="59">
        <v>0.25653700000000002</v>
      </c>
      <c r="AQ288" s="60">
        <v>0.21058299999999999</v>
      </c>
      <c r="AR288" s="59">
        <v>0.49985400000000002</v>
      </c>
      <c r="AS288" s="60">
        <v>0.119061</v>
      </c>
      <c r="AT288" s="59">
        <v>0.69820599999999999</v>
      </c>
      <c r="AU288" s="60">
        <v>0.22423799999999999</v>
      </c>
      <c r="AV288" s="59">
        <v>-6.6727999999999996E-2</v>
      </c>
      <c r="AW288" s="60">
        <v>0.42591499999999999</v>
      </c>
      <c r="AX288" s="59">
        <v>0.98667000000000005</v>
      </c>
      <c r="AY288" s="60">
        <v>1.5</v>
      </c>
      <c r="AZ288" s="59">
        <v>1.3979379999999999</v>
      </c>
      <c r="BA288" s="60">
        <v>1.265282</v>
      </c>
      <c r="BB288" s="59">
        <v>1.5235300000000001</v>
      </c>
      <c r="BC288" s="60">
        <v>0.36677500000000002</v>
      </c>
      <c r="BD288" s="59">
        <v>1.234423</v>
      </c>
      <c r="BE288" s="60">
        <v>0.64895800000000003</v>
      </c>
    </row>
    <row r="289" spans="1:57" x14ac:dyDescent="0.35">
      <c r="A289" s="240"/>
      <c r="B289" s="240"/>
      <c r="C289" s="58" t="s">
        <v>465</v>
      </c>
      <c r="D289" s="59">
        <v>0.167464</v>
      </c>
      <c r="E289" s="60">
        <v>0.74677000000000004</v>
      </c>
      <c r="F289" s="59">
        <v>0.80159599999999998</v>
      </c>
      <c r="G289" s="60">
        <v>0.244057</v>
      </c>
      <c r="H289" s="59">
        <v>0.97728599999999999</v>
      </c>
      <c r="I289" s="60">
        <v>0.56515800000000005</v>
      </c>
      <c r="J289" s="59">
        <v>0.742058</v>
      </c>
      <c r="K289" s="60">
        <v>0.83274899999999996</v>
      </c>
      <c r="L289" s="59">
        <v>1.344608</v>
      </c>
      <c r="M289" s="60">
        <v>0.33552399999999999</v>
      </c>
      <c r="N289" s="59">
        <v>0.65345299999999995</v>
      </c>
      <c r="O289" s="60">
        <v>0.33892099999999997</v>
      </c>
      <c r="P289" s="59">
        <v>0.56496999999999997</v>
      </c>
      <c r="Q289" s="60">
        <v>1.0305009999999999</v>
      </c>
      <c r="R289" s="59">
        <v>1.635915</v>
      </c>
      <c r="S289" s="60">
        <v>0.265712</v>
      </c>
      <c r="T289" s="59">
        <v>0.92123699999999997</v>
      </c>
      <c r="U289" s="60">
        <v>0.15515000000000001</v>
      </c>
      <c r="V289" s="59">
        <v>0.56426500000000002</v>
      </c>
      <c r="W289" s="60">
        <v>0.86543999999999999</v>
      </c>
      <c r="X289" s="59">
        <v>1.0116179999999999</v>
      </c>
      <c r="Y289" s="60">
        <v>0.99729299999999999</v>
      </c>
      <c r="Z289" s="59">
        <v>0.35681400000000002</v>
      </c>
      <c r="AA289" s="60">
        <v>-0.24451200000000001</v>
      </c>
      <c r="AB289" s="59">
        <v>0.40657399999999999</v>
      </c>
      <c r="AC289" s="60">
        <v>1.0101340000000001</v>
      </c>
      <c r="AD289" s="59">
        <v>0.26619799999999999</v>
      </c>
      <c r="AE289" s="60">
        <v>0.75448999999999999</v>
      </c>
      <c r="AF289" s="59">
        <v>0.43564900000000001</v>
      </c>
      <c r="AG289" s="60">
        <v>0.47089900000000001</v>
      </c>
      <c r="AH289" s="59">
        <v>0.76973999999999998</v>
      </c>
      <c r="AI289" s="60">
        <v>0.55968700000000005</v>
      </c>
      <c r="AJ289" s="59">
        <v>1.178793</v>
      </c>
      <c r="AK289" s="60">
        <v>-6.4121999999999998E-2</v>
      </c>
      <c r="AL289" s="59">
        <v>-2.875105</v>
      </c>
      <c r="AM289" s="60">
        <v>0.21410799999999999</v>
      </c>
      <c r="AN289" s="59">
        <v>0.32832099999999997</v>
      </c>
      <c r="AO289" s="60">
        <v>0.41119699999999998</v>
      </c>
      <c r="AP289" s="59">
        <v>0.47736600000000001</v>
      </c>
      <c r="AQ289" s="60">
        <v>0.36089500000000002</v>
      </c>
      <c r="AR289" s="59">
        <v>0.26299499999999998</v>
      </c>
      <c r="AS289" s="60">
        <v>0.14419899999999999</v>
      </c>
      <c r="AT289" s="59">
        <v>0.61724500000000004</v>
      </c>
      <c r="AU289" s="60">
        <v>0.27390999999999999</v>
      </c>
      <c r="AV289" s="59">
        <v>-1.0291600000000001</v>
      </c>
      <c r="AW289" s="60">
        <v>-9.8595000000000002E-2</v>
      </c>
      <c r="AX289" s="59">
        <v>0.81457599999999997</v>
      </c>
      <c r="AY289" s="60">
        <v>1.3</v>
      </c>
      <c r="AZ289" s="59">
        <v>1.1727540000000001</v>
      </c>
      <c r="BA289" s="60">
        <v>1.258912</v>
      </c>
      <c r="BB289" s="59">
        <v>0.62118099999999998</v>
      </c>
      <c r="BC289" s="60">
        <v>0.42881999999999998</v>
      </c>
      <c r="BD289" s="59">
        <v>1.129821</v>
      </c>
      <c r="BE289" s="60">
        <v>0.34071299999999999</v>
      </c>
    </row>
    <row r="290" spans="1:57" x14ac:dyDescent="0.35">
      <c r="A290" s="240"/>
      <c r="B290" s="240"/>
      <c r="C290" s="58" t="s">
        <v>466</v>
      </c>
      <c r="D290" s="59">
        <v>0.45241799999999999</v>
      </c>
      <c r="E290" s="60">
        <v>0.88411499999999998</v>
      </c>
      <c r="F290" s="59">
        <v>9.9857000000000001E-2</v>
      </c>
      <c r="G290" s="60">
        <v>0.28664800000000001</v>
      </c>
      <c r="H290" s="59">
        <v>0.12714700000000001</v>
      </c>
      <c r="I290" s="60">
        <v>0.47573799999999999</v>
      </c>
      <c r="J290" s="59">
        <v>0.52503900000000003</v>
      </c>
      <c r="K290" s="60">
        <v>0.32503799999999999</v>
      </c>
      <c r="L290" s="59">
        <v>0.99195</v>
      </c>
      <c r="M290" s="60">
        <v>0.33636899999999997</v>
      </c>
      <c r="N290" s="59">
        <v>0.54583700000000002</v>
      </c>
      <c r="O290" s="60">
        <v>0.61222299999999996</v>
      </c>
      <c r="P290" s="59">
        <v>0.240758</v>
      </c>
      <c r="Q290" s="60">
        <v>1.935562</v>
      </c>
      <c r="R290" s="59">
        <v>-2.827248</v>
      </c>
      <c r="S290" s="60">
        <v>1.9609099999999999</v>
      </c>
      <c r="T290" s="59">
        <v>1.2107000000000001</v>
      </c>
      <c r="U290" s="60">
        <v>0.198379</v>
      </c>
      <c r="V290" s="59">
        <v>0.64152900000000002</v>
      </c>
      <c r="W290" s="60">
        <v>-0.339694</v>
      </c>
      <c r="X290" s="59">
        <v>-0.46778999999999998</v>
      </c>
      <c r="Y290" s="60">
        <v>1.0768500000000001</v>
      </c>
      <c r="Z290" s="59">
        <v>0.10738200000000001</v>
      </c>
      <c r="AA290" s="60">
        <v>0.16009799999999999</v>
      </c>
      <c r="AB290" s="59">
        <v>0.50688500000000003</v>
      </c>
      <c r="AC290" s="60">
        <v>0.434948</v>
      </c>
      <c r="AD290" s="59">
        <v>1.6154999999999999E-2</v>
      </c>
      <c r="AE290" s="60">
        <v>1.3968370000000001</v>
      </c>
      <c r="AF290" s="59">
        <v>0.72181799999999996</v>
      </c>
      <c r="AG290" s="60">
        <v>0.634243</v>
      </c>
      <c r="AH290" s="59">
        <v>0.54332000000000003</v>
      </c>
      <c r="AI290" s="60">
        <v>0.56845000000000001</v>
      </c>
      <c r="AJ290" s="59">
        <v>0.208845</v>
      </c>
      <c r="AK290" s="60">
        <v>0.378886</v>
      </c>
      <c r="AL290" s="59">
        <v>2.0803240000000001</v>
      </c>
      <c r="AM290" s="60">
        <v>0.65812800000000005</v>
      </c>
      <c r="AN290" s="59">
        <v>0.72512299999999996</v>
      </c>
      <c r="AO290" s="60">
        <v>0.48591099999999998</v>
      </c>
      <c r="AP290" s="59">
        <v>0.54156400000000005</v>
      </c>
      <c r="AQ290" s="60">
        <v>0.63168999999999997</v>
      </c>
      <c r="AR290" s="59">
        <v>0.63512199999999996</v>
      </c>
      <c r="AS290" s="60">
        <v>0.72726500000000005</v>
      </c>
      <c r="AT290" s="59">
        <v>0.83016100000000004</v>
      </c>
      <c r="AU290" s="60">
        <v>0.63328899999999999</v>
      </c>
      <c r="AV290" s="59">
        <v>0.13813800000000001</v>
      </c>
      <c r="AW290" s="60">
        <v>0.245005</v>
      </c>
      <c r="AX290" s="59">
        <v>0.98488100000000001</v>
      </c>
      <c r="AY290" s="60">
        <v>2</v>
      </c>
      <c r="AZ290" s="59">
        <v>1.414514</v>
      </c>
      <c r="BA290" s="60">
        <v>1.206548</v>
      </c>
      <c r="BB290" s="59">
        <v>1.4904489999999999</v>
      </c>
      <c r="BC290" s="60">
        <v>-2.6176000000000001E-2</v>
      </c>
      <c r="BD290" s="59">
        <v>-1.272942</v>
      </c>
      <c r="BE290" s="60">
        <v>-0.80396900000000004</v>
      </c>
    </row>
    <row r="291" spans="1:57" x14ac:dyDescent="0.35">
      <c r="A291" s="240"/>
      <c r="B291" s="240"/>
      <c r="C291" s="58" t="s">
        <v>467</v>
      </c>
      <c r="D291" s="59">
        <v>0.61173</v>
      </c>
      <c r="E291" s="60">
        <v>1.9986E-2</v>
      </c>
      <c r="F291" s="59">
        <v>0.28929500000000002</v>
      </c>
      <c r="G291" s="60">
        <v>0.80141899999999999</v>
      </c>
      <c r="H291" s="59">
        <v>0.82700200000000001</v>
      </c>
      <c r="I291" s="60">
        <v>1.5764400000000001</v>
      </c>
      <c r="J291" s="59">
        <v>0.53399700000000005</v>
      </c>
      <c r="K291" s="60">
        <v>1.0134730000000001</v>
      </c>
      <c r="L291" s="59">
        <v>0.903976</v>
      </c>
      <c r="M291" s="60">
        <v>0.413661</v>
      </c>
      <c r="N291" s="59">
        <v>0.24737200000000001</v>
      </c>
      <c r="O291" s="60">
        <v>-0.50359299999999996</v>
      </c>
      <c r="P291" s="59">
        <v>1.028416</v>
      </c>
      <c r="Q291" s="60">
        <v>0.76673599999999997</v>
      </c>
      <c r="R291" s="59">
        <v>3.2115800000000001</v>
      </c>
      <c r="S291" s="60">
        <v>2.3127430000000002</v>
      </c>
      <c r="T291" s="59">
        <v>0.327461</v>
      </c>
      <c r="U291" s="60">
        <v>0.105368</v>
      </c>
      <c r="V291" s="59">
        <v>0.53290199999999999</v>
      </c>
      <c r="W291" s="60">
        <v>1.014143</v>
      </c>
      <c r="X291" s="59">
        <v>0.71502900000000003</v>
      </c>
      <c r="Y291" s="60">
        <v>0.87325900000000001</v>
      </c>
      <c r="Z291" s="59">
        <v>2.1053869999999999</v>
      </c>
      <c r="AA291" s="60">
        <v>-0.15731899999999999</v>
      </c>
      <c r="AB291" s="59">
        <v>0.35765799999999998</v>
      </c>
      <c r="AC291" s="60">
        <v>0.109016</v>
      </c>
      <c r="AD291" s="59">
        <v>0.22851099999999999</v>
      </c>
      <c r="AE291" s="60">
        <v>0.68249199999999999</v>
      </c>
      <c r="AF291" s="59">
        <v>0.49135000000000001</v>
      </c>
      <c r="AG291" s="60">
        <v>0.37628200000000001</v>
      </c>
      <c r="AH291" s="59">
        <v>-4.2488999999999999E-2</v>
      </c>
      <c r="AI291" s="60">
        <v>0.38031199999999998</v>
      </c>
      <c r="AJ291" s="59">
        <v>6.2323999999999997E-2</v>
      </c>
      <c r="AK291" s="60">
        <v>0.359101</v>
      </c>
      <c r="AL291" s="59">
        <v>1.13866</v>
      </c>
      <c r="AM291" s="60">
        <v>-5.6563000000000002E-2</v>
      </c>
      <c r="AN291" s="59">
        <v>0.37071599999999999</v>
      </c>
      <c r="AO291" s="60">
        <v>0.19825100000000001</v>
      </c>
      <c r="AP291" s="59">
        <v>0.25133100000000003</v>
      </c>
      <c r="AQ291" s="60">
        <v>0.25594499999999998</v>
      </c>
      <c r="AR291" s="59">
        <v>0.34877599999999997</v>
      </c>
      <c r="AS291" s="60">
        <v>0.25509900000000002</v>
      </c>
      <c r="AT291" s="59">
        <v>0.67332899999999996</v>
      </c>
      <c r="AU291" s="60">
        <v>0.37345400000000001</v>
      </c>
      <c r="AV291" s="59">
        <v>-0.37708799999999998</v>
      </c>
      <c r="AW291" s="60">
        <v>0.54062399999999999</v>
      </c>
      <c r="AX291" s="59">
        <v>0.67435999999999996</v>
      </c>
      <c r="AY291" s="60">
        <v>1.2</v>
      </c>
      <c r="AZ291" s="59">
        <v>0.90547999999999995</v>
      </c>
      <c r="BA291" s="60">
        <v>1.2521819999999999</v>
      </c>
      <c r="BB291" s="59">
        <v>0.63458400000000004</v>
      </c>
      <c r="BC291" s="60">
        <v>0.609877</v>
      </c>
      <c r="BD291" s="59">
        <v>-0.56231500000000001</v>
      </c>
      <c r="BE291" s="60">
        <v>0.81671099999999996</v>
      </c>
    </row>
    <row r="292" spans="1:57" x14ac:dyDescent="0.35">
      <c r="A292" s="240"/>
      <c r="B292" s="240"/>
      <c r="C292" s="58" t="s">
        <v>468</v>
      </c>
      <c r="D292" s="59">
        <v>0.55455500000000002</v>
      </c>
      <c r="E292" s="60">
        <v>-0.22705600000000001</v>
      </c>
      <c r="F292" s="59">
        <v>0.40691899999999998</v>
      </c>
      <c r="G292" s="60">
        <v>0.27916000000000002</v>
      </c>
      <c r="H292" s="59">
        <v>0.817971</v>
      </c>
      <c r="I292" s="60">
        <v>0.79007099999999997</v>
      </c>
      <c r="J292" s="59">
        <v>0.46277800000000002</v>
      </c>
      <c r="K292" s="60">
        <v>0.22847400000000001</v>
      </c>
      <c r="L292" s="59">
        <v>1.179243</v>
      </c>
      <c r="M292" s="60">
        <v>0.31043199999999999</v>
      </c>
      <c r="N292" s="59">
        <v>0.15779699999999999</v>
      </c>
      <c r="O292" s="60">
        <v>0.309311</v>
      </c>
      <c r="P292" s="59">
        <v>0.41041499999999997</v>
      </c>
      <c r="Q292" s="60">
        <v>0.90816200000000002</v>
      </c>
      <c r="R292" s="59">
        <v>-0.955932</v>
      </c>
      <c r="S292" s="60">
        <v>1.2814760000000001</v>
      </c>
      <c r="T292" s="59">
        <v>0.99751699999999999</v>
      </c>
      <c r="U292" s="60">
        <v>5.2199999999999998E-3</v>
      </c>
      <c r="V292" s="59">
        <v>3.8560000000000001E-3</v>
      </c>
      <c r="W292" s="60">
        <v>0.37545499999999998</v>
      </c>
      <c r="X292" s="59">
        <v>0.58147199999999999</v>
      </c>
      <c r="Y292" s="60">
        <v>0.78691299999999997</v>
      </c>
      <c r="Z292" s="59">
        <v>0.366309</v>
      </c>
      <c r="AA292" s="60">
        <v>-0.21789</v>
      </c>
      <c r="AB292" s="59">
        <v>0.33090199999999997</v>
      </c>
      <c r="AC292" s="60">
        <v>0.79410700000000001</v>
      </c>
      <c r="AD292" s="59">
        <v>2.0500000000000001E-2</v>
      </c>
      <c r="AE292" s="60">
        <v>1.2182280000000001</v>
      </c>
      <c r="AF292" s="59">
        <v>0.26045400000000002</v>
      </c>
      <c r="AG292" s="60">
        <v>0.399756</v>
      </c>
      <c r="AH292" s="59">
        <v>0.77273199999999997</v>
      </c>
      <c r="AI292" s="60">
        <v>0.404756</v>
      </c>
      <c r="AJ292" s="59">
        <v>0.246113</v>
      </c>
      <c r="AK292" s="60">
        <v>0.44012000000000001</v>
      </c>
      <c r="AL292" s="59">
        <v>0.69792399999999999</v>
      </c>
      <c r="AM292" s="60">
        <v>0.51165400000000005</v>
      </c>
      <c r="AN292" s="59">
        <v>0.63691500000000001</v>
      </c>
      <c r="AO292" s="60">
        <v>0.27579799999999999</v>
      </c>
      <c r="AP292" s="59">
        <v>0.32459700000000002</v>
      </c>
      <c r="AQ292" s="60">
        <v>0.41899900000000001</v>
      </c>
      <c r="AR292" s="59">
        <v>0.52382300000000004</v>
      </c>
      <c r="AS292" s="60">
        <v>0.39323799999999998</v>
      </c>
      <c r="AT292" s="59">
        <v>0.67829200000000001</v>
      </c>
      <c r="AU292" s="60">
        <v>0.42879299999999998</v>
      </c>
      <c r="AV292" s="59">
        <v>0.81586999999999998</v>
      </c>
      <c r="AW292" s="60">
        <v>0.46179199999999998</v>
      </c>
      <c r="AX292" s="59">
        <v>0.66320199999999996</v>
      </c>
      <c r="AY292" s="60">
        <v>1.4</v>
      </c>
      <c r="AZ292" s="59">
        <v>0.83646900000000002</v>
      </c>
      <c r="BA292" s="60">
        <v>1.205692</v>
      </c>
      <c r="BB292" s="59">
        <v>0.48425499999999999</v>
      </c>
      <c r="BC292" s="60">
        <v>0.43845499999999998</v>
      </c>
      <c r="BD292" s="59">
        <v>0.29388500000000001</v>
      </c>
      <c r="BE292" s="60">
        <v>-0.20957899999999999</v>
      </c>
    </row>
    <row r="293" spans="1:57" x14ac:dyDescent="0.35">
      <c r="A293" s="240"/>
      <c r="B293" s="240"/>
      <c r="C293" s="58" t="s">
        <v>469</v>
      </c>
      <c r="D293" s="59">
        <v>0.52093900000000004</v>
      </c>
      <c r="E293" s="60">
        <v>-0.22461400000000001</v>
      </c>
      <c r="F293" s="59">
        <v>0.481821</v>
      </c>
      <c r="G293" s="60">
        <v>0.139763</v>
      </c>
      <c r="H293" s="59">
        <v>-4.0767980000000001</v>
      </c>
      <c r="I293" s="60">
        <v>0.474358</v>
      </c>
      <c r="J293" s="59">
        <v>0.43210199999999999</v>
      </c>
      <c r="K293" s="60">
        <v>0.56351700000000005</v>
      </c>
      <c r="L293" s="59">
        <v>0.85522600000000004</v>
      </c>
      <c r="M293" s="60">
        <v>-0.58196099999999995</v>
      </c>
      <c r="N293" s="59">
        <v>-0.185553</v>
      </c>
      <c r="O293" s="60">
        <v>-1.8689999999999998E-2</v>
      </c>
      <c r="P293" s="59">
        <v>-0.68764199999999998</v>
      </c>
      <c r="Q293" s="60">
        <v>0.67669100000000004</v>
      </c>
      <c r="R293" s="59">
        <v>4.8108149999999998</v>
      </c>
      <c r="S293" s="60">
        <v>0.40742299999999998</v>
      </c>
      <c r="T293" s="59">
        <v>1.125945</v>
      </c>
      <c r="U293" s="60">
        <v>-0.22850599999999999</v>
      </c>
      <c r="V293" s="59">
        <v>-1.856579</v>
      </c>
      <c r="W293" s="60">
        <v>1.3116300000000001</v>
      </c>
      <c r="X293" s="59">
        <v>0.12646299999999999</v>
      </c>
      <c r="Y293" s="60">
        <v>1.0601179999999999</v>
      </c>
      <c r="Z293" s="59">
        <v>0.35344700000000001</v>
      </c>
      <c r="AA293" s="60">
        <v>-0.56842000000000004</v>
      </c>
      <c r="AB293" s="59">
        <v>0.45347500000000002</v>
      </c>
      <c r="AC293" s="60">
        <v>0.47894100000000001</v>
      </c>
      <c r="AD293" s="59">
        <v>1.513855</v>
      </c>
      <c r="AE293" s="60">
        <v>0.201489</v>
      </c>
      <c r="AF293" s="59">
        <v>0.72854600000000003</v>
      </c>
      <c r="AG293" s="60">
        <v>0.60528800000000005</v>
      </c>
      <c r="AH293" s="59">
        <v>0.41137000000000001</v>
      </c>
      <c r="AI293" s="60">
        <v>0.41015600000000002</v>
      </c>
      <c r="AJ293" s="59">
        <v>-2.3199999999999998E-2</v>
      </c>
      <c r="AK293" s="60">
        <v>0.33771200000000001</v>
      </c>
      <c r="AL293" s="59">
        <v>1.8925959999999999</v>
      </c>
      <c r="AM293" s="60">
        <v>-1.9100000000000001E-4</v>
      </c>
      <c r="AN293" s="59">
        <v>0.58623199999999998</v>
      </c>
      <c r="AO293" s="60">
        <v>3.3939999999999998E-2</v>
      </c>
      <c r="AP293" s="59">
        <v>8.5696999999999995E-2</v>
      </c>
      <c r="AQ293" s="60">
        <v>3.6799999999999999E-2</v>
      </c>
      <c r="AR293" s="59">
        <v>0.43714199999999998</v>
      </c>
      <c r="AS293" s="60">
        <v>0.25884400000000002</v>
      </c>
      <c r="AT293" s="59">
        <v>0.555427</v>
      </c>
      <c r="AU293" s="60">
        <v>0.16952200000000001</v>
      </c>
      <c r="AV293" s="59">
        <v>-0.90288800000000002</v>
      </c>
      <c r="AW293" s="60">
        <v>0.36546099999999998</v>
      </c>
      <c r="AX293" s="59">
        <v>0.75694099999999997</v>
      </c>
      <c r="AY293" s="60">
        <v>1.3</v>
      </c>
      <c r="AZ293" s="59">
        <v>0.86095500000000003</v>
      </c>
      <c r="BA293" s="60">
        <v>1.1834519999999999</v>
      </c>
      <c r="BB293" s="59">
        <v>1.208172</v>
      </c>
      <c r="BC293" s="60">
        <v>0.51731400000000005</v>
      </c>
      <c r="BD293" s="59">
        <v>1.170129</v>
      </c>
      <c r="BE293" s="60">
        <v>-0.36287900000000001</v>
      </c>
    </row>
    <row r="294" spans="1:57" x14ac:dyDescent="0.35">
      <c r="A294" s="240"/>
      <c r="B294" s="240"/>
      <c r="C294" s="58" t="s">
        <v>470</v>
      </c>
      <c r="D294" s="59">
        <v>-0.305863</v>
      </c>
      <c r="E294" s="60">
        <v>-2.3925689999999999</v>
      </c>
      <c r="F294" s="59">
        <v>-3.5125299999999999</v>
      </c>
      <c r="G294" s="60">
        <v>-2.1089899999999999</v>
      </c>
      <c r="H294" s="59">
        <v>3.0343749999999998</v>
      </c>
      <c r="I294" s="60">
        <v>-2.3853409999999999</v>
      </c>
      <c r="J294" s="59">
        <v>-3.3799009999999998</v>
      </c>
      <c r="K294" s="60">
        <v>-1.9924740000000001</v>
      </c>
      <c r="L294" s="59">
        <v>-3.6907130000000001</v>
      </c>
      <c r="M294" s="60">
        <v>-4.5537299999999998</v>
      </c>
      <c r="N294" s="59">
        <v>-5.9396110000000002</v>
      </c>
      <c r="O294" s="60">
        <v>-2.018694</v>
      </c>
      <c r="P294" s="59">
        <v>-1.597933</v>
      </c>
      <c r="Q294" s="60">
        <v>-0.39062000000000002</v>
      </c>
      <c r="R294" s="59">
        <v>-7.0124250000000004</v>
      </c>
      <c r="S294" s="60">
        <v>1.229403</v>
      </c>
      <c r="T294" s="59">
        <v>-1.760939</v>
      </c>
      <c r="U294" s="60">
        <v>-5.380668</v>
      </c>
      <c r="V294" s="59">
        <v>-0.55857599999999996</v>
      </c>
      <c r="W294" s="60">
        <v>-1.2817019999999999</v>
      </c>
      <c r="X294" s="59">
        <v>-2.9003220000000001</v>
      </c>
      <c r="Y294" s="60">
        <v>-0.34155799999999997</v>
      </c>
      <c r="Z294" s="59">
        <v>-2.92089</v>
      </c>
      <c r="AA294" s="60">
        <v>-1.2409779999999999</v>
      </c>
      <c r="AB294" s="59">
        <v>-1.4944459999999999</v>
      </c>
      <c r="AC294" s="60">
        <v>-1.5939000000000001</v>
      </c>
      <c r="AD294" s="59">
        <v>-1.547299</v>
      </c>
      <c r="AE294" s="60">
        <v>-0.40394000000000002</v>
      </c>
      <c r="AF294" s="59">
        <v>-3.7565659999999998</v>
      </c>
      <c r="AG294" s="60">
        <v>-5.1555809999999997</v>
      </c>
      <c r="AH294" s="59">
        <v>-4.5315209999999997</v>
      </c>
      <c r="AI294" s="60">
        <v>-5.2088749999999999</v>
      </c>
      <c r="AJ294" s="59">
        <v>0.12182900000000001</v>
      </c>
      <c r="AK294" s="60">
        <v>-2.6070099999999998</v>
      </c>
      <c r="AL294" s="59">
        <v>0.61546299999999998</v>
      </c>
      <c r="AM294" s="60">
        <v>-2.187179</v>
      </c>
      <c r="AN294" s="59">
        <v>-1.2626550000000001</v>
      </c>
      <c r="AO294" s="60">
        <v>-3.5847150000000001</v>
      </c>
      <c r="AP294" s="59">
        <v>-3.1757499999999999</v>
      </c>
      <c r="AQ294" s="60">
        <v>-1.9873320000000001</v>
      </c>
      <c r="AR294" s="59">
        <v>-1.32281</v>
      </c>
      <c r="AS294" s="60">
        <v>-2.8092679999999999</v>
      </c>
      <c r="AT294" s="59">
        <v>-3.4</v>
      </c>
      <c r="AU294" s="60">
        <v>-1.8413250000000001</v>
      </c>
      <c r="AV294" s="59">
        <v>-4.8442550000000004</v>
      </c>
      <c r="AW294" s="60">
        <v>-1.5394159999999999</v>
      </c>
      <c r="AX294" s="59">
        <v>0.28823500000000002</v>
      </c>
      <c r="AY294" s="60">
        <v>-10</v>
      </c>
      <c r="AZ294" s="59">
        <v>0.65893999999999997</v>
      </c>
      <c r="BA294" s="60">
        <v>-0.68834600000000001</v>
      </c>
      <c r="BB294" s="59">
        <v>0.30360100000000001</v>
      </c>
      <c r="BC294" s="60">
        <v>0.26691599999999999</v>
      </c>
      <c r="BD294" s="59" t="s">
        <v>179</v>
      </c>
      <c r="BE294" s="60">
        <v>-0.50198600000000004</v>
      </c>
    </row>
    <row r="295" spans="1:57" x14ac:dyDescent="0.35">
      <c r="A295" s="241"/>
      <c r="B295" s="241"/>
      <c r="C295" s="58" t="s">
        <v>471</v>
      </c>
      <c r="D295" s="59" t="s">
        <v>179</v>
      </c>
      <c r="E295" s="60">
        <v>-10.73742</v>
      </c>
      <c r="F295" s="59">
        <v>-12.2</v>
      </c>
      <c r="G295" s="60">
        <v>-12</v>
      </c>
      <c r="H295" s="59" t="s">
        <v>179</v>
      </c>
      <c r="I295" s="60" t="s">
        <v>179</v>
      </c>
      <c r="J295" s="59">
        <v>-8.4</v>
      </c>
      <c r="K295" s="60" t="s">
        <v>179</v>
      </c>
      <c r="L295" s="59" t="s">
        <v>179</v>
      </c>
      <c r="M295" s="60" t="s">
        <v>179</v>
      </c>
      <c r="N295" s="59">
        <v>-13.815177</v>
      </c>
      <c r="O295" s="60">
        <v>-10.091568000000001</v>
      </c>
      <c r="P295" s="59" t="s">
        <v>179</v>
      </c>
      <c r="Q295" s="60" t="s">
        <v>179</v>
      </c>
      <c r="R295" s="59" t="s">
        <v>179</v>
      </c>
      <c r="S295" s="60" t="s">
        <v>179</v>
      </c>
      <c r="T295" s="59" t="s">
        <v>179</v>
      </c>
      <c r="U295" s="60">
        <v>-12.357946999999999</v>
      </c>
      <c r="V295" s="59" t="s">
        <v>179</v>
      </c>
      <c r="W295" s="60">
        <v>-3.3334950000000001</v>
      </c>
      <c r="X295" s="59" t="s">
        <v>179</v>
      </c>
      <c r="Y295" s="60" t="s">
        <v>179</v>
      </c>
      <c r="Z295" s="59" t="s">
        <v>179</v>
      </c>
      <c r="AA295" s="60">
        <v>-17.3</v>
      </c>
      <c r="AB295" s="59" t="s">
        <v>179</v>
      </c>
      <c r="AC295" s="60" t="s">
        <v>179</v>
      </c>
      <c r="AD295" s="59" t="s">
        <v>179</v>
      </c>
      <c r="AE295" s="60" t="s">
        <v>179</v>
      </c>
      <c r="AF295" s="59">
        <v>-14.1</v>
      </c>
      <c r="AG295" s="60" t="s">
        <v>179</v>
      </c>
      <c r="AH295" s="59" t="s">
        <v>179</v>
      </c>
      <c r="AI295" s="60">
        <v>-18.484123</v>
      </c>
      <c r="AJ295" s="59" t="s">
        <v>179</v>
      </c>
      <c r="AK295" s="60" t="s">
        <v>179</v>
      </c>
      <c r="AL295" s="59" t="s">
        <v>179</v>
      </c>
      <c r="AM295" s="60" t="s">
        <v>179</v>
      </c>
      <c r="AN295" s="59">
        <v>-9.4947160000000004</v>
      </c>
      <c r="AO295" s="60">
        <v>-12.109408999999999</v>
      </c>
      <c r="AP295" s="59">
        <v>-11.903719000000001</v>
      </c>
      <c r="AQ295" s="60" t="s">
        <v>179</v>
      </c>
      <c r="AR295" s="59">
        <v>-10.452885</v>
      </c>
      <c r="AS295" s="60" t="s">
        <v>179</v>
      </c>
      <c r="AT295" s="59" t="s">
        <v>179</v>
      </c>
      <c r="AU295" s="60" t="s">
        <v>179</v>
      </c>
      <c r="AV295" s="59" t="s">
        <v>179</v>
      </c>
      <c r="AW295" s="60" t="s">
        <v>179</v>
      </c>
      <c r="AX295" s="59" t="s">
        <v>179</v>
      </c>
      <c r="AY295" s="60">
        <v>11.5</v>
      </c>
      <c r="AZ295" s="59" t="s">
        <v>179</v>
      </c>
      <c r="BA295" s="60">
        <v>-6.9483350000000002</v>
      </c>
      <c r="BB295" s="59" t="s">
        <v>179</v>
      </c>
      <c r="BC295" s="60" t="s">
        <v>179</v>
      </c>
      <c r="BD295" s="59" t="s">
        <v>179</v>
      </c>
      <c r="BE295" s="60" t="s">
        <v>179</v>
      </c>
    </row>
  </sheetData>
  <mergeCells count="5">
    <mergeCell ref="A1:A2"/>
    <mergeCell ref="B1:B2"/>
    <mergeCell ref="C1:C2"/>
    <mergeCell ref="A3:A295"/>
    <mergeCell ref="B3:B295"/>
  </mergeCells>
  <hyperlinks>
    <hyperlink ref="B1" r:id="rId1" display="http://stats.oecd.org/OECDStat_Metadata/ShowMetadata.ashx?Dataset=QNA&amp;Coords=[MEASURE]&amp;ShowOnWeb=true&amp;Lang=en" xr:uid="{00000000-0004-0000-0500-000000000000}"/>
    <hyperlink ref="D1" r:id="rId2" display="http://stats.oecd.org/OECDStat_Metadata/ShowMetadata.ashx?Dataset=QNA&amp;Coords=[LOCATION].[AUS]&amp;ShowOnWeb=true&amp;Lang=en" xr:uid="{00000000-0004-0000-0500-000001000000}"/>
    <hyperlink ref="E1" r:id="rId3" display="http://stats.oecd.org/OECDStat_Metadata/ShowMetadata.ashx?Dataset=QNA&amp;Coords=[LOCATION].[AUT]&amp;ShowOnWeb=true&amp;Lang=en" xr:uid="{00000000-0004-0000-0500-000002000000}"/>
    <hyperlink ref="F1" r:id="rId4" display="http://stats.oecd.org/OECDStat_Metadata/ShowMetadata.ashx?Dataset=QNA&amp;Coords=[LOCATION].[BEL]&amp;ShowOnWeb=true&amp;Lang=en" xr:uid="{00000000-0004-0000-0500-000003000000}"/>
    <hyperlink ref="G1" r:id="rId5" display="http://stats.oecd.org/OECDStat_Metadata/ShowMetadata.ashx?Dataset=QNA&amp;Coords=[LOCATION].[CAN]&amp;ShowOnWeb=true&amp;Lang=en" xr:uid="{00000000-0004-0000-0500-000004000000}"/>
    <hyperlink ref="H1" r:id="rId6" display="http://stats.oecd.org/OECDStat_Metadata/ShowMetadata.ashx?Dataset=QNA&amp;Coords=[LOCATION].[CHL]&amp;ShowOnWeb=true&amp;Lang=en" xr:uid="{00000000-0004-0000-0500-000005000000}"/>
    <hyperlink ref="I1" r:id="rId7" display="http://stats.oecd.org/OECDStat_Metadata/ShowMetadata.ashx?Dataset=QNA&amp;Coords=[LOCATION].[COL]&amp;ShowOnWeb=true&amp;Lang=en" xr:uid="{00000000-0004-0000-0500-000006000000}"/>
    <hyperlink ref="J1" r:id="rId8" display="http://stats.oecd.org/OECDStat_Metadata/ShowMetadata.ashx?Dataset=QNA&amp;Coords=[LOCATION].[CZE]&amp;ShowOnWeb=true&amp;Lang=en" xr:uid="{00000000-0004-0000-0500-000007000000}"/>
    <hyperlink ref="K1" r:id="rId9" display="http://stats.oecd.org/OECDStat_Metadata/ShowMetadata.ashx?Dataset=QNA&amp;Coords=[LOCATION].[DNK]&amp;ShowOnWeb=true&amp;Lang=en" xr:uid="{00000000-0004-0000-0500-000008000000}"/>
    <hyperlink ref="L1" r:id="rId10" display="http://stats.oecd.org/OECDStat_Metadata/ShowMetadata.ashx?Dataset=QNA&amp;Coords=[LOCATION].[EST]&amp;ShowOnWeb=true&amp;Lang=en" xr:uid="{00000000-0004-0000-0500-000009000000}"/>
    <hyperlink ref="M1" r:id="rId11" display="http://stats.oecd.org/OECDStat_Metadata/ShowMetadata.ashx?Dataset=QNA&amp;Coords=[LOCATION].[FIN]&amp;ShowOnWeb=true&amp;Lang=en" xr:uid="{00000000-0004-0000-0500-00000A000000}"/>
    <hyperlink ref="N1" r:id="rId12" display="http://stats.oecd.org/OECDStat_Metadata/ShowMetadata.ashx?Dataset=QNA&amp;Coords=[LOCATION].[FRA]&amp;ShowOnWeb=true&amp;Lang=en" xr:uid="{00000000-0004-0000-0500-00000B000000}"/>
    <hyperlink ref="O1" r:id="rId13" display="http://stats.oecd.org/OECDStat_Metadata/ShowMetadata.ashx?Dataset=QNA&amp;Coords=[LOCATION].[DEU]&amp;ShowOnWeb=true&amp;Lang=en" xr:uid="{00000000-0004-0000-0500-00000C000000}"/>
    <hyperlink ref="P1" r:id="rId14" display="http://stats.oecd.org/OECDStat_Metadata/ShowMetadata.ashx?Dataset=QNA&amp;Coords=[LOCATION].[GRC]&amp;ShowOnWeb=true&amp;Lang=en" xr:uid="{00000000-0004-0000-0500-00000D000000}"/>
    <hyperlink ref="Q1" r:id="rId15" display="http://stats.oecd.org/OECDStat_Metadata/ShowMetadata.ashx?Dataset=QNA&amp;Coords=[LOCATION].[HUN]&amp;ShowOnWeb=true&amp;Lang=en" xr:uid="{00000000-0004-0000-0500-00000E000000}"/>
    <hyperlink ref="R1" r:id="rId16" display="http://stats.oecd.org/OECDStat_Metadata/ShowMetadata.ashx?Dataset=QNA&amp;Coords=[LOCATION].[ISL]&amp;ShowOnWeb=true&amp;Lang=en" xr:uid="{00000000-0004-0000-0500-00000F000000}"/>
    <hyperlink ref="S1" r:id="rId17" display="http://stats.oecd.org/OECDStat_Metadata/ShowMetadata.ashx?Dataset=QNA&amp;Coords=[LOCATION].[IRL]&amp;ShowOnWeb=true&amp;Lang=en" xr:uid="{00000000-0004-0000-0500-000010000000}"/>
    <hyperlink ref="T1" r:id="rId18" display="http://stats.oecd.org/OECDStat_Metadata/ShowMetadata.ashx?Dataset=QNA&amp;Coords=[LOCATION].[ISR]&amp;ShowOnWeb=true&amp;Lang=en" xr:uid="{00000000-0004-0000-0500-000011000000}"/>
    <hyperlink ref="U1" r:id="rId19" display="http://stats.oecd.org/OECDStat_Metadata/ShowMetadata.ashx?Dataset=QNA&amp;Coords=[LOCATION].[ITA]&amp;ShowOnWeb=true&amp;Lang=en" xr:uid="{00000000-0004-0000-0500-000012000000}"/>
    <hyperlink ref="V1" r:id="rId20" display="http://stats.oecd.org/OECDStat_Metadata/ShowMetadata.ashx?Dataset=QNA&amp;Coords=[LOCATION].[JPN]&amp;ShowOnWeb=true&amp;Lang=en" xr:uid="{00000000-0004-0000-0500-000013000000}"/>
    <hyperlink ref="W1" r:id="rId21" display="http://stats.oecd.org/OECDStat_Metadata/ShowMetadata.ashx?Dataset=QNA&amp;Coords=[LOCATION].[KOR]&amp;ShowOnWeb=true&amp;Lang=en" xr:uid="{00000000-0004-0000-0500-000014000000}"/>
    <hyperlink ref="X1" r:id="rId22" display="http://stats.oecd.org/OECDStat_Metadata/ShowMetadata.ashx?Dataset=QNA&amp;Coords=[LOCATION].[LVA]&amp;ShowOnWeb=true&amp;Lang=en" xr:uid="{00000000-0004-0000-0500-000015000000}"/>
    <hyperlink ref="Y1" r:id="rId23" display="http://stats.oecd.org/OECDStat_Metadata/ShowMetadata.ashx?Dataset=QNA&amp;Coords=[LOCATION].[LTU]&amp;ShowOnWeb=true&amp;Lang=en" xr:uid="{00000000-0004-0000-0500-000016000000}"/>
    <hyperlink ref="Z1" r:id="rId24" display="http://stats.oecd.org/OECDStat_Metadata/ShowMetadata.ashx?Dataset=QNA&amp;Coords=[LOCATION].[LUX]&amp;ShowOnWeb=true&amp;Lang=en" xr:uid="{00000000-0004-0000-0500-000017000000}"/>
    <hyperlink ref="AA1" r:id="rId25" display="http://stats.oecd.org/OECDStat_Metadata/ShowMetadata.ashx?Dataset=QNA&amp;Coords=[LOCATION].[MEX]&amp;ShowOnWeb=true&amp;Lang=en" xr:uid="{00000000-0004-0000-0500-000018000000}"/>
    <hyperlink ref="AB1" r:id="rId26" display="http://stats.oecd.org/OECDStat_Metadata/ShowMetadata.ashx?Dataset=QNA&amp;Coords=[LOCATION].[NLD]&amp;ShowOnWeb=true&amp;Lang=en" xr:uid="{00000000-0004-0000-0500-000019000000}"/>
    <hyperlink ref="AC1" r:id="rId27" display="http://stats.oecd.org/OECDStat_Metadata/ShowMetadata.ashx?Dataset=QNA&amp;Coords=[LOCATION].[NZL]&amp;ShowOnWeb=true&amp;Lang=en" xr:uid="{00000000-0004-0000-0500-00001A000000}"/>
    <hyperlink ref="AD1" r:id="rId28" display="http://stats.oecd.org/OECDStat_Metadata/ShowMetadata.ashx?Dataset=QNA&amp;Coords=[LOCATION].[NOR]&amp;ShowOnWeb=true&amp;Lang=en" xr:uid="{00000000-0004-0000-0500-00001B000000}"/>
    <hyperlink ref="AE1" r:id="rId29" display="http://stats.oecd.org/OECDStat_Metadata/ShowMetadata.ashx?Dataset=QNA&amp;Coords=[LOCATION].[POL]&amp;ShowOnWeb=true&amp;Lang=en" xr:uid="{00000000-0004-0000-0500-00001C000000}"/>
    <hyperlink ref="AF1" r:id="rId30" display="http://stats.oecd.org/OECDStat_Metadata/ShowMetadata.ashx?Dataset=QNA&amp;Coords=[LOCATION].[PRT]&amp;ShowOnWeb=true&amp;Lang=en" xr:uid="{00000000-0004-0000-0500-00001D000000}"/>
    <hyperlink ref="AG1" r:id="rId31" display="http://stats.oecd.org/OECDStat_Metadata/ShowMetadata.ashx?Dataset=QNA&amp;Coords=[LOCATION].[SVK]&amp;ShowOnWeb=true&amp;Lang=en" xr:uid="{00000000-0004-0000-0500-00001E000000}"/>
    <hyperlink ref="AH1" r:id="rId32" display="http://stats.oecd.org/OECDStat_Metadata/ShowMetadata.ashx?Dataset=QNA&amp;Coords=[LOCATION].[SVN]&amp;ShowOnWeb=true&amp;Lang=en" xr:uid="{00000000-0004-0000-0500-00001F000000}"/>
    <hyperlink ref="AI1" r:id="rId33" display="http://stats.oecd.org/OECDStat_Metadata/ShowMetadata.ashx?Dataset=QNA&amp;Coords=[LOCATION].[ESP]&amp;ShowOnWeb=true&amp;Lang=en" xr:uid="{00000000-0004-0000-0500-000020000000}"/>
    <hyperlink ref="AJ1" r:id="rId34" display="http://stats.oecd.org/OECDStat_Metadata/ShowMetadata.ashx?Dataset=QNA&amp;Coords=[LOCATION].[SWE]&amp;ShowOnWeb=true&amp;Lang=en" xr:uid="{00000000-0004-0000-0500-000021000000}"/>
    <hyperlink ref="AK1" r:id="rId35" display="http://stats.oecd.org/OECDStat_Metadata/ShowMetadata.ashx?Dataset=QNA&amp;Coords=[LOCATION].[CHE]&amp;ShowOnWeb=true&amp;Lang=en" xr:uid="{00000000-0004-0000-0500-000022000000}"/>
    <hyperlink ref="AL1" r:id="rId36" display="http://stats.oecd.org/OECDStat_Metadata/ShowMetadata.ashx?Dataset=QNA&amp;Coords=[LOCATION].[TUR]&amp;ShowOnWeb=true&amp;Lang=en" xr:uid="{00000000-0004-0000-0500-000023000000}"/>
    <hyperlink ref="AM1" r:id="rId37" display="http://stats.oecd.org/OECDStat_Metadata/ShowMetadata.ashx?Dataset=QNA&amp;Coords=[LOCATION].[GBR]&amp;ShowOnWeb=true&amp;Lang=en" xr:uid="{00000000-0004-0000-0500-000024000000}"/>
    <hyperlink ref="AN1" r:id="rId38" display="http://stats.oecd.org/OECDStat_Metadata/ShowMetadata.ashx?Dataset=QNA&amp;Coords=[LOCATION].[USA]&amp;ShowOnWeb=true&amp;Lang=en" xr:uid="{00000000-0004-0000-0500-000025000000}"/>
    <hyperlink ref="AO1" r:id="rId39" display="http://stats.oecd.org/OECDStat_Metadata/ShowMetadata.ashx?Dataset=QNA&amp;Coords=[LOCATION].[EA19]&amp;ShowOnWeb=true&amp;Lang=en" xr:uid="{00000000-0004-0000-0500-000026000000}"/>
    <hyperlink ref="AP1" r:id="rId40" display="http://stats.oecd.org/OECDStat_Metadata/ShowMetadata.ashx?Dataset=QNA&amp;Coords=[LOCATION].[EU27_2020]&amp;ShowOnWeb=true&amp;Lang=en" xr:uid="{00000000-0004-0000-0500-000027000000}"/>
    <hyperlink ref="AQ1" r:id="rId41" display="http://stats.oecd.org/OECDStat_Metadata/ShowMetadata.ashx?Dataset=QNA&amp;Coords=[LOCATION].[G-7]&amp;ShowOnWeb=true&amp;Lang=en" xr:uid="{00000000-0004-0000-0500-000028000000}"/>
    <hyperlink ref="AR1" r:id="rId42" display="http://stats.oecd.org/OECDStat_Metadata/ShowMetadata.ashx?Dataset=QNA&amp;Coords=[LOCATION].[NAFTA]&amp;ShowOnWeb=true&amp;Lang=en" xr:uid="{00000000-0004-0000-0500-000029000000}"/>
    <hyperlink ref="AS1" r:id="rId43" display="http://stats.oecd.org/OECDStat_Metadata/ShowMetadata.ashx?Dataset=QNA&amp;Coords=[LOCATION].[OECDE]&amp;ShowOnWeb=true&amp;Lang=en" xr:uid="{00000000-0004-0000-0500-00002A000000}"/>
    <hyperlink ref="AT1" r:id="rId44" display="http://stats.oecd.org/OECDStat_Metadata/ShowMetadata.ashx?Dataset=QNA&amp;Coords=[LOCATION].[G-20]&amp;ShowOnWeb=true&amp;Lang=en" xr:uid="{00000000-0004-0000-0500-00002B000000}"/>
    <hyperlink ref="AU1" r:id="rId45" display="http://stats.oecd.org/OECDStat_Metadata/ShowMetadata.ashx?Dataset=QNA&amp;Coords=[LOCATION].[OECD]&amp;ShowOnWeb=true&amp;Lang=en" xr:uid="{00000000-0004-0000-0500-00002C000000}"/>
    <hyperlink ref="AV1" r:id="rId46" display="http://stats.oecd.org/OECDStat_Metadata/ShowMetadata.ashx?Dataset=QNA&amp;Coords=[LOCATION].[ARG]&amp;ShowOnWeb=true&amp;Lang=en" xr:uid="{00000000-0004-0000-0500-00002D000000}"/>
    <hyperlink ref="AW1" r:id="rId47" display="http://stats.oecd.org/OECDStat_Metadata/ShowMetadata.ashx?Dataset=QNA&amp;Coords=[LOCATION].[BRA]&amp;ShowOnWeb=true&amp;Lang=en" xr:uid="{00000000-0004-0000-0500-00002E000000}"/>
    <hyperlink ref="AX1" r:id="rId48" display="http://stats.oecd.org/OECDStat_Metadata/ShowMetadata.ashx?Dataset=QNA&amp;Coords=[LOCATION].[BGR]&amp;ShowOnWeb=true&amp;Lang=en" xr:uid="{00000000-0004-0000-0500-00002F000000}"/>
    <hyperlink ref="AY1" r:id="rId49" display="http://stats.oecd.org/OECDStat_Metadata/ShowMetadata.ashx?Dataset=QNA&amp;Coords=[LOCATION].[CHN]&amp;ShowOnWeb=true&amp;Lang=en" xr:uid="{00000000-0004-0000-0500-000030000000}"/>
    <hyperlink ref="AZ1" r:id="rId50" display="http://stats.oecd.org/OECDStat_Metadata/ShowMetadata.ashx?Dataset=QNA&amp;Coords=[LOCATION].[IND]&amp;ShowOnWeb=true&amp;Lang=en" xr:uid="{00000000-0004-0000-0500-000031000000}"/>
    <hyperlink ref="BA1" r:id="rId51" display="http://stats.oecd.org/OECDStat_Metadata/ShowMetadata.ashx?Dataset=QNA&amp;Coords=[LOCATION].[IDN]&amp;ShowOnWeb=true&amp;Lang=en" xr:uid="{00000000-0004-0000-0500-000032000000}"/>
    <hyperlink ref="BB1" r:id="rId52" display="http://stats.oecd.org/OECDStat_Metadata/ShowMetadata.ashx?Dataset=QNA&amp;Coords=[LOCATION].[ROU]&amp;ShowOnWeb=true&amp;Lang=en" xr:uid="{00000000-0004-0000-0500-000033000000}"/>
    <hyperlink ref="BC1" r:id="rId53" display="http://stats.oecd.org/OECDStat_Metadata/ShowMetadata.ashx?Dataset=QNA&amp;Coords=[LOCATION].[RUS]&amp;ShowOnWeb=true&amp;Lang=en" xr:uid="{00000000-0004-0000-0500-000034000000}"/>
    <hyperlink ref="BD1" r:id="rId54" display="http://stats.oecd.org/OECDStat_Metadata/ShowMetadata.ashx?Dataset=QNA&amp;Coords=[LOCATION].[SAU]&amp;ShowOnWeb=true&amp;Lang=en" xr:uid="{00000000-0004-0000-0500-000035000000}"/>
    <hyperlink ref="BE1" r:id="rId55" display="http://stats.oecd.org/OECDStat_Metadata/ShowMetadata.ashx?Dataset=QNA&amp;Coords=[LOCATION].[ZAF]&amp;ShowOnWeb=true&amp;Lang=en" xr:uid="{00000000-0004-0000-0500-000036000000}"/>
  </hyperlinks>
  <pageMargins left="0.7" right="0.7" top="0.75" bottom="0.75" header="0.3" footer="0.3"/>
  <pageSetup orientation="portrait" r:id="rId56"/>
  <headerFooter>
    <oddHeader>&amp;L&amp;"Calibri"&amp;11&amp;K000000NONCONFIDENTIAL // FRSONLY&amp;1#</oddHeader>
  </headerFooter>
  <legacyDrawing r:id="rId5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5"/>
  <sheetViews>
    <sheetView topLeftCell="A295" workbookViewId="0">
      <selection activeCell="B304" sqref="B304"/>
    </sheetView>
  </sheetViews>
  <sheetFormatPr defaultColWidth="20.6328125" defaultRowHeight="14.5" x14ac:dyDescent="0.35"/>
  <cols>
    <col min="1" max="1" width="20.6328125" customWidth="1"/>
  </cols>
  <sheetData>
    <row r="1" spans="1:2" x14ac:dyDescent="0.35">
      <c r="A1" t="s">
        <v>108</v>
      </c>
    </row>
    <row r="2" spans="1:2" x14ac:dyDescent="0.35">
      <c r="A2" t="s">
        <v>109</v>
      </c>
    </row>
    <row r="3" spans="1:2" x14ac:dyDescent="0.35">
      <c r="A3" t="s">
        <v>110</v>
      </c>
    </row>
    <row r="4" spans="1:2" x14ac:dyDescent="0.35">
      <c r="A4" t="s">
        <v>111</v>
      </c>
    </row>
    <row r="5" spans="1:2" x14ac:dyDescent="0.35">
      <c r="A5" t="s">
        <v>112</v>
      </c>
    </row>
    <row r="6" spans="1:2" x14ac:dyDescent="0.35">
      <c r="A6" t="s">
        <v>113</v>
      </c>
    </row>
    <row r="8" spans="1:2" x14ac:dyDescent="0.35">
      <c r="A8" t="s">
        <v>520</v>
      </c>
      <c r="B8" t="s">
        <v>521</v>
      </c>
    </row>
    <row r="10" spans="1:2" x14ac:dyDescent="0.35">
      <c r="A10" t="s">
        <v>522</v>
      </c>
    </row>
    <row r="11" spans="1:2" x14ac:dyDescent="0.35">
      <c r="A11" t="s">
        <v>117</v>
      </c>
      <c r="B11" t="s">
        <v>520</v>
      </c>
    </row>
    <row r="12" spans="1:2" x14ac:dyDescent="0.35">
      <c r="A12" s="53">
        <v>17168</v>
      </c>
      <c r="B12" s="91">
        <v>11.96</v>
      </c>
    </row>
    <row r="13" spans="1:2" x14ac:dyDescent="0.35">
      <c r="A13" s="53">
        <v>17258</v>
      </c>
      <c r="B13" s="91">
        <v>12.131</v>
      </c>
    </row>
    <row r="14" spans="1:2" x14ac:dyDescent="0.35">
      <c r="A14" s="53">
        <v>17349</v>
      </c>
      <c r="B14" s="91">
        <v>12.335000000000001</v>
      </c>
    </row>
    <row r="15" spans="1:2" x14ac:dyDescent="0.35">
      <c r="A15" s="53">
        <v>17441</v>
      </c>
      <c r="B15" s="91">
        <v>12.638999999999999</v>
      </c>
    </row>
    <row r="16" spans="1:2" x14ac:dyDescent="0.35">
      <c r="A16" s="53">
        <v>17533</v>
      </c>
      <c r="B16" s="91">
        <v>12.739000000000001</v>
      </c>
    </row>
    <row r="17" spans="1:2" x14ac:dyDescent="0.35">
      <c r="A17" s="53">
        <v>17624</v>
      </c>
      <c r="B17" s="91">
        <v>12.853999999999999</v>
      </c>
    </row>
    <row r="18" spans="1:2" x14ac:dyDescent="0.35">
      <c r="A18" s="53">
        <v>17715</v>
      </c>
      <c r="B18" s="91">
        <v>13.092000000000001</v>
      </c>
    </row>
    <row r="19" spans="1:2" x14ac:dyDescent="0.35">
      <c r="A19" s="53">
        <v>17807</v>
      </c>
      <c r="B19" s="91">
        <v>13.132</v>
      </c>
    </row>
    <row r="20" spans="1:2" x14ac:dyDescent="0.35">
      <c r="A20" s="53">
        <v>17899</v>
      </c>
      <c r="B20" s="91">
        <v>13.061999999999999</v>
      </c>
    </row>
    <row r="21" spans="1:2" x14ac:dyDescent="0.35">
      <c r="A21" s="53">
        <v>17989</v>
      </c>
      <c r="B21" s="91">
        <v>12.930999999999999</v>
      </c>
    </row>
    <row r="22" spans="1:2" x14ac:dyDescent="0.35">
      <c r="A22" s="53">
        <v>18080</v>
      </c>
      <c r="B22" s="91">
        <v>12.872</v>
      </c>
    </row>
    <row r="23" spans="1:2" x14ac:dyDescent="0.35">
      <c r="A23" s="53">
        <v>18172</v>
      </c>
      <c r="B23" s="91">
        <v>12.872999999999999</v>
      </c>
    </row>
    <row r="24" spans="1:2" x14ac:dyDescent="0.35">
      <c r="A24" s="53">
        <v>18264</v>
      </c>
      <c r="B24" s="91">
        <v>12.853</v>
      </c>
    </row>
    <row r="25" spans="1:2" x14ac:dyDescent="0.35">
      <c r="A25" s="53">
        <v>18354</v>
      </c>
      <c r="B25" s="91">
        <v>12.897</v>
      </c>
    </row>
    <row r="26" spans="1:2" x14ac:dyDescent="0.35">
      <c r="A26" s="53">
        <v>18445</v>
      </c>
      <c r="B26" s="91">
        <v>13.177</v>
      </c>
    </row>
    <row r="27" spans="1:2" x14ac:dyDescent="0.35">
      <c r="A27" s="53">
        <v>18537</v>
      </c>
      <c r="B27" s="91">
        <v>13.425000000000001</v>
      </c>
    </row>
    <row r="28" spans="1:2" x14ac:dyDescent="0.35">
      <c r="A28" s="53">
        <v>18629</v>
      </c>
      <c r="B28" s="91">
        <v>13.909000000000001</v>
      </c>
    </row>
    <row r="29" spans="1:2" x14ac:dyDescent="0.35">
      <c r="A29" s="53">
        <v>18719</v>
      </c>
      <c r="B29" s="91">
        <v>14.002000000000001</v>
      </c>
    </row>
    <row r="30" spans="1:2" x14ac:dyDescent="0.35">
      <c r="A30" s="53">
        <v>18810</v>
      </c>
      <c r="B30" s="91">
        <v>14.01</v>
      </c>
    </row>
    <row r="31" spans="1:2" x14ac:dyDescent="0.35">
      <c r="A31" s="53">
        <v>18902</v>
      </c>
      <c r="B31" s="91">
        <v>14.17</v>
      </c>
    </row>
    <row r="32" spans="1:2" x14ac:dyDescent="0.35">
      <c r="A32" s="53">
        <v>18994</v>
      </c>
      <c r="B32" s="91">
        <v>14.163</v>
      </c>
    </row>
    <row r="33" spans="1:2" x14ac:dyDescent="0.35">
      <c r="A33" s="53">
        <v>19085</v>
      </c>
      <c r="B33" s="91">
        <v>14.18</v>
      </c>
    </row>
    <row r="34" spans="1:2" x14ac:dyDescent="0.35">
      <c r="A34" s="53">
        <v>19176</v>
      </c>
      <c r="B34" s="91">
        <v>14.339</v>
      </c>
    </row>
    <row r="35" spans="1:2" x14ac:dyDescent="0.35">
      <c r="A35" s="53">
        <v>19268</v>
      </c>
      <c r="B35" s="91">
        <v>14.378</v>
      </c>
    </row>
    <row r="36" spans="1:2" x14ac:dyDescent="0.35">
      <c r="A36" s="53">
        <v>19360</v>
      </c>
      <c r="B36" s="91">
        <v>14.381</v>
      </c>
    </row>
    <row r="37" spans="1:2" x14ac:dyDescent="0.35">
      <c r="A37" s="53">
        <v>19450</v>
      </c>
      <c r="B37" s="91">
        <v>14.409000000000001</v>
      </c>
    </row>
    <row r="38" spans="1:2" x14ac:dyDescent="0.35">
      <c r="A38" s="53">
        <v>19541</v>
      </c>
      <c r="B38" s="91">
        <v>14.47</v>
      </c>
    </row>
    <row r="39" spans="1:2" x14ac:dyDescent="0.35">
      <c r="A39" s="53">
        <v>19633</v>
      </c>
      <c r="B39" s="91">
        <v>14.497</v>
      </c>
    </row>
    <row r="40" spans="1:2" x14ac:dyDescent="0.35">
      <c r="A40" s="53">
        <v>19725</v>
      </c>
      <c r="B40" s="91">
        <v>14.542999999999999</v>
      </c>
    </row>
    <row r="41" spans="1:2" x14ac:dyDescent="0.35">
      <c r="A41" s="53">
        <v>19815</v>
      </c>
      <c r="B41" s="91">
        <v>14.555999999999999</v>
      </c>
    </row>
    <row r="42" spans="1:2" x14ac:dyDescent="0.35">
      <c r="A42" s="53">
        <v>19906</v>
      </c>
      <c r="B42" s="91">
        <v>14.574999999999999</v>
      </c>
    </row>
    <row r="43" spans="1:2" x14ac:dyDescent="0.35">
      <c r="A43" s="53">
        <v>19998</v>
      </c>
      <c r="B43" s="91">
        <v>14.615</v>
      </c>
    </row>
    <row r="44" spans="1:2" x14ac:dyDescent="0.35">
      <c r="A44" s="53">
        <v>20090</v>
      </c>
      <c r="B44" s="91">
        <v>14.683</v>
      </c>
    </row>
    <row r="45" spans="1:2" x14ac:dyDescent="0.35">
      <c r="A45" s="53">
        <v>20180</v>
      </c>
      <c r="B45" s="91">
        <v>14.744</v>
      </c>
    </row>
    <row r="46" spans="1:2" x14ac:dyDescent="0.35">
      <c r="A46" s="53">
        <v>20271</v>
      </c>
      <c r="B46" s="91">
        <v>14.847</v>
      </c>
    </row>
    <row r="47" spans="1:2" x14ac:dyDescent="0.35">
      <c r="A47" s="53">
        <v>20363</v>
      </c>
      <c r="B47" s="91">
        <v>14.994999999999999</v>
      </c>
    </row>
    <row r="48" spans="1:2" x14ac:dyDescent="0.35">
      <c r="A48" s="53">
        <v>20455</v>
      </c>
      <c r="B48" s="91">
        <v>15.144</v>
      </c>
    </row>
    <row r="49" spans="1:2" x14ac:dyDescent="0.35">
      <c r="A49" s="53">
        <v>20546</v>
      </c>
      <c r="B49" s="91">
        <v>15.234</v>
      </c>
    </row>
    <row r="50" spans="1:2" x14ac:dyDescent="0.35">
      <c r="A50" s="53">
        <v>20637</v>
      </c>
      <c r="B50" s="91">
        <v>15.425000000000001</v>
      </c>
    </row>
    <row r="51" spans="1:2" x14ac:dyDescent="0.35">
      <c r="A51" s="53">
        <v>20729</v>
      </c>
      <c r="B51" s="91">
        <v>15.487</v>
      </c>
    </row>
    <row r="52" spans="1:2" x14ac:dyDescent="0.35">
      <c r="A52" s="53">
        <v>20821</v>
      </c>
      <c r="B52" s="91">
        <v>15.7</v>
      </c>
    </row>
    <row r="53" spans="1:2" x14ac:dyDescent="0.35">
      <c r="A53" s="53">
        <v>20911</v>
      </c>
      <c r="B53" s="91">
        <v>15.81</v>
      </c>
    </row>
    <row r="54" spans="1:2" x14ac:dyDescent="0.35">
      <c r="A54" s="53">
        <v>21002</v>
      </c>
      <c r="B54" s="91">
        <v>15.904</v>
      </c>
    </row>
    <row r="55" spans="1:2" x14ac:dyDescent="0.35">
      <c r="A55" s="53">
        <v>21094</v>
      </c>
      <c r="B55" s="91">
        <v>15.914999999999999</v>
      </c>
    </row>
    <row r="56" spans="1:2" x14ac:dyDescent="0.35">
      <c r="A56" s="53">
        <v>21186</v>
      </c>
      <c r="B56" s="91">
        <v>16.087</v>
      </c>
    </row>
    <row r="57" spans="1:2" x14ac:dyDescent="0.35">
      <c r="A57" s="53">
        <v>21276</v>
      </c>
      <c r="B57" s="91">
        <v>16.134</v>
      </c>
    </row>
    <row r="58" spans="1:2" x14ac:dyDescent="0.35">
      <c r="A58" s="53">
        <v>21367</v>
      </c>
      <c r="B58" s="91">
        <v>16.231999999999999</v>
      </c>
    </row>
    <row r="59" spans="1:2" x14ac:dyDescent="0.35">
      <c r="A59" s="53">
        <v>21459</v>
      </c>
      <c r="B59" s="91">
        <v>16.309000000000001</v>
      </c>
    </row>
    <row r="60" spans="1:2" x14ac:dyDescent="0.35">
      <c r="A60" s="53">
        <v>21551</v>
      </c>
      <c r="B60" s="91">
        <v>16.347000000000001</v>
      </c>
    </row>
    <row r="61" spans="1:2" x14ac:dyDescent="0.35">
      <c r="A61" s="53">
        <v>21641</v>
      </c>
      <c r="B61" s="91">
        <v>16.372</v>
      </c>
    </row>
    <row r="62" spans="1:2" x14ac:dyDescent="0.35">
      <c r="A62" s="53">
        <v>21732</v>
      </c>
      <c r="B62" s="91">
        <v>16.434999999999999</v>
      </c>
    </row>
    <row r="63" spans="1:2" x14ac:dyDescent="0.35">
      <c r="A63" s="53">
        <v>21824</v>
      </c>
      <c r="B63" s="91">
        <v>16.498999999999999</v>
      </c>
    </row>
    <row r="64" spans="1:2" x14ac:dyDescent="0.35">
      <c r="A64" s="53">
        <v>21916</v>
      </c>
      <c r="B64" s="91">
        <v>16.565999999999999</v>
      </c>
    </row>
    <row r="65" spans="1:2" x14ac:dyDescent="0.35">
      <c r="A65" s="53">
        <v>22007</v>
      </c>
      <c r="B65" s="91">
        <v>16.606999999999999</v>
      </c>
    </row>
    <row r="66" spans="1:2" x14ac:dyDescent="0.35">
      <c r="A66" s="53">
        <v>22098</v>
      </c>
      <c r="B66" s="91">
        <v>16.664999999999999</v>
      </c>
    </row>
    <row r="67" spans="1:2" x14ac:dyDescent="0.35">
      <c r="A67" s="53">
        <v>22190</v>
      </c>
      <c r="B67" s="91">
        <v>16.713999999999999</v>
      </c>
    </row>
    <row r="68" spans="1:2" x14ac:dyDescent="0.35">
      <c r="A68" s="53">
        <v>22282</v>
      </c>
      <c r="B68" s="91">
        <v>16.75</v>
      </c>
    </row>
    <row r="69" spans="1:2" x14ac:dyDescent="0.35">
      <c r="A69" s="53">
        <v>22372</v>
      </c>
      <c r="B69" s="91">
        <v>16.789000000000001</v>
      </c>
    </row>
    <row r="70" spans="1:2" x14ac:dyDescent="0.35">
      <c r="A70" s="53">
        <v>22463</v>
      </c>
      <c r="B70" s="91">
        <v>16.832000000000001</v>
      </c>
    </row>
    <row r="71" spans="1:2" x14ac:dyDescent="0.35">
      <c r="A71" s="53">
        <v>22555</v>
      </c>
      <c r="B71" s="91">
        <v>16.885000000000002</v>
      </c>
    </row>
    <row r="72" spans="1:2" x14ac:dyDescent="0.35">
      <c r="A72" s="53">
        <v>22647</v>
      </c>
      <c r="B72" s="91">
        <v>16.972000000000001</v>
      </c>
    </row>
    <row r="73" spans="1:2" x14ac:dyDescent="0.35">
      <c r="A73" s="53">
        <v>22737</v>
      </c>
      <c r="B73" s="91">
        <v>16.998999999999999</v>
      </c>
    </row>
    <row r="74" spans="1:2" x14ac:dyDescent="0.35">
      <c r="A74" s="53">
        <v>22828</v>
      </c>
      <c r="B74" s="91">
        <v>17.035</v>
      </c>
    </row>
    <row r="75" spans="1:2" x14ac:dyDescent="0.35">
      <c r="A75" s="53">
        <v>22920</v>
      </c>
      <c r="B75" s="91">
        <v>17.07</v>
      </c>
    </row>
    <row r="76" spans="1:2" x14ac:dyDescent="0.35">
      <c r="A76" s="53">
        <v>23012</v>
      </c>
      <c r="B76" s="91">
        <v>17.145</v>
      </c>
    </row>
    <row r="77" spans="1:2" x14ac:dyDescent="0.35">
      <c r="A77" s="53">
        <v>23102</v>
      </c>
      <c r="B77" s="91">
        <v>17.175000000000001</v>
      </c>
    </row>
    <row r="78" spans="1:2" x14ac:dyDescent="0.35">
      <c r="A78" s="53">
        <v>23193</v>
      </c>
      <c r="B78" s="91">
        <v>17.198</v>
      </c>
    </row>
    <row r="79" spans="1:2" x14ac:dyDescent="0.35">
      <c r="A79" s="53">
        <v>23285</v>
      </c>
      <c r="B79" s="91">
        <v>17.337</v>
      </c>
    </row>
    <row r="80" spans="1:2" x14ac:dyDescent="0.35">
      <c r="A80" s="53">
        <v>23377</v>
      </c>
      <c r="B80" s="91">
        <v>17.391999999999999</v>
      </c>
    </row>
    <row r="81" spans="1:2" x14ac:dyDescent="0.35">
      <c r="A81" s="53">
        <v>23468</v>
      </c>
      <c r="B81" s="91">
        <v>17.431999999999999</v>
      </c>
    </row>
    <row r="82" spans="1:2" x14ac:dyDescent="0.35">
      <c r="A82" s="53">
        <v>23559</v>
      </c>
      <c r="B82" s="91">
        <v>17.501999999999999</v>
      </c>
    </row>
    <row r="83" spans="1:2" x14ac:dyDescent="0.35">
      <c r="A83" s="53">
        <v>23651</v>
      </c>
      <c r="B83" s="91">
        <v>17.581</v>
      </c>
    </row>
    <row r="84" spans="1:2" x14ac:dyDescent="0.35">
      <c r="A84" s="53">
        <v>23743</v>
      </c>
      <c r="B84" s="91">
        <v>17.670000000000002</v>
      </c>
    </row>
    <row r="85" spans="1:2" x14ac:dyDescent="0.35">
      <c r="A85" s="53">
        <v>23833</v>
      </c>
      <c r="B85" s="91">
        <v>17.751000000000001</v>
      </c>
    </row>
    <row r="86" spans="1:2" x14ac:dyDescent="0.35">
      <c r="A86" s="53">
        <v>23924</v>
      </c>
      <c r="B86" s="91">
        <v>17.818999999999999</v>
      </c>
    </row>
    <row r="87" spans="1:2" x14ac:dyDescent="0.35">
      <c r="A87" s="53">
        <v>24016</v>
      </c>
      <c r="B87" s="91">
        <v>17.942</v>
      </c>
    </row>
    <row r="88" spans="1:2" x14ac:dyDescent="0.35">
      <c r="A88" s="53">
        <v>24108</v>
      </c>
      <c r="B88" s="91">
        <v>18.056999999999999</v>
      </c>
    </row>
    <row r="89" spans="1:2" x14ac:dyDescent="0.35">
      <c r="A89" s="53">
        <v>24198</v>
      </c>
      <c r="B89" s="91">
        <v>18.204999999999998</v>
      </c>
    </row>
    <row r="90" spans="1:2" x14ac:dyDescent="0.35">
      <c r="A90" s="53">
        <v>24289</v>
      </c>
      <c r="B90" s="91">
        <v>18.381</v>
      </c>
    </row>
    <row r="91" spans="1:2" x14ac:dyDescent="0.35">
      <c r="A91" s="53">
        <v>24381</v>
      </c>
      <c r="B91" s="91">
        <v>18.535</v>
      </c>
    </row>
    <row r="92" spans="1:2" x14ac:dyDescent="0.35">
      <c r="A92" s="53">
        <v>24473</v>
      </c>
      <c r="B92" s="91">
        <v>18.611999999999998</v>
      </c>
    </row>
    <row r="93" spans="1:2" x14ac:dyDescent="0.35">
      <c r="A93" s="53">
        <v>24563</v>
      </c>
      <c r="B93" s="91">
        <v>18.707000000000001</v>
      </c>
    </row>
    <row r="94" spans="1:2" x14ac:dyDescent="0.35">
      <c r="A94" s="53">
        <v>24654</v>
      </c>
      <c r="B94" s="91">
        <v>18.885999999999999</v>
      </c>
    </row>
    <row r="95" spans="1:2" x14ac:dyDescent="0.35">
      <c r="A95" s="53">
        <v>24746</v>
      </c>
      <c r="B95" s="91">
        <v>19.096</v>
      </c>
    </row>
    <row r="96" spans="1:2" x14ac:dyDescent="0.35">
      <c r="A96" s="53">
        <v>24838</v>
      </c>
      <c r="B96" s="91">
        <v>19.308</v>
      </c>
    </row>
    <row r="97" spans="1:2" x14ac:dyDescent="0.35">
      <c r="A97" s="53">
        <v>24929</v>
      </c>
      <c r="B97" s="91">
        <v>19.510999999999999</v>
      </c>
    </row>
    <row r="98" spans="1:2" x14ac:dyDescent="0.35">
      <c r="A98" s="53">
        <v>25020</v>
      </c>
      <c r="B98" s="91">
        <v>19.702999999999999</v>
      </c>
    </row>
    <row r="99" spans="1:2" x14ac:dyDescent="0.35">
      <c r="A99" s="53">
        <v>25112</v>
      </c>
      <c r="B99" s="91">
        <v>19.981000000000002</v>
      </c>
    </row>
    <row r="100" spans="1:2" x14ac:dyDescent="0.35">
      <c r="A100" s="53">
        <v>25204</v>
      </c>
      <c r="B100" s="91">
        <v>20.187000000000001</v>
      </c>
    </row>
    <row r="101" spans="1:2" x14ac:dyDescent="0.35">
      <c r="A101" s="53">
        <v>25294</v>
      </c>
      <c r="B101" s="91">
        <v>20.443999999999999</v>
      </c>
    </row>
    <row r="102" spans="1:2" x14ac:dyDescent="0.35">
      <c r="A102" s="53">
        <v>25385</v>
      </c>
      <c r="B102" s="91">
        <v>20.731000000000002</v>
      </c>
    </row>
    <row r="103" spans="1:2" x14ac:dyDescent="0.35">
      <c r="A103" s="53">
        <v>25477</v>
      </c>
      <c r="B103" s="91">
        <v>20.998000000000001</v>
      </c>
    </row>
    <row r="104" spans="1:2" x14ac:dyDescent="0.35">
      <c r="A104" s="53">
        <v>25569</v>
      </c>
      <c r="B104" s="91">
        <v>21.294</v>
      </c>
    </row>
    <row r="105" spans="1:2" x14ac:dyDescent="0.35">
      <c r="A105" s="53">
        <v>25659</v>
      </c>
      <c r="B105" s="91">
        <v>21.591000000000001</v>
      </c>
    </row>
    <row r="106" spans="1:2" x14ac:dyDescent="0.35">
      <c r="A106" s="53">
        <v>25750</v>
      </c>
      <c r="B106" s="91">
        <v>21.768000000000001</v>
      </c>
    </row>
    <row r="107" spans="1:2" x14ac:dyDescent="0.35">
      <c r="A107" s="53">
        <v>25842</v>
      </c>
      <c r="B107" s="91">
        <v>22.056000000000001</v>
      </c>
    </row>
    <row r="108" spans="1:2" x14ac:dyDescent="0.35">
      <c r="A108" s="53">
        <v>25934</v>
      </c>
      <c r="B108" s="91">
        <v>22.390999999999998</v>
      </c>
    </row>
    <row r="109" spans="1:2" x14ac:dyDescent="0.35">
      <c r="A109" s="53">
        <v>26024</v>
      </c>
      <c r="B109" s="91">
        <v>22.684999999999999</v>
      </c>
    </row>
    <row r="110" spans="1:2" x14ac:dyDescent="0.35">
      <c r="A110" s="53">
        <v>26115</v>
      </c>
      <c r="B110" s="91">
        <v>22.916</v>
      </c>
    </row>
    <row r="111" spans="1:2" x14ac:dyDescent="0.35">
      <c r="A111" s="53">
        <v>26207</v>
      </c>
      <c r="B111" s="91">
        <v>23.106999999999999</v>
      </c>
    </row>
    <row r="112" spans="1:2" x14ac:dyDescent="0.35">
      <c r="A112" s="53">
        <v>26299</v>
      </c>
      <c r="B112" s="91">
        <v>23.457999999999998</v>
      </c>
    </row>
    <row r="113" spans="1:2" x14ac:dyDescent="0.35">
      <c r="A113" s="53">
        <v>26390</v>
      </c>
      <c r="B113" s="91">
        <v>23.603999999999999</v>
      </c>
    </row>
    <row r="114" spans="1:2" x14ac:dyDescent="0.35">
      <c r="A114" s="53">
        <v>26481</v>
      </c>
      <c r="B114" s="91">
        <v>23.83</v>
      </c>
    </row>
    <row r="115" spans="1:2" x14ac:dyDescent="0.35">
      <c r="A115" s="53">
        <v>26573</v>
      </c>
      <c r="B115" s="91">
        <v>24.134</v>
      </c>
    </row>
    <row r="116" spans="1:2" x14ac:dyDescent="0.35">
      <c r="A116" s="53">
        <v>26665</v>
      </c>
      <c r="B116" s="91">
        <v>24.411999999999999</v>
      </c>
    </row>
    <row r="117" spans="1:2" x14ac:dyDescent="0.35">
      <c r="A117" s="53">
        <v>26755</v>
      </c>
      <c r="B117" s="91">
        <v>24.786999999999999</v>
      </c>
    </row>
    <row r="118" spans="1:2" x14ac:dyDescent="0.35">
      <c r="A118" s="53">
        <v>26846</v>
      </c>
      <c r="B118" s="91">
        <v>25.27</v>
      </c>
    </row>
    <row r="119" spans="1:2" x14ac:dyDescent="0.35">
      <c r="A119" s="53">
        <v>26938</v>
      </c>
      <c r="B119" s="91">
        <v>25.773</v>
      </c>
    </row>
    <row r="120" spans="1:2" x14ac:dyDescent="0.35">
      <c r="A120" s="53">
        <v>27030</v>
      </c>
      <c r="B120" s="91">
        <v>26.26</v>
      </c>
    </row>
    <row r="121" spans="1:2" x14ac:dyDescent="0.35">
      <c r="A121" s="53">
        <v>27120</v>
      </c>
      <c r="B121" s="91">
        <v>26.88</v>
      </c>
    </row>
    <row r="122" spans="1:2" x14ac:dyDescent="0.35">
      <c r="A122" s="53">
        <v>27211</v>
      </c>
      <c r="B122" s="91">
        <v>27.667999999999999</v>
      </c>
    </row>
    <row r="123" spans="1:2" x14ac:dyDescent="0.35">
      <c r="A123" s="53">
        <v>27303</v>
      </c>
      <c r="B123" s="91">
        <v>28.481999999999999</v>
      </c>
    </row>
    <row r="124" spans="1:2" x14ac:dyDescent="0.35">
      <c r="A124" s="53">
        <v>27395</v>
      </c>
      <c r="B124" s="91">
        <v>29.129000000000001</v>
      </c>
    </row>
    <row r="125" spans="1:2" x14ac:dyDescent="0.35">
      <c r="A125" s="53">
        <v>27485</v>
      </c>
      <c r="B125" s="91">
        <v>29.562000000000001</v>
      </c>
    </row>
    <row r="126" spans="1:2" x14ac:dyDescent="0.35">
      <c r="A126" s="53">
        <v>27576</v>
      </c>
      <c r="B126" s="91">
        <v>30.084</v>
      </c>
    </row>
    <row r="127" spans="1:2" x14ac:dyDescent="0.35">
      <c r="A127" s="53">
        <v>27668</v>
      </c>
      <c r="B127" s="91">
        <v>30.587</v>
      </c>
    </row>
    <row r="128" spans="1:2" x14ac:dyDescent="0.35">
      <c r="A128" s="53">
        <v>27760</v>
      </c>
      <c r="B128" s="91">
        <v>30.911000000000001</v>
      </c>
    </row>
    <row r="129" spans="1:2" x14ac:dyDescent="0.35">
      <c r="A129" s="53">
        <v>27851</v>
      </c>
      <c r="B129" s="91">
        <v>31.222000000000001</v>
      </c>
    </row>
    <row r="130" spans="1:2" x14ac:dyDescent="0.35">
      <c r="A130" s="53">
        <v>27942</v>
      </c>
      <c r="B130" s="91">
        <v>31.626000000000001</v>
      </c>
    </row>
    <row r="131" spans="1:2" x14ac:dyDescent="0.35">
      <c r="A131" s="53">
        <v>28034</v>
      </c>
      <c r="B131" s="91">
        <v>32.192</v>
      </c>
    </row>
    <row r="132" spans="1:2" x14ac:dyDescent="0.35">
      <c r="A132" s="53">
        <v>28126</v>
      </c>
      <c r="B132" s="91">
        <v>32.710999999999999</v>
      </c>
    </row>
    <row r="133" spans="1:2" x14ac:dyDescent="0.35">
      <c r="A133" s="53">
        <v>28216</v>
      </c>
      <c r="B133" s="91">
        <v>33.171999999999997</v>
      </c>
    </row>
    <row r="134" spans="1:2" x14ac:dyDescent="0.35">
      <c r="A134" s="53">
        <v>28307</v>
      </c>
      <c r="B134" s="91">
        <v>33.576000000000001</v>
      </c>
    </row>
    <row r="135" spans="1:2" x14ac:dyDescent="0.35">
      <c r="A135" s="53">
        <v>28399</v>
      </c>
      <c r="B135" s="91">
        <v>34.301000000000002</v>
      </c>
    </row>
    <row r="136" spans="1:2" x14ac:dyDescent="0.35">
      <c r="A136" s="53">
        <v>28491</v>
      </c>
      <c r="B136" s="91">
        <v>34.799999999999997</v>
      </c>
    </row>
    <row r="137" spans="1:2" x14ac:dyDescent="0.35">
      <c r="A137" s="53">
        <v>28581</v>
      </c>
      <c r="B137" s="91">
        <v>35.465000000000003</v>
      </c>
    </row>
    <row r="138" spans="1:2" x14ac:dyDescent="0.35">
      <c r="A138" s="53">
        <v>28672</v>
      </c>
      <c r="B138" s="91">
        <v>36.067</v>
      </c>
    </row>
    <row r="139" spans="1:2" x14ac:dyDescent="0.35">
      <c r="A139" s="53">
        <v>28764</v>
      </c>
      <c r="B139" s="91">
        <v>36.805999999999997</v>
      </c>
    </row>
    <row r="140" spans="1:2" x14ac:dyDescent="0.35">
      <c r="A140" s="53">
        <v>28856</v>
      </c>
      <c r="B140" s="91">
        <v>37.475999999999999</v>
      </c>
    </row>
    <row r="141" spans="1:2" x14ac:dyDescent="0.35">
      <c r="A141" s="53">
        <v>28946</v>
      </c>
      <c r="B141" s="91">
        <v>38.393999999999998</v>
      </c>
    </row>
    <row r="142" spans="1:2" x14ac:dyDescent="0.35">
      <c r="A142" s="53">
        <v>29037</v>
      </c>
      <c r="B142" s="91">
        <v>39.234000000000002</v>
      </c>
    </row>
    <row r="143" spans="1:2" x14ac:dyDescent="0.35">
      <c r="A143" s="53">
        <v>29129</v>
      </c>
      <c r="B143" s="91">
        <v>39.962000000000003</v>
      </c>
    </row>
    <row r="144" spans="1:2" x14ac:dyDescent="0.35">
      <c r="A144" s="53">
        <v>29221</v>
      </c>
      <c r="B144" s="91">
        <v>40.801000000000002</v>
      </c>
    </row>
    <row r="145" spans="1:2" x14ac:dyDescent="0.35">
      <c r="A145" s="53">
        <v>29312</v>
      </c>
      <c r="B145" s="91">
        <v>41.771999999999998</v>
      </c>
    </row>
    <row r="146" spans="1:2" x14ac:dyDescent="0.35">
      <c r="A146" s="53">
        <v>29403</v>
      </c>
      <c r="B146" s="91">
        <v>42.704999999999998</v>
      </c>
    </row>
    <row r="147" spans="1:2" x14ac:dyDescent="0.35">
      <c r="A147" s="53">
        <v>29495</v>
      </c>
      <c r="B147" s="91">
        <v>43.817999999999998</v>
      </c>
    </row>
    <row r="148" spans="1:2" x14ac:dyDescent="0.35">
      <c r="A148" s="53">
        <v>29587</v>
      </c>
      <c r="B148" s="91">
        <v>44.972000000000001</v>
      </c>
    </row>
    <row r="149" spans="1:2" x14ac:dyDescent="0.35">
      <c r="A149" s="53">
        <v>29677</v>
      </c>
      <c r="B149" s="91">
        <v>45.863</v>
      </c>
    </row>
    <row r="150" spans="1:2" x14ac:dyDescent="0.35">
      <c r="A150" s="53">
        <v>29768</v>
      </c>
      <c r="B150" s="91">
        <v>46.725999999999999</v>
      </c>
    </row>
    <row r="151" spans="1:2" x14ac:dyDescent="0.35">
      <c r="A151" s="53">
        <v>29860</v>
      </c>
      <c r="B151" s="91">
        <v>47.533999999999999</v>
      </c>
    </row>
    <row r="152" spans="1:2" x14ac:dyDescent="0.35">
      <c r="A152" s="53">
        <v>29952</v>
      </c>
      <c r="B152" s="91">
        <v>48.188000000000002</v>
      </c>
    </row>
    <row r="153" spans="1:2" x14ac:dyDescent="0.35">
      <c r="A153" s="53">
        <v>30042</v>
      </c>
      <c r="B153" s="91">
        <v>48.814</v>
      </c>
    </row>
    <row r="154" spans="1:2" x14ac:dyDescent="0.35">
      <c r="A154" s="53">
        <v>30133</v>
      </c>
      <c r="B154" s="91">
        <v>49.506</v>
      </c>
    </row>
    <row r="155" spans="1:2" x14ac:dyDescent="0.35">
      <c r="A155" s="53">
        <v>30225</v>
      </c>
      <c r="B155" s="91">
        <v>50.018999999999998</v>
      </c>
    </row>
    <row r="156" spans="1:2" x14ac:dyDescent="0.35">
      <c r="A156" s="53">
        <v>30317</v>
      </c>
      <c r="B156" s="91">
        <v>50.396999999999998</v>
      </c>
    </row>
    <row r="157" spans="1:2" x14ac:dyDescent="0.35">
      <c r="A157" s="53">
        <v>30407</v>
      </c>
      <c r="B157" s="91">
        <v>50.771000000000001</v>
      </c>
    </row>
    <row r="158" spans="1:2" x14ac:dyDescent="0.35">
      <c r="A158" s="53">
        <v>30498</v>
      </c>
      <c r="B158" s="91">
        <v>51.311</v>
      </c>
    </row>
    <row r="159" spans="1:2" x14ac:dyDescent="0.35">
      <c r="A159" s="53">
        <v>30590</v>
      </c>
      <c r="B159" s="91">
        <v>51.7</v>
      </c>
    </row>
    <row r="160" spans="1:2" x14ac:dyDescent="0.35">
      <c r="A160" s="53">
        <v>30682</v>
      </c>
      <c r="B160" s="91">
        <v>52.222999999999999</v>
      </c>
    </row>
    <row r="161" spans="1:2" x14ac:dyDescent="0.35">
      <c r="A161" s="53">
        <v>30773</v>
      </c>
      <c r="B161" s="91">
        <v>52.67</v>
      </c>
    </row>
    <row r="162" spans="1:2" x14ac:dyDescent="0.35">
      <c r="A162" s="53">
        <v>30864</v>
      </c>
      <c r="B162" s="91">
        <v>53.137999999999998</v>
      </c>
    </row>
    <row r="163" spans="1:2" x14ac:dyDescent="0.35">
      <c r="A163" s="53">
        <v>30956</v>
      </c>
      <c r="B163" s="91">
        <v>53.536000000000001</v>
      </c>
    </row>
    <row r="164" spans="1:2" x14ac:dyDescent="0.35">
      <c r="A164" s="53">
        <v>31048</v>
      </c>
      <c r="B164" s="91">
        <v>54.064999999999998</v>
      </c>
    </row>
    <row r="165" spans="1:2" x14ac:dyDescent="0.35">
      <c r="A165" s="53">
        <v>31138</v>
      </c>
      <c r="B165" s="91">
        <v>54.412999999999997</v>
      </c>
    </row>
    <row r="166" spans="1:2" x14ac:dyDescent="0.35">
      <c r="A166" s="53">
        <v>31229</v>
      </c>
      <c r="B166" s="91">
        <v>54.741</v>
      </c>
    </row>
    <row r="167" spans="1:2" x14ac:dyDescent="0.35">
      <c r="A167" s="53">
        <v>31321</v>
      </c>
      <c r="B167" s="91">
        <v>55.046999999999997</v>
      </c>
    </row>
    <row r="168" spans="1:2" x14ac:dyDescent="0.35">
      <c r="A168" s="53">
        <v>31413</v>
      </c>
      <c r="B168" s="91">
        <v>55.320999999999998</v>
      </c>
    </row>
    <row r="169" spans="1:2" x14ac:dyDescent="0.35">
      <c r="A169" s="53">
        <v>31503</v>
      </c>
      <c r="B169" s="91">
        <v>55.530999999999999</v>
      </c>
    </row>
    <row r="170" spans="1:2" x14ac:dyDescent="0.35">
      <c r="A170" s="53">
        <v>31594</v>
      </c>
      <c r="B170" s="91">
        <v>55.758000000000003</v>
      </c>
    </row>
    <row r="171" spans="1:2" x14ac:dyDescent="0.35">
      <c r="A171" s="53">
        <v>31686</v>
      </c>
      <c r="B171" s="91">
        <v>56.061999999999998</v>
      </c>
    </row>
    <row r="172" spans="1:2" x14ac:dyDescent="0.35">
      <c r="A172" s="53">
        <v>31778</v>
      </c>
      <c r="B172" s="91">
        <v>56.417999999999999</v>
      </c>
    </row>
    <row r="173" spans="1:2" x14ac:dyDescent="0.35">
      <c r="A173" s="53">
        <v>31868</v>
      </c>
      <c r="B173" s="91">
        <v>56.808999999999997</v>
      </c>
    </row>
    <row r="174" spans="1:2" x14ac:dyDescent="0.35">
      <c r="A174" s="53">
        <v>31959</v>
      </c>
      <c r="B174" s="91">
        <v>57.238999999999997</v>
      </c>
    </row>
    <row r="175" spans="1:2" x14ac:dyDescent="0.35">
      <c r="A175" s="53">
        <v>32051</v>
      </c>
      <c r="B175" s="91">
        <v>57.695</v>
      </c>
    </row>
    <row r="176" spans="1:2" x14ac:dyDescent="0.35">
      <c r="A176" s="53">
        <v>32143</v>
      </c>
      <c r="B176" s="91">
        <v>58.146999999999998</v>
      </c>
    </row>
    <row r="177" spans="1:2" x14ac:dyDescent="0.35">
      <c r="A177" s="53">
        <v>32234</v>
      </c>
      <c r="B177" s="91">
        <v>58.713000000000001</v>
      </c>
    </row>
    <row r="178" spans="1:2" x14ac:dyDescent="0.35">
      <c r="A178" s="53">
        <v>32325</v>
      </c>
      <c r="B178" s="91">
        <v>59.414999999999999</v>
      </c>
    </row>
    <row r="179" spans="1:2" x14ac:dyDescent="0.35">
      <c r="A179" s="53">
        <v>32417</v>
      </c>
      <c r="B179" s="91">
        <v>59.929000000000002</v>
      </c>
    </row>
    <row r="180" spans="1:2" x14ac:dyDescent="0.35">
      <c r="A180" s="53">
        <v>32509</v>
      </c>
      <c r="B180" s="91">
        <v>60.552999999999997</v>
      </c>
    </row>
    <row r="181" spans="1:2" x14ac:dyDescent="0.35">
      <c r="A181" s="53">
        <v>32599</v>
      </c>
      <c r="B181" s="91">
        <v>61.198</v>
      </c>
    </row>
    <row r="182" spans="1:2" x14ac:dyDescent="0.35">
      <c r="A182" s="53">
        <v>32690</v>
      </c>
      <c r="B182" s="91">
        <v>61.645000000000003</v>
      </c>
    </row>
    <row r="183" spans="1:2" x14ac:dyDescent="0.35">
      <c r="A183" s="53">
        <v>32782</v>
      </c>
      <c r="B183" s="91">
        <v>62.084000000000003</v>
      </c>
    </row>
    <row r="184" spans="1:2" x14ac:dyDescent="0.35">
      <c r="A184" s="53">
        <v>32874</v>
      </c>
      <c r="B184" s="91">
        <v>62.753999999999998</v>
      </c>
    </row>
    <row r="185" spans="1:2" x14ac:dyDescent="0.35">
      <c r="A185" s="53">
        <v>32964</v>
      </c>
      <c r="B185" s="91">
        <v>63.457000000000001</v>
      </c>
    </row>
    <row r="186" spans="1:2" x14ac:dyDescent="0.35">
      <c r="A186" s="53">
        <v>33055</v>
      </c>
      <c r="B186" s="91">
        <v>64.001000000000005</v>
      </c>
    </row>
    <row r="187" spans="1:2" x14ac:dyDescent="0.35">
      <c r="A187" s="53">
        <v>33147</v>
      </c>
      <c r="B187" s="91">
        <v>64.477000000000004</v>
      </c>
    </row>
    <row r="188" spans="1:2" x14ac:dyDescent="0.35">
      <c r="A188" s="53">
        <v>33239</v>
      </c>
      <c r="B188" s="91">
        <v>65.108999999999995</v>
      </c>
    </row>
    <row r="189" spans="1:2" x14ac:dyDescent="0.35">
      <c r="A189" s="53">
        <v>33329</v>
      </c>
      <c r="B189" s="91">
        <v>65.587000000000003</v>
      </c>
    </row>
    <row r="190" spans="1:2" x14ac:dyDescent="0.35">
      <c r="A190" s="53">
        <v>33420</v>
      </c>
      <c r="B190" s="91">
        <v>66.099000000000004</v>
      </c>
    </row>
    <row r="191" spans="1:2" x14ac:dyDescent="0.35">
      <c r="A191" s="53">
        <v>33512</v>
      </c>
      <c r="B191" s="91">
        <v>66.492000000000004</v>
      </c>
    </row>
    <row r="192" spans="1:2" x14ac:dyDescent="0.35">
      <c r="A192" s="53">
        <v>33604</v>
      </c>
      <c r="B192" s="91">
        <v>66.739000000000004</v>
      </c>
    </row>
    <row r="193" spans="1:2" x14ac:dyDescent="0.35">
      <c r="A193" s="53">
        <v>33695</v>
      </c>
      <c r="B193" s="91">
        <v>67.14</v>
      </c>
    </row>
    <row r="194" spans="1:2" x14ac:dyDescent="0.35">
      <c r="A194" s="53">
        <v>33786</v>
      </c>
      <c r="B194" s="91">
        <v>67.468000000000004</v>
      </c>
    </row>
    <row r="195" spans="1:2" x14ac:dyDescent="0.35">
      <c r="A195" s="53">
        <v>33878</v>
      </c>
      <c r="B195" s="91">
        <v>67.932000000000002</v>
      </c>
    </row>
    <row r="196" spans="1:2" x14ac:dyDescent="0.35">
      <c r="A196" s="53">
        <v>33970</v>
      </c>
      <c r="B196" s="91">
        <v>68.313000000000002</v>
      </c>
    </row>
    <row r="197" spans="1:2" x14ac:dyDescent="0.35">
      <c r="A197" s="53">
        <v>34060</v>
      </c>
      <c r="B197" s="91">
        <v>68.718999999999994</v>
      </c>
    </row>
    <row r="198" spans="1:2" x14ac:dyDescent="0.35">
      <c r="A198" s="53">
        <v>34151</v>
      </c>
      <c r="B198" s="91">
        <v>69.128</v>
      </c>
    </row>
    <row r="199" spans="1:2" x14ac:dyDescent="0.35">
      <c r="A199" s="53">
        <v>34243</v>
      </c>
      <c r="B199" s="91">
        <v>69.504999999999995</v>
      </c>
    </row>
    <row r="200" spans="1:2" x14ac:dyDescent="0.35">
      <c r="A200" s="53">
        <v>34335</v>
      </c>
      <c r="B200" s="91">
        <v>69.837000000000003</v>
      </c>
    </row>
    <row r="201" spans="1:2" x14ac:dyDescent="0.35">
      <c r="A201" s="53">
        <v>34425</v>
      </c>
      <c r="B201" s="91">
        <v>70.174000000000007</v>
      </c>
    </row>
    <row r="202" spans="1:2" x14ac:dyDescent="0.35">
      <c r="A202" s="53">
        <v>34516</v>
      </c>
      <c r="B202" s="91">
        <v>70.576999999999998</v>
      </c>
    </row>
    <row r="203" spans="1:2" x14ac:dyDescent="0.35">
      <c r="A203" s="53">
        <v>34608</v>
      </c>
      <c r="B203" s="91">
        <v>70.959999999999994</v>
      </c>
    </row>
    <row r="204" spans="1:2" x14ac:dyDescent="0.35">
      <c r="A204" s="53">
        <v>34700</v>
      </c>
      <c r="B204" s="91">
        <v>71.343999999999994</v>
      </c>
    </row>
    <row r="205" spans="1:2" x14ac:dyDescent="0.35">
      <c r="A205" s="53">
        <v>34790</v>
      </c>
      <c r="B205" s="91">
        <v>71.686999999999998</v>
      </c>
    </row>
    <row r="206" spans="1:2" x14ac:dyDescent="0.35">
      <c r="A206" s="53">
        <v>34881</v>
      </c>
      <c r="B206" s="91">
        <v>72.040000000000006</v>
      </c>
    </row>
    <row r="207" spans="1:2" x14ac:dyDescent="0.35">
      <c r="A207" s="53">
        <v>34973</v>
      </c>
      <c r="B207" s="91">
        <v>72.387</v>
      </c>
    </row>
    <row r="208" spans="1:2" x14ac:dyDescent="0.35">
      <c r="A208" s="53">
        <v>35065</v>
      </c>
      <c r="B208" s="91">
        <v>72.736000000000004</v>
      </c>
    </row>
    <row r="209" spans="1:2" x14ac:dyDescent="0.35">
      <c r="A209" s="53">
        <v>35156</v>
      </c>
      <c r="B209" s="91">
        <v>73.037000000000006</v>
      </c>
    </row>
    <row r="210" spans="1:2" x14ac:dyDescent="0.35">
      <c r="A210" s="53">
        <v>35247</v>
      </c>
      <c r="B210" s="91">
        <v>73.275999999999996</v>
      </c>
    </row>
    <row r="211" spans="1:2" x14ac:dyDescent="0.35">
      <c r="A211" s="53">
        <v>35339</v>
      </c>
      <c r="B211" s="91">
        <v>73.668000000000006</v>
      </c>
    </row>
    <row r="212" spans="1:2" x14ac:dyDescent="0.35">
      <c r="A212" s="53">
        <v>35431</v>
      </c>
      <c r="B212" s="91">
        <v>74.106999999999999</v>
      </c>
    </row>
    <row r="213" spans="1:2" x14ac:dyDescent="0.35">
      <c r="A213" s="53">
        <v>35521</v>
      </c>
      <c r="B213" s="91">
        <v>74.257000000000005</v>
      </c>
    </row>
    <row r="214" spans="1:2" x14ac:dyDescent="0.35">
      <c r="A214" s="53">
        <v>35612</v>
      </c>
      <c r="B214" s="91">
        <v>74.578999999999994</v>
      </c>
    </row>
    <row r="215" spans="1:2" x14ac:dyDescent="0.35">
      <c r="A215" s="53">
        <v>35704</v>
      </c>
      <c r="B215" s="91">
        <v>74.823999999999998</v>
      </c>
    </row>
    <row r="216" spans="1:2" x14ac:dyDescent="0.35">
      <c r="A216" s="53">
        <v>35796</v>
      </c>
      <c r="B216" s="91">
        <v>74.933000000000007</v>
      </c>
    </row>
    <row r="217" spans="1:2" x14ac:dyDescent="0.35">
      <c r="A217" s="53">
        <v>35886</v>
      </c>
      <c r="B217" s="91">
        <v>75.11</v>
      </c>
    </row>
    <row r="218" spans="1:2" x14ac:dyDescent="0.35">
      <c r="A218" s="53">
        <v>35977</v>
      </c>
      <c r="B218" s="91">
        <v>75.433000000000007</v>
      </c>
    </row>
    <row r="219" spans="1:2" x14ac:dyDescent="0.35">
      <c r="A219" s="53">
        <v>36069</v>
      </c>
      <c r="B219" s="91">
        <v>75.641000000000005</v>
      </c>
    </row>
    <row r="220" spans="1:2" x14ac:dyDescent="0.35">
      <c r="A220" s="53">
        <v>36161</v>
      </c>
      <c r="B220" s="91">
        <v>75.926000000000002</v>
      </c>
    </row>
    <row r="221" spans="1:2" x14ac:dyDescent="0.35">
      <c r="A221" s="53">
        <v>36251</v>
      </c>
      <c r="B221" s="91">
        <v>76.200999999999993</v>
      </c>
    </row>
    <row r="222" spans="1:2" x14ac:dyDescent="0.35">
      <c r="A222" s="53">
        <v>36342</v>
      </c>
      <c r="B222" s="91">
        <v>76.462000000000003</v>
      </c>
    </row>
    <row r="223" spans="1:2" x14ac:dyDescent="0.35">
      <c r="A223" s="53">
        <v>36434</v>
      </c>
      <c r="B223" s="91">
        <v>76.873000000000005</v>
      </c>
    </row>
    <row r="224" spans="1:2" x14ac:dyDescent="0.35">
      <c r="A224" s="53">
        <v>36526</v>
      </c>
      <c r="B224" s="91">
        <v>77.396000000000001</v>
      </c>
    </row>
    <row r="225" spans="1:2" x14ac:dyDescent="0.35">
      <c r="A225" s="53">
        <v>36617</v>
      </c>
      <c r="B225" s="91">
        <v>77.864999999999995</v>
      </c>
    </row>
    <row r="226" spans="1:2" x14ac:dyDescent="0.35">
      <c r="A226" s="53">
        <v>36708</v>
      </c>
      <c r="B226" s="91">
        <v>78.308999999999997</v>
      </c>
    </row>
    <row r="227" spans="1:2" x14ac:dyDescent="0.35">
      <c r="A227" s="53">
        <v>36800</v>
      </c>
      <c r="B227" s="91">
        <v>78.722999999999999</v>
      </c>
    </row>
    <row r="228" spans="1:2" x14ac:dyDescent="0.35">
      <c r="A228" s="53">
        <v>36892</v>
      </c>
      <c r="B228" s="91">
        <v>79.203999999999994</v>
      </c>
    </row>
    <row r="229" spans="1:2" x14ac:dyDescent="0.35">
      <c r="A229" s="53">
        <v>36982</v>
      </c>
      <c r="B229" s="91">
        <v>79.683000000000007</v>
      </c>
    </row>
    <row r="230" spans="1:2" x14ac:dyDescent="0.35">
      <c r="A230" s="53">
        <v>37073</v>
      </c>
      <c r="B230" s="91">
        <v>80.004000000000005</v>
      </c>
    </row>
    <row r="231" spans="1:2" x14ac:dyDescent="0.35">
      <c r="A231" s="53">
        <v>37165</v>
      </c>
      <c r="B231" s="91">
        <v>80.268000000000001</v>
      </c>
    </row>
    <row r="232" spans="1:2" x14ac:dyDescent="0.35">
      <c r="A232" s="53">
        <v>37257</v>
      </c>
      <c r="B232" s="91">
        <v>80.533000000000001</v>
      </c>
    </row>
    <row r="233" spans="1:2" x14ac:dyDescent="0.35">
      <c r="A233" s="53">
        <v>37347</v>
      </c>
      <c r="B233" s="91">
        <v>80.820999999999998</v>
      </c>
    </row>
    <row r="234" spans="1:2" x14ac:dyDescent="0.35">
      <c r="A234" s="53">
        <v>37438</v>
      </c>
      <c r="B234" s="91">
        <v>81.194000000000003</v>
      </c>
    </row>
    <row r="235" spans="1:2" x14ac:dyDescent="0.35">
      <c r="A235" s="53">
        <v>37530</v>
      </c>
      <c r="B235" s="91">
        <v>81.653999999999996</v>
      </c>
    </row>
    <row r="236" spans="1:2" x14ac:dyDescent="0.35">
      <c r="A236" s="53">
        <v>37622</v>
      </c>
      <c r="B236" s="91">
        <v>82.025000000000006</v>
      </c>
    </row>
    <row r="237" spans="1:2" x14ac:dyDescent="0.35">
      <c r="A237" s="53">
        <v>37712</v>
      </c>
      <c r="B237" s="91">
        <v>82.266000000000005</v>
      </c>
    </row>
    <row r="238" spans="1:2" x14ac:dyDescent="0.35">
      <c r="A238" s="53">
        <v>37803</v>
      </c>
      <c r="B238" s="91">
        <v>82.712000000000003</v>
      </c>
    </row>
    <row r="239" spans="1:2" x14ac:dyDescent="0.35">
      <c r="A239" s="53">
        <v>37895</v>
      </c>
      <c r="B239" s="91">
        <v>83.200999999999993</v>
      </c>
    </row>
    <row r="240" spans="1:2" x14ac:dyDescent="0.35">
      <c r="A240" s="53">
        <v>37987</v>
      </c>
      <c r="B240" s="91">
        <v>83.82</v>
      </c>
    </row>
    <row r="241" spans="1:2" x14ac:dyDescent="0.35">
      <c r="A241" s="53">
        <v>38078</v>
      </c>
      <c r="B241" s="91">
        <v>84.504000000000005</v>
      </c>
    </row>
    <row r="242" spans="1:2" x14ac:dyDescent="0.35">
      <c r="A242" s="53">
        <v>38169</v>
      </c>
      <c r="B242" s="91">
        <v>85.055999999999997</v>
      </c>
    </row>
    <row r="243" spans="1:2" x14ac:dyDescent="0.35">
      <c r="A243" s="53">
        <v>38261</v>
      </c>
      <c r="B243" s="91">
        <v>85.712000000000003</v>
      </c>
    </row>
    <row r="244" spans="1:2" x14ac:dyDescent="0.35">
      <c r="A244" s="53">
        <v>38353</v>
      </c>
      <c r="B244" s="91">
        <v>86.391000000000005</v>
      </c>
    </row>
    <row r="245" spans="1:2" x14ac:dyDescent="0.35">
      <c r="A245" s="53">
        <v>38443</v>
      </c>
      <c r="B245" s="91">
        <v>86.995999999999995</v>
      </c>
    </row>
    <row r="246" spans="1:2" x14ac:dyDescent="0.35">
      <c r="A246" s="53">
        <v>38534</v>
      </c>
      <c r="B246" s="91">
        <v>87.783000000000001</v>
      </c>
    </row>
    <row r="247" spans="1:2" x14ac:dyDescent="0.35">
      <c r="A247" s="53">
        <v>38626</v>
      </c>
      <c r="B247" s="91">
        <v>88.489000000000004</v>
      </c>
    </row>
    <row r="248" spans="1:2" x14ac:dyDescent="0.35">
      <c r="A248" s="53">
        <v>38718</v>
      </c>
      <c r="B248" s="91">
        <v>89.106999999999999</v>
      </c>
    </row>
    <row r="249" spans="1:2" x14ac:dyDescent="0.35">
      <c r="A249" s="53">
        <v>38808</v>
      </c>
      <c r="B249" s="91">
        <v>89.852000000000004</v>
      </c>
    </row>
    <row r="250" spans="1:2" x14ac:dyDescent="0.35">
      <c r="A250" s="53">
        <v>38899</v>
      </c>
      <c r="B250" s="91">
        <v>90.480999999999995</v>
      </c>
    </row>
    <row r="251" spans="1:2" x14ac:dyDescent="0.35">
      <c r="A251" s="53">
        <v>38991</v>
      </c>
      <c r="B251" s="91">
        <v>90.814999999999998</v>
      </c>
    </row>
    <row r="252" spans="1:2" x14ac:dyDescent="0.35">
      <c r="A252" s="53">
        <v>39083</v>
      </c>
      <c r="B252" s="91">
        <v>91.707999999999998</v>
      </c>
    </row>
    <row r="253" spans="1:2" x14ac:dyDescent="0.35">
      <c r="A253" s="53">
        <v>39173</v>
      </c>
      <c r="B253" s="91">
        <v>92.301000000000002</v>
      </c>
    </row>
    <row r="254" spans="1:2" x14ac:dyDescent="0.35">
      <c r="A254" s="53">
        <v>39264</v>
      </c>
      <c r="B254" s="91">
        <v>92.775999999999996</v>
      </c>
    </row>
    <row r="255" spans="1:2" x14ac:dyDescent="0.35">
      <c r="A255" s="53">
        <v>39356</v>
      </c>
      <c r="B255" s="91">
        <v>93.144999999999996</v>
      </c>
    </row>
    <row r="256" spans="1:2" x14ac:dyDescent="0.35">
      <c r="A256" s="53">
        <v>39448</v>
      </c>
      <c r="B256" s="91">
        <v>93.489000000000004</v>
      </c>
    </row>
    <row r="257" spans="1:2" x14ac:dyDescent="0.35">
      <c r="A257" s="53">
        <v>39539</v>
      </c>
      <c r="B257" s="91">
        <v>93.99</v>
      </c>
    </row>
    <row r="258" spans="1:2" x14ac:dyDescent="0.35">
      <c r="A258" s="53">
        <v>39630</v>
      </c>
      <c r="B258" s="91">
        <v>94.69</v>
      </c>
    </row>
    <row r="259" spans="1:2" x14ac:dyDescent="0.35">
      <c r="A259" s="53">
        <v>39722</v>
      </c>
      <c r="B259" s="91">
        <v>94.986000000000004</v>
      </c>
    </row>
    <row r="260" spans="1:2" x14ac:dyDescent="0.35">
      <c r="A260" s="53">
        <v>39814</v>
      </c>
      <c r="B260" s="91">
        <v>94.975999999999999</v>
      </c>
    </row>
    <row r="261" spans="1:2" x14ac:dyDescent="0.35">
      <c r="A261" s="53">
        <v>39904</v>
      </c>
      <c r="B261" s="91">
        <v>94.837999999999994</v>
      </c>
    </row>
    <row r="262" spans="1:2" x14ac:dyDescent="0.35">
      <c r="A262" s="53">
        <v>39995</v>
      </c>
      <c r="B262" s="91">
        <v>94.938000000000002</v>
      </c>
    </row>
    <row r="263" spans="1:2" x14ac:dyDescent="0.35">
      <c r="A263" s="53">
        <v>40087</v>
      </c>
      <c r="B263" s="91">
        <v>95.259</v>
      </c>
    </row>
    <row r="264" spans="1:2" x14ac:dyDescent="0.35">
      <c r="A264" s="53">
        <v>40179</v>
      </c>
      <c r="B264" s="91">
        <v>95.498999999999995</v>
      </c>
    </row>
    <row r="265" spans="1:2" x14ac:dyDescent="0.35">
      <c r="A265" s="53">
        <v>40269</v>
      </c>
      <c r="B265" s="91">
        <v>95.942999999999998</v>
      </c>
    </row>
    <row r="266" spans="1:2" x14ac:dyDescent="0.35">
      <c r="A266" s="53">
        <v>40360</v>
      </c>
      <c r="B266" s="91">
        <v>96.221999999999994</v>
      </c>
    </row>
    <row r="267" spans="1:2" x14ac:dyDescent="0.35">
      <c r="A267" s="53">
        <v>40452</v>
      </c>
      <c r="B267" s="91">
        <v>96.763000000000005</v>
      </c>
    </row>
    <row r="268" spans="1:2" x14ac:dyDescent="0.35">
      <c r="A268" s="53">
        <v>40544</v>
      </c>
      <c r="B268" s="91">
        <v>97.283000000000001</v>
      </c>
    </row>
    <row r="269" spans="1:2" x14ac:dyDescent="0.35">
      <c r="A269" s="53">
        <v>40634</v>
      </c>
      <c r="B269" s="91">
        <v>97.921999999999997</v>
      </c>
    </row>
    <row r="270" spans="1:2" x14ac:dyDescent="0.35">
      <c r="A270" s="53">
        <v>40725</v>
      </c>
      <c r="B270" s="91">
        <v>98.552999999999997</v>
      </c>
    </row>
    <row r="271" spans="1:2" x14ac:dyDescent="0.35">
      <c r="A271" s="53">
        <v>40817</v>
      </c>
      <c r="B271" s="91">
        <v>98.703000000000003</v>
      </c>
    </row>
    <row r="272" spans="1:2" x14ac:dyDescent="0.35">
      <c r="A272" s="53">
        <v>40909</v>
      </c>
      <c r="B272" s="91">
        <v>99.32</v>
      </c>
    </row>
    <row r="273" spans="1:2" x14ac:dyDescent="0.35">
      <c r="A273" s="53">
        <v>41000</v>
      </c>
      <c r="B273" s="91">
        <v>99.712999999999994</v>
      </c>
    </row>
    <row r="274" spans="1:2" x14ac:dyDescent="0.35">
      <c r="A274" s="53">
        <v>41091</v>
      </c>
      <c r="B274" s="91">
        <v>100.22499999999999</v>
      </c>
    </row>
    <row r="275" spans="1:2" x14ac:dyDescent="0.35">
      <c r="A275" s="53">
        <v>41183</v>
      </c>
      <c r="B275" s="91">
        <v>100.73699999999999</v>
      </c>
    </row>
    <row r="276" spans="1:2" x14ac:dyDescent="0.35">
      <c r="A276" s="53">
        <v>41275</v>
      </c>
      <c r="B276" s="91">
        <v>101.139</v>
      </c>
    </row>
    <row r="277" spans="1:2" x14ac:dyDescent="0.35">
      <c r="A277" s="53">
        <v>41365</v>
      </c>
      <c r="B277" s="91">
        <v>101.431</v>
      </c>
    </row>
    <row r="278" spans="1:2" x14ac:dyDescent="0.35">
      <c r="A278" s="53">
        <v>41456</v>
      </c>
      <c r="B278" s="91">
        <v>101.91800000000001</v>
      </c>
    </row>
    <row r="279" spans="1:2" x14ac:dyDescent="0.35">
      <c r="A279" s="53">
        <v>41548</v>
      </c>
      <c r="B279" s="91">
        <v>102.517</v>
      </c>
    </row>
    <row r="280" spans="1:2" x14ac:dyDescent="0.35">
      <c r="A280" s="53">
        <v>41640</v>
      </c>
      <c r="B280" s="91">
        <v>102.937</v>
      </c>
    </row>
    <row r="281" spans="1:2" x14ac:dyDescent="0.35">
      <c r="A281" s="53">
        <v>41730</v>
      </c>
      <c r="B281" s="91">
        <v>103.512</v>
      </c>
    </row>
    <row r="282" spans="1:2" x14ac:dyDescent="0.35">
      <c r="A282" s="53">
        <v>41821</v>
      </c>
      <c r="B282" s="91">
        <v>103.95699999999999</v>
      </c>
    </row>
    <row r="283" spans="1:2" x14ac:dyDescent="0.35">
      <c r="A283" s="53">
        <v>41913</v>
      </c>
      <c r="B283" s="91">
        <v>104.123</v>
      </c>
    </row>
    <row r="284" spans="1:2" x14ac:dyDescent="0.35">
      <c r="A284" s="53">
        <v>42005</v>
      </c>
      <c r="B284" s="91">
        <v>104.03100000000001</v>
      </c>
    </row>
    <row r="285" spans="1:2" x14ac:dyDescent="0.35">
      <c r="A285" s="53">
        <v>42095</v>
      </c>
      <c r="B285" s="91">
        <v>104.596</v>
      </c>
    </row>
    <row r="286" spans="1:2" x14ac:dyDescent="0.35">
      <c r="A286" s="53">
        <v>42186</v>
      </c>
      <c r="B286" s="91">
        <v>104.926</v>
      </c>
    </row>
    <row r="287" spans="1:2" x14ac:dyDescent="0.35">
      <c r="A287" s="53">
        <v>42278</v>
      </c>
      <c r="B287" s="91">
        <v>104.937</v>
      </c>
    </row>
    <row r="288" spans="1:2" x14ac:dyDescent="0.35">
      <c r="A288" s="53">
        <v>42370</v>
      </c>
      <c r="B288" s="91">
        <v>104.86499999999999</v>
      </c>
    </row>
    <row r="289" spans="1:2" x14ac:dyDescent="0.35">
      <c r="A289" s="53">
        <v>42461</v>
      </c>
      <c r="B289" s="91">
        <v>105.592</v>
      </c>
    </row>
    <row r="290" spans="1:2" x14ac:dyDescent="0.35">
      <c r="A290" s="53">
        <v>42552</v>
      </c>
      <c r="B290" s="91">
        <v>105.95</v>
      </c>
    </row>
    <row r="291" spans="1:2" x14ac:dyDescent="0.35">
      <c r="A291" s="53">
        <v>42644</v>
      </c>
      <c r="B291" s="91">
        <v>106.46899999999999</v>
      </c>
    </row>
    <row r="292" spans="1:2" x14ac:dyDescent="0.35">
      <c r="A292" s="53">
        <v>42736</v>
      </c>
      <c r="B292" s="91">
        <v>107.01</v>
      </c>
    </row>
    <row r="293" spans="1:2" x14ac:dyDescent="0.35">
      <c r="A293" s="53">
        <v>42826</v>
      </c>
      <c r="B293" s="91">
        <v>107.34</v>
      </c>
    </row>
    <row r="294" spans="1:2" x14ac:dyDescent="0.35">
      <c r="A294" s="53">
        <v>42917</v>
      </c>
      <c r="B294" s="91">
        <v>107.872</v>
      </c>
    </row>
    <row r="295" spans="1:2" x14ac:dyDescent="0.35">
      <c r="A295" s="53">
        <v>43009</v>
      </c>
      <c r="B295" s="91">
        <v>108.598</v>
      </c>
    </row>
    <row r="296" spans="1:2" x14ac:dyDescent="0.35">
      <c r="A296" s="53">
        <v>43101</v>
      </c>
      <c r="B296" s="91">
        <v>109.23699999999999</v>
      </c>
    </row>
    <row r="297" spans="1:2" x14ac:dyDescent="0.35">
      <c r="A297" s="53">
        <v>43191</v>
      </c>
      <c r="B297" s="91">
        <v>110.176</v>
      </c>
    </row>
    <row r="298" spans="1:2" x14ac:dyDescent="0.35">
      <c r="A298" s="53">
        <v>43282</v>
      </c>
      <c r="B298" s="91">
        <v>110.614</v>
      </c>
    </row>
    <row r="299" spans="1:2" x14ac:dyDescent="0.35">
      <c r="A299" s="53">
        <v>43374</v>
      </c>
      <c r="B299" s="91">
        <v>111.14</v>
      </c>
    </row>
    <row r="300" spans="1:2" x14ac:dyDescent="0.35">
      <c r="A300" s="53">
        <v>43466</v>
      </c>
      <c r="B300" s="91">
        <v>111.42400000000001</v>
      </c>
    </row>
    <row r="301" spans="1:2" x14ac:dyDescent="0.35">
      <c r="A301" s="53">
        <v>43556</v>
      </c>
      <c r="B301" s="91">
        <v>112.14100000000001</v>
      </c>
    </row>
    <row r="302" spans="1:2" x14ac:dyDescent="0.35">
      <c r="A302" s="53">
        <v>43647</v>
      </c>
      <c r="B302" s="91">
        <v>112.53100000000001</v>
      </c>
    </row>
    <row r="303" spans="1:2" x14ac:dyDescent="0.35">
      <c r="A303" s="53">
        <v>43739</v>
      </c>
      <c r="B303" s="91">
        <v>112.95</v>
      </c>
    </row>
    <row r="304" spans="1:2" x14ac:dyDescent="0.35">
      <c r="A304" s="53">
        <v>43831</v>
      </c>
      <c r="B304" s="91">
        <v>113.41500000000001</v>
      </c>
    </row>
    <row r="305" spans="1:2" x14ac:dyDescent="0.35">
      <c r="A305" s="53">
        <v>43922</v>
      </c>
      <c r="B305" s="91">
        <v>112.803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79"/>
  <sheetViews>
    <sheetView topLeftCell="A460" workbookViewId="0">
      <selection activeCell="B232" sqref="B232:B474"/>
    </sheetView>
  </sheetViews>
  <sheetFormatPr defaultColWidth="20.6328125" defaultRowHeight="14.5" x14ac:dyDescent="0.35"/>
  <cols>
    <col min="1" max="1" width="20.6328125" customWidth="1"/>
  </cols>
  <sheetData>
    <row r="1" spans="1:2" x14ac:dyDescent="0.35">
      <c r="A1" t="s">
        <v>108</v>
      </c>
    </row>
    <row r="2" spans="1:2" x14ac:dyDescent="0.35">
      <c r="A2" t="s">
        <v>109</v>
      </c>
    </row>
    <row r="3" spans="1:2" x14ac:dyDescent="0.35">
      <c r="A3" t="s">
        <v>110</v>
      </c>
    </row>
    <row r="4" spans="1:2" x14ac:dyDescent="0.35">
      <c r="A4" t="s">
        <v>111</v>
      </c>
    </row>
    <row r="5" spans="1:2" x14ac:dyDescent="0.35">
      <c r="A5" t="s">
        <v>112</v>
      </c>
    </row>
    <row r="6" spans="1:2" x14ac:dyDescent="0.35">
      <c r="A6" t="s">
        <v>113</v>
      </c>
    </row>
    <row r="8" spans="1:2" x14ac:dyDescent="0.35">
      <c r="A8" t="s">
        <v>114</v>
      </c>
      <c r="B8" t="s">
        <v>115</v>
      </c>
    </row>
    <row r="10" spans="1:2" x14ac:dyDescent="0.35">
      <c r="A10" t="s">
        <v>116</v>
      </c>
    </row>
    <row r="11" spans="1:2" x14ac:dyDescent="0.35">
      <c r="A11" t="s">
        <v>117</v>
      </c>
      <c r="B11" t="s">
        <v>114</v>
      </c>
    </row>
    <row r="12" spans="1:2" x14ac:dyDescent="0.35">
      <c r="A12" s="53">
        <v>29830</v>
      </c>
      <c r="B12" s="54">
        <v>15.607142857142858</v>
      </c>
    </row>
    <row r="13" spans="1:2" x14ac:dyDescent="0.35">
      <c r="A13" s="53">
        <v>29860</v>
      </c>
      <c r="B13" s="54">
        <v>14.230952380952381</v>
      </c>
    </row>
    <row r="14" spans="1:2" x14ac:dyDescent="0.35">
      <c r="A14" s="53">
        <v>29891</v>
      </c>
      <c r="B14" s="54">
        <v>11.345555555555556</v>
      </c>
    </row>
    <row r="15" spans="1:2" x14ac:dyDescent="0.35">
      <c r="A15" s="53">
        <v>29921</v>
      </c>
      <c r="B15" s="54">
        <v>11.31904761904762</v>
      </c>
    </row>
    <row r="16" spans="1:2" x14ac:dyDescent="0.35">
      <c r="A16" s="53">
        <v>29952</v>
      </c>
      <c r="B16" s="54">
        <v>12.917999999999999</v>
      </c>
    </row>
    <row r="17" spans="1:2" x14ac:dyDescent="0.35">
      <c r="A17" s="53">
        <v>29983</v>
      </c>
      <c r="B17" s="54">
        <v>14.279444444444444</v>
      </c>
    </row>
    <row r="18" spans="1:2" x14ac:dyDescent="0.35">
      <c r="A18" s="53">
        <v>30011</v>
      </c>
      <c r="B18" s="54">
        <v>13.314782608695651</v>
      </c>
    </row>
    <row r="19" spans="1:2" x14ac:dyDescent="0.35">
      <c r="A19" s="53">
        <v>30042</v>
      </c>
      <c r="B19" s="54">
        <v>13.344761904761905</v>
      </c>
    </row>
    <row r="20" spans="1:2" x14ac:dyDescent="0.35">
      <c r="A20" s="53">
        <v>30072</v>
      </c>
      <c r="B20" s="54">
        <v>12.714</v>
      </c>
    </row>
    <row r="21" spans="1:2" x14ac:dyDescent="0.35">
      <c r="A21" s="53">
        <v>30103</v>
      </c>
      <c r="B21" s="54">
        <v>13.078636363636363</v>
      </c>
    </row>
    <row r="22" spans="1:2" x14ac:dyDescent="0.35">
      <c r="A22" s="53">
        <v>30133</v>
      </c>
      <c r="B22" s="54">
        <v>11.863333333333333</v>
      </c>
    </row>
    <row r="23" spans="1:2" x14ac:dyDescent="0.35">
      <c r="A23" s="53">
        <v>30164</v>
      </c>
      <c r="B23" s="54">
        <v>8.997272727272728</v>
      </c>
    </row>
    <row r="24" spans="1:2" x14ac:dyDescent="0.35">
      <c r="A24" s="53">
        <v>30195</v>
      </c>
      <c r="B24" s="54">
        <v>8.1928571428571431</v>
      </c>
    </row>
    <row r="25" spans="1:2" x14ac:dyDescent="0.35">
      <c r="A25" s="53">
        <v>30225</v>
      </c>
      <c r="B25" s="54">
        <v>7.9675000000000002</v>
      </c>
    </row>
    <row r="26" spans="1:2" x14ac:dyDescent="0.35">
      <c r="A26" s="53">
        <v>30256</v>
      </c>
      <c r="B26" s="54">
        <v>8.3463157894736835</v>
      </c>
    </row>
    <row r="27" spans="1:2" x14ac:dyDescent="0.35">
      <c r="A27" s="53">
        <v>30286</v>
      </c>
      <c r="B27" s="54">
        <v>8.2027272727272731</v>
      </c>
    </row>
    <row r="28" spans="1:2" x14ac:dyDescent="0.35">
      <c r="A28" s="53">
        <v>30317</v>
      </c>
      <c r="B28" s="54">
        <v>8.1171428571428574</v>
      </c>
    </row>
    <row r="29" spans="1:2" x14ac:dyDescent="0.35">
      <c r="A29" s="53">
        <v>30348</v>
      </c>
      <c r="B29" s="54">
        <v>8.3942105263157902</v>
      </c>
    </row>
    <row r="30" spans="1:2" x14ac:dyDescent="0.35">
      <c r="A30" s="53">
        <v>30376</v>
      </c>
      <c r="B30" s="54">
        <v>8.6595652173913038</v>
      </c>
    </row>
    <row r="31" spans="1:2" x14ac:dyDescent="0.35">
      <c r="A31" s="53">
        <v>30407</v>
      </c>
      <c r="B31" s="54">
        <v>8.5135000000000005</v>
      </c>
    </row>
    <row r="32" spans="1:2" x14ac:dyDescent="0.35">
      <c r="A32" s="53">
        <v>30437</v>
      </c>
      <c r="B32" s="54">
        <v>8.4957142857142856</v>
      </c>
    </row>
    <row r="33" spans="1:2" x14ac:dyDescent="0.35">
      <c r="A33" s="53">
        <v>30468</v>
      </c>
      <c r="B33" s="54">
        <v>9.1395454545454538</v>
      </c>
    </row>
    <row r="34" spans="1:2" x14ac:dyDescent="0.35">
      <c r="A34" s="53">
        <v>30498</v>
      </c>
      <c r="B34" s="54">
        <v>9.4495000000000005</v>
      </c>
    </row>
    <row r="35" spans="1:2" x14ac:dyDescent="0.35">
      <c r="A35" s="53">
        <v>30529</v>
      </c>
      <c r="B35" s="54">
        <v>9.7391304347826093</v>
      </c>
    </row>
    <row r="36" spans="1:2" x14ac:dyDescent="0.35">
      <c r="A36" s="53">
        <v>30560</v>
      </c>
      <c r="B36" s="54">
        <v>9.3614285714285721</v>
      </c>
    </row>
    <row r="37" spans="1:2" x14ac:dyDescent="0.35">
      <c r="A37" s="53">
        <v>30590</v>
      </c>
      <c r="B37" s="54">
        <v>8.9879999999999995</v>
      </c>
    </row>
    <row r="38" spans="1:2" x14ac:dyDescent="0.35">
      <c r="A38" s="53">
        <v>30621</v>
      </c>
      <c r="B38" s="54">
        <v>9.1110526315789482</v>
      </c>
    </row>
    <row r="39" spans="1:2" x14ac:dyDescent="0.35">
      <c r="A39" s="53">
        <v>30651</v>
      </c>
      <c r="B39" s="54">
        <v>9.3576190476190479</v>
      </c>
    </row>
    <row r="40" spans="1:2" x14ac:dyDescent="0.35">
      <c r="A40" s="53">
        <v>30682</v>
      </c>
      <c r="B40" s="54">
        <v>9.2638095238095239</v>
      </c>
    </row>
    <row r="41" spans="1:2" x14ac:dyDescent="0.35">
      <c r="A41" s="53">
        <v>30713</v>
      </c>
      <c r="B41" s="54">
        <v>9.4594736842105256</v>
      </c>
    </row>
    <row r="42" spans="1:2" x14ac:dyDescent="0.35">
      <c r="A42" s="53">
        <v>30742</v>
      </c>
      <c r="B42" s="54">
        <v>9.8895454545454538</v>
      </c>
    </row>
    <row r="43" spans="1:2" x14ac:dyDescent="0.35">
      <c r="A43" s="53">
        <v>30773</v>
      </c>
      <c r="B43" s="54">
        <v>10.073</v>
      </c>
    </row>
    <row r="44" spans="1:2" x14ac:dyDescent="0.35">
      <c r="A44" s="53">
        <v>30803</v>
      </c>
      <c r="B44" s="54">
        <v>10.223181818181818</v>
      </c>
    </row>
    <row r="45" spans="1:2" x14ac:dyDescent="0.35">
      <c r="A45" s="53">
        <v>30834</v>
      </c>
      <c r="B45" s="54">
        <v>10.26047619047619</v>
      </c>
    </row>
    <row r="46" spans="1:2" x14ac:dyDescent="0.35">
      <c r="A46" s="53">
        <v>30864</v>
      </c>
      <c r="B46" s="54">
        <v>10.530952380952382</v>
      </c>
    </row>
    <row r="47" spans="1:2" x14ac:dyDescent="0.35">
      <c r="A47" s="53">
        <v>30895</v>
      </c>
      <c r="B47" s="54">
        <v>10.900434782608695</v>
      </c>
    </row>
    <row r="48" spans="1:2" x14ac:dyDescent="0.35">
      <c r="A48" s="53">
        <v>30926</v>
      </c>
      <c r="B48" s="54">
        <v>10.795789473684211</v>
      </c>
    </row>
    <row r="49" spans="1:2" x14ac:dyDescent="0.35">
      <c r="A49" s="53">
        <v>30956</v>
      </c>
      <c r="B49" s="54">
        <v>10.124545454545455</v>
      </c>
    </row>
    <row r="50" spans="1:2" x14ac:dyDescent="0.35">
      <c r="A50" s="53">
        <v>30987</v>
      </c>
      <c r="B50" s="54">
        <v>8.9247368421052631</v>
      </c>
    </row>
    <row r="51" spans="1:2" x14ac:dyDescent="0.35">
      <c r="A51" s="53">
        <v>31017</v>
      </c>
      <c r="B51" s="54">
        <v>8.3375000000000004</v>
      </c>
    </row>
    <row r="52" spans="1:2" x14ac:dyDescent="0.35">
      <c r="A52" s="53">
        <v>31048</v>
      </c>
      <c r="B52" s="54">
        <v>8.02</v>
      </c>
    </row>
    <row r="53" spans="1:2" x14ac:dyDescent="0.35">
      <c r="A53" s="53">
        <v>31079</v>
      </c>
      <c r="B53" s="54">
        <v>8.5572222222222223</v>
      </c>
    </row>
    <row r="54" spans="1:2" x14ac:dyDescent="0.35">
      <c r="A54" s="53">
        <v>31107</v>
      </c>
      <c r="B54" s="54">
        <v>8.83</v>
      </c>
    </row>
    <row r="55" spans="1:2" x14ac:dyDescent="0.35">
      <c r="A55" s="53">
        <v>31138</v>
      </c>
      <c r="B55" s="54">
        <v>8.2219047619047618</v>
      </c>
    </row>
    <row r="56" spans="1:2" x14ac:dyDescent="0.35">
      <c r="A56" s="53">
        <v>31168</v>
      </c>
      <c r="B56" s="54">
        <v>7.7331818181818184</v>
      </c>
    </row>
    <row r="57" spans="1:2" x14ac:dyDescent="0.35">
      <c r="A57" s="53">
        <v>31199</v>
      </c>
      <c r="B57" s="54">
        <v>7.18</v>
      </c>
    </row>
    <row r="58" spans="1:2" x14ac:dyDescent="0.35">
      <c r="A58" s="53">
        <v>31229</v>
      </c>
      <c r="B58" s="54">
        <v>7.3163636363636364</v>
      </c>
    </row>
    <row r="59" spans="1:2" x14ac:dyDescent="0.35">
      <c r="A59" s="53">
        <v>31260</v>
      </c>
      <c r="B59" s="54">
        <v>7.3704545454545451</v>
      </c>
    </row>
    <row r="60" spans="1:2" x14ac:dyDescent="0.35">
      <c r="A60" s="53">
        <v>31291</v>
      </c>
      <c r="B60" s="54">
        <v>7.3331578947368419</v>
      </c>
    </row>
    <row r="61" spans="1:2" x14ac:dyDescent="0.35">
      <c r="A61" s="53">
        <v>31321</v>
      </c>
      <c r="B61" s="54">
        <v>7.4009090909090913</v>
      </c>
    </row>
    <row r="62" spans="1:2" x14ac:dyDescent="0.35">
      <c r="A62" s="53">
        <v>31352</v>
      </c>
      <c r="B62" s="54">
        <v>7.4763157894736842</v>
      </c>
    </row>
    <row r="63" spans="1:2" x14ac:dyDescent="0.35">
      <c r="A63" s="53">
        <v>31382</v>
      </c>
      <c r="B63" s="54">
        <v>7.33</v>
      </c>
    </row>
    <row r="64" spans="1:2" x14ac:dyDescent="0.35">
      <c r="A64" s="53">
        <v>31413</v>
      </c>
      <c r="B64" s="54">
        <v>7.3019047619047619</v>
      </c>
    </row>
    <row r="65" spans="1:2" x14ac:dyDescent="0.35">
      <c r="A65" s="53">
        <v>31444</v>
      </c>
      <c r="B65" s="54">
        <v>7.2905263157894735</v>
      </c>
    </row>
    <row r="66" spans="1:2" x14ac:dyDescent="0.35">
      <c r="A66" s="53">
        <v>31472</v>
      </c>
      <c r="B66" s="54">
        <v>6.7640000000000002</v>
      </c>
    </row>
    <row r="67" spans="1:2" x14ac:dyDescent="0.35">
      <c r="A67" s="53">
        <v>31503</v>
      </c>
      <c r="B67" s="54">
        <v>6.2354545454545454</v>
      </c>
    </row>
    <row r="68" spans="1:2" x14ac:dyDescent="0.35">
      <c r="A68" s="53">
        <v>31533</v>
      </c>
      <c r="B68" s="54">
        <v>6.3347619047619048</v>
      </c>
    </row>
    <row r="69" spans="1:2" x14ac:dyDescent="0.35">
      <c r="A69" s="53">
        <v>31564</v>
      </c>
      <c r="B69" s="54">
        <v>6.3966666666666665</v>
      </c>
    </row>
    <row r="70" spans="1:2" x14ac:dyDescent="0.35">
      <c r="A70" s="53">
        <v>31594</v>
      </c>
      <c r="B70" s="54">
        <v>5.9995454545454541</v>
      </c>
    </row>
    <row r="71" spans="1:2" x14ac:dyDescent="0.35">
      <c r="A71" s="53">
        <v>31625</v>
      </c>
      <c r="B71" s="54">
        <v>5.6852380952380948</v>
      </c>
    </row>
    <row r="72" spans="1:2" x14ac:dyDescent="0.35">
      <c r="A72" s="53">
        <v>31656</v>
      </c>
      <c r="B72" s="54">
        <v>5.352380952380952</v>
      </c>
    </row>
    <row r="73" spans="1:2" x14ac:dyDescent="0.35">
      <c r="A73" s="53">
        <v>31686</v>
      </c>
      <c r="B73" s="54">
        <v>5.3231818181818182</v>
      </c>
    </row>
    <row r="74" spans="1:2" x14ac:dyDescent="0.35">
      <c r="A74" s="53">
        <v>31717</v>
      </c>
      <c r="B74" s="54">
        <v>5.5</v>
      </c>
    </row>
    <row r="75" spans="1:2" x14ac:dyDescent="0.35">
      <c r="A75" s="53">
        <v>31747</v>
      </c>
      <c r="B75" s="54">
        <v>5.6827272727272726</v>
      </c>
    </row>
    <row r="76" spans="1:2" x14ac:dyDescent="0.35">
      <c r="A76" s="53">
        <v>31778</v>
      </c>
      <c r="B76" s="54">
        <v>5.5780000000000003</v>
      </c>
    </row>
    <row r="77" spans="1:2" x14ac:dyDescent="0.35">
      <c r="A77" s="53">
        <v>31809</v>
      </c>
      <c r="B77" s="54">
        <v>5.751052631578947</v>
      </c>
    </row>
    <row r="78" spans="1:2" x14ac:dyDescent="0.35">
      <c r="A78" s="53">
        <v>31837</v>
      </c>
      <c r="B78" s="54">
        <v>5.7659090909090907</v>
      </c>
    </row>
    <row r="79" spans="1:2" x14ac:dyDescent="0.35">
      <c r="A79" s="53">
        <v>31868</v>
      </c>
      <c r="B79" s="54">
        <v>5.8157142857142858</v>
      </c>
    </row>
    <row r="80" spans="1:2" x14ac:dyDescent="0.35">
      <c r="A80" s="53">
        <v>31898</v>
      </c>
      <c r="B80" s="54">
        <v>5.8464999999999998</v>
      </c>
    </row>
    <row r="81" spans="1:2" x14ac:dyDescent="0.35">
      <c r="A81" s="53">
        <v>31929</v>
      </c>
      <c r="B81" s="54">
        <v>5.8545454545454545</v>
      </c>
    </row>
    <row r="82" spans="1:2" x14ac:dyDescent="0.35">
      <c r="A82" s="53">
        <v>31959</v>
      </c>
      <c r="B82" s="54">
        <v>5.8790909090909089</v>
      </c>
    </row>
    <row r="83" spans="1:2" x14ac:dyDescent="0.35">
      <c r="A83" s="53">
        <v>31990</v>
      </c>
      <c r="B83" s="54">
        <v>6.2333333333333334</v>
      </c>
    </row>
    <row r="84" spans="1:2" x14ac:dyDescent="0.35">
      <c r="A84" s="53">
        <v>32021</v>
      </c>
      <c r="B84" s="54">
        <v>6.621428571428571</v>
      </c>
    </row>
    <row r="85" spans="1:2" x14ac:dyDescent="0.35">
      <c r="A85" s="53">
        <v>32051</v>
      </c>
      <c r="B85" s="54">
        <v>6.3509523809523811</v>
      </c>
    </row>
    <row r="86" spans="1:2" x14ac:dyDescent="0.35">
      <c r="A86" s="53">
        <v>32082</v>
      </c>
      <c r="B86" s="54">
        <v>5.89</v>
      </c>
    </row>
    <row r="87" spans="1:2" x14ac:dyDescent="0.35">
      <c r="A87" s="53">
        <v>32112</v>
      </c>
      <c r="B87" s="54">
        <v>5.9595454545454549</v>
      </c>
    </row>
    <row r="88" spans="1:2" x14ac:dyDescent="0.35">
      <c r="A88" s="53">
        <v>32143</v>
      </c>
      <c r="B88" s="54">
        <v>6.0047368421052632</v>
      </c>
    </row>
    <row r="89" spans="1:2" x14ac:dyDescent="0.35">
      <c r="A89" s="53">
        <v>32174</v>
      </c>
      <c r="B89" s="54">
        <v>5.8425000000000002</v>
      </c>
    </row>
    <row r="90" spans="1:2" x14ac:dyDescent="0.35">
      <c r="A90" s="53">
        <v>32203</v>
      </c>
      <c r="B90" s="54">
        <v>5.87</v>
      </c>
    </row>
    <row r="91" spans="1:2" x14ac:dyDescent="0.35">
      <c r="A91" s="53">
        <v>32234</v>
      </c>
      <c r="B91" s="54">
        <v>6.0830000000000002</v>
      </c>
    </row>
    <row r="92" spans="1:2" x14ac:dyDescent="0.35">
      <c r="A92" s="53">
        <v>32264</v>
      </c>
      <c r="B92" s="54">
        <v>6.4542857142857146</v>
      </c>
    </row>
    <row r="93" spans="1:2" x14ac:dyDescent="0.35">
      <c r="A93" s="53">
        <v>32295</v>
      </c>
      <c r="B93" s="54">
        <v>6.6640909090909091</v>
      </c>
    </row>
    <row r="94" spans="1:2" x14ac:dyDescent="0.35">
      <c r="A94" s="53">
        <v>32325</v>
      </c>
      <c r="B94" s="54">
        <v>6.9480000000000004</v>
      </c>
    </row>
    <row r="95" spans="1:2" x14ac:dyDescent="0.35">
      <c r="A95" s="53">
        <v>32356</v>
      </c>
      <c r="B95" s="54">
        <v>7.2995652173913044</v>
      </c>
    </row>
    <row r="96" spans="1:2" x14ac:dyDescent="0.35">
      <c r="A96" s="53">
        <v>32387</v>
      </c>
      <c r="B96" s="54">
        <v>7.4780952380952384</v>
      </c>
    </row>
    <row r="97" spans="1:2" x14ac:dyDescent="0.35">
      <c r="A97" s="53">
        <v>32417</v>
      </c>
      <c r="B97" s="54">
        <v>7.5970000000000004</v>
      </c>
    </row>
    <row r="98" spans="1:2" x14ac:dyDescent="0.35">
      <c r="A98" s="53">
        <v>32448</v>
      </c>
      <c r="B98" s="54">
        <v>8.0284999999999993</v>
      </c>
    </row>
    <row r="99" spans="1:2" x14ac:dyDescent="0.35">
      <c r="A99" s="53">
        <v>32478</v>
      </c>
      <c r="B99" s="54">
        <v>8.3485714285714288</v>
      </c>
    </row>
    <row r="100" spans="1:2" x14ac:dyDescent="0.35">
      <c r="A100" s="53">
        <v>32509</v>
      </c>
      <c r="B100" s="54">
        <v>8.5585000000000004</v>
      </c>
    </row>
    <row r="101" spans="1:2" x14ac:dyDescent="0.35">
      <c r="A101" s="53">
        <v>32540</v>
      </c>
      <c r="B101" s="54">
        <v>8.8368421052631572</v>
      </c>
    </row>
    <row r="102" spans="1:2" x14ac:dyDescent="0.35">
      <c r="A102" s="53">
        <v>32568</v>
      </c>
      <c r="B102" s="54">
        <v>9.1422727272727276</v>
      </c>
    </row>
    <row r="103" spans="1:2" x14ac:dyDescent="0.35">
      <c r="A103" s="53">
        <v>32599</v>
      </c>
      <c r="B103" s="54">
        <v>8.9625000000000004</v>
      </c>
    </row>
    <row r="104" spans="1:2" x14ac:dyDescent="0.35">
      <c r="A104" s="53">
        <v>32629</v>
      </c>
      <c r="B104" s="54">
        <v>8.7359090909090913</v>
      </c>
    </row>
    <row r="105" spans="1:2" x14ac:dyDescent="0.35">
      <c r="A105" s="53">
        <v>32660</v>
      </c>
      <c r="B105" s="54">
        <v>8.4345454545454537</v>
      </c>
    </row>
    <row r="106" spans="1:2" x14ac:dyDescent="0.35">
      <c r="A106" s="53">
        <v>32690</v>
      </c>
      <c r="B106" s="54">
        <v>8.1470000000000002</v>
      </c>
    </row>
    <row r="107" spans="1:2" x14ac:dyDescent="0.35">
      <c r="A107" s="53">
        <v>32721</v>
      </c>
      <c r="B107" s="54">
        <v>8.17</v>
      </c>
    </row>
    <row r="108" spans="1:2" x14ac:dyDescent="0.35">
      <c r="A108" s="53">
        <v>32752</v>
      </c>
      <c r="B108" s="54">
        <v>8.0145</v>
      </c>
    </row>
    <row r="109" spans="1:2" x14ac:dyDescent="0.35">
      <c r="A109" s="53">
        <v>32782</v>
      </c>
      <c r="B109" s="54">
        <v>7.8995238095238092</v>
      </c>
    </row>
    <row r="110" spans="1:2" x14ac:dyDescent="0.35">
      <c r="A110" s="53">
        <v>32813</v>
      </c>
      <c r="B110" s="54">
        <v>7.9438095238095237</v>
      </c>
    </row>
    <row r="111" spans="1:2" x14ac:dyDescent="0.35">
      <c r="A111" s="53">
        <v>32843</v>
      </c>
      <c r="B111" s="54">
        <v>7.8795000000000002</v>
      </c>
    </row>
    <row r="112" spans="1:2" x14ac:dyDescent="0.35">
      <c r="A112" s="53">
        <v>32874</v>
      </c>
      <c r="B112" s="54">
        <v>7.8980952380952383</v>
      </c>
    </row>
    <row r="113" spans="1:2" x14ac:dyDescent="0.35">
      <c r="A113" s="53">
        <v>32905</v>
      </c>
      <c r="B113" s="54">
        <v>8.0021052631578939</v>
      </c>
    </row>
    <row r="114" spans="1:2" x14ac:dyDescent="0.35">
      <c r="A114" s="53">
        <v>32933</v>
      </c>
      <c r="B114" s="54">
        <v>8.17</v>
      </c>
    </row>
    <row r="115" spans="1:2" x14ac:dyDescent="0.35">
      <c r="A115" s="53">
        <v>32964</v>
      </c>
      <c r="B115" s="54">
        <v>8.0404999999999998</v>
      </c>
    </row>
    <row r="116" spans="1:2" x14ac:dyDescent="0.35">
      <c r="A116" s="53">
        <v>32994</v>
      </c>
      <c r="B116" s="54">
        <v>8.0068181818181809</v>
      </c>
    </row>
    <row r="117" spans="1:2" x14ac:dyDescent="0.35">
      <c r="A117" s="53">
        <v>33025</v>
      </c>
      <c r="B117" s="54">
        <v>7.9866666666666664</v>
      </c>
    </row>
    <row r="118" spans="1:2" x14ac:dyDescent="0.35">
      <c r="A118" s="53">
        <v>33055</v>
      </c>
      <c r="B118" s="54">
        <v>7.8747619047619049</v>
      </c>
    </row>
    <row r="119" spans="1:2" x14ac:dyDescent="0.35">
      <c r="A119" s="53">
        <v>33086</v>
      </c>
      <c r="B119" s="54">
        <v>7.6943478260869567</v>
      </c>
    </row>
    <row r="120" spans="1:2" x14ac:dyDescent="0.35">
      <c r="A120" s="53">
        <v>33117</v>
      </c>
      <c r="B120" s="54">
        <v>7.5978947368421057</v>
      </c>
    </row>
    <row r="121" spans="1:2" x14ac:dyDescent="0.35">
      <c r="A121" s="53">
        <v>33147</v>
      </c>
      <c r="B121" s="54">
        <v>7.4</v>
      </c>
    </row>
    <row r="122" spans="1:2" x14ac:dyDescent="0.35">
      <c r="A122" s="53">
        <v>33178</v>
      </c>
      <c r="B122" s="54">
        <v>7.2904999999999998</v>
      </c>
    </row>
    <row r="123" spans="1:2" x14ac:dyDescent="0.35">
      <c r="A123" s="53">
        <v>33208</v>
      </c>
      <c r="B123" s="54">
        <v>6.9494999999999996</v>
      </c>
    </row>
    <row r="124" spans="1:2" x14ac:dyDescent="0.35">
      <c r="A124" s="53">
        <v>33239</v>
      </c>
      <c r="B124" s="54">
        <v>6.4104761904761904</v>
      </c>
    </row>
    <row r="125" spans="1:2" x14ac:dyDescent="0.35">
      <c r="A125" s="53">
        <v>33270</v>
      </c>
      <c r="B125" s="54">
        <v>6.1163157894736839</v>
      </c>
    </row>
    <row r="126" spans="1:2" x14ac:dyDescent="0.35">
      <c r="A126" s="53">
        <v>33298</v>
      </c>
      <c r="B126" s="54">
        <v>6.0934999999999997</v>
      </c>
    </row>
    <row r="127" spans="1:2" x14ac:dyDescent="0.35">
      <c r="A127" s="53">
        <v>33329</v>
      </c>
      <c r="B127" s="54">
        <v>5.8254545454545452</v>
      </c>
    </row>
    <row r="128" spans="1:2" x14ac:dyDescent="0.35">
      <c r="A128" s="53">
        <v>33359</v>
      </c>
      <c r="B128" s="54">
        <v>5.6336363636363638</v>
      </c>
    </row>
    <row r="129" spans="1:2" x14ac:dyDescent="0.35">
      <c r="A129" s="53">
        <v>33390</v>
      </c>
      <c r="B129" s="54">
        <v>5.7510000000000003</v>
      </c>
    </row>
    <row r="130" spans="1:2" x14ac:dyDescent="0.35">
      <c r="A130" s="53">
        <v>33420</v>
      </c>
      <c r="B130" s="54">
        <v>5.750909090909091</v>
      </c>
    </row>
    <row r="131" spans="1:2" x14ac:dyDescent="0.35">
      <c r="A131" s="53">
        <v>33451</v>
      </c>
      <c r="B131" s="54">
        <v>5.497727272727273</v>
      </c>
    </row>
    <row r="132" spans="1:2" x14ac:dyDescent="0.35">
      <c r="A132" s="53">
        <v>33482</v>
      </c>
      <c r="B132" s="54">
        <v>5.3734999999999999</v>
      </c>
    </row>
    <row r="133" spans="1:2" x14ac:dyDescent="0.35">
      <c r="A133" s="53">
        <v>33512</v>
      </c>
      <c r="B133" s="54">
        <v>5.1440909090909095</v>
      </c>
    </row>
    <row r="134" spans="1:2" x14ac:dyDescent="0.35">
      <c r="A134" s="53">
        <v>33543</v>
      </c>
      <c r="B134" s="54">
        <v>4.689473684210526</v>
      </c>
    </row>
    <row r="135" spans="1:2" x14ac:dyDescent="0.35">
      <c r="A135" s="53">
        <v>33573</v>
      </c>
      <c r="B135" s="54">
        <v>4.1842857142857142</v>
      </c>
    </row>
    <row r="136" spans="1:2" x14ac:dyDescent="0.35">
      <c r="A136" s="53">
        <v>33604</v>
      </c>
      <c r="B136" s="54">
        <v>3.906190476190476</v>
      </c>
    </row>
    <row r="137" spans="1:2" x14ac:dyDescent="0.35">
      <c r="A137" s="53">
        <v>33635</v>
      </c>
      <c r="B137" s="54">
        <v>3.95</v>
      </c>
    </row>
    <row r="138" spans="1:2" x14ac:dyDescent="0.35">
      <c r="A138" s="53">
        <v>33664</v>
      </c>
      <c r="B138" s="54">
        <v>4.1386363636363637</v>
      </c>
    </row>
    <row r="139" spans="1:2" x14ac:dyDescent="0.35">
      <c r="A139" s="53">
        <v>33695</v>
      </c>
      <c r="B139" s="54">
        <v>3.8390476190476188</v>
      </c>
    </row>
    <row r="140" spans="1:2" x14ac:dyDescent="0.35">
      <c r="A140" s="53">
        <v>33725</v>
      </c>
      <c r="B140" s="54">
        <v>3.7189999999999999</v>
      </c>
    </row>
    <row r="141" spans="1:2" x14ac:dyDescent="0.35">
      <c r="A141" s="53">
        <v>33756</v>
      </c>
      <c r="B141" s="54">
        <v>3.7450000000000001</v>
      </c>
    </row>
    <row r="142" spans="1:2" x14ac:dyDescent="0.35">
      <c r="A142" s="53">
        <v>33786</v>
      </c>
      <c r="B142" s="54">
        <v>3.2795454545454543</v>
      </c>
    </row>
    <row r="143" spans="1:2" x14ac:dyDescent="0.35">
      <c r="A143" s="53">
        <v>33817</v>
      </c>
      <c r="B143" s="54">
        <v>3.1990476190476191</v>
      </c>
    </row>
    <row r="144" spans="1:2" x14ac:dyDescent="0.35">
      <c r="A144" s="53">
        <v>33848</v>
      </c>
      <c r="B144" s="54">
        <v>2.9685714285714284</v>
      </c>
    </row>
    <row r="145" spans="1:2" x14ac:dyDescent="0.35">
      <c r="A145" s="53">
        <v>33878</v>
      </c>
      <c r="B145" s="54">
        <v>2.9328571428571428</v>
      </c>
    </row>
    <row r="146" spans="1:2" x14ac:dyDescent="0.35">
      <c r="A146" s="53">
        <v>33909</v>
      </c>
      <c r="B146" s="54">
        <v>3.2057894736842103</v>
      </c>
    </row>
    <row r="147" spans="1:2" x14ac:dyDescent="0.35">
      <c r="A147" s="53">
        <v>33939</v>
      </c>
      <c r="B147" s="54">
        <v>3.2913636363636365</v>
      </c>
    </row>
    <row r="148" spans="1:2" x14ac:dyDescent="0.35">
      <c r="A148" s="53">
        <v>33970</v>
      </c>
      <c r="B148" s="54">
        <v>3.0710526315789473</v>
      </c>
    </row>
    <row r="149" spans="1:2" x14ac:dyDescent="0.35">
      <c r="A149" s="53">
        <v>34001</v>
      </c>
      <c r="B149" s="54">
        <v>2.9926315789473685</v>
      </c>
    </row>
    <row r="150" spans="1:2" x14ac:dyDescent="0.35">
      <c r="A150" s="53">
        <v>34029</v>
      </c>
      <c r="B150" s="54">
        <v>3.0143478260869565</v>
      </c>
    </row>
    <row r="151" spans="1:2" x14ac:dyDescent="0.35">
      <c r="A151" s="53">
        <v>34060</v>
      </c>
      <c r="B151" s="54">
        <v>2.9304761904761905</v>
      </c>
    </row>
    <row r="152" spans="1:2" x14ac:dyDescent="0.35">
      <c r="A152" s="53">
        <v>34090</v>
      </c>
      <c r="B152" s="54">
        <v>3.0249999999999999</v>
      </c>
    </row>
    <row r="153" spans="1:2" x14ac:dyDescent="0.35">
      <c r="A153" s="53">
        <v>34121</v>
      </c>
      <c r="B153" s="54">
        <v>3.1445454545454545</v>
      </c>
    </row>
    <row r="154" spans="1:2" x14ac:dyDescent="0.35">
      <c r="A154" s="53">
        <v>34151</v>
      </c>
      <c r="B154" s="54">
        <v>3.1109523809523809</v>
      </c>
    </row>
    <row r="155" spans="1:2" x14ac:dyDescent="0.35">
      <c r="A155" s="53">
        <v>34182</v>
      </c>
      <c r="B155" s="54">
        <v>3.0904545454545453</v>
      </c>
    </row>
    <row r="156" spans="1:2" x14ac:dyDescent="0.35">
      <c r="A156" s="53">
        <v>34213</v>
      </c>
      <c r="B156" s="54">
        <v>3.0085714285714285</v>
      </c>
    </row>
    <row r="157" spans="1:2" x14ac:dyDescent="0.35">
      <c r="A157" s="53">
        <v>34243</v>
      </c>
      <c r="B157" s="54">
        <v>3.0920000000000001</v>
      </c>
    </row>
    <row r="158" spans="1:2" x14ac:dyDescent="0.35">
      <c r="A158" s="53">
        <v>34274</v>
      </c>
      <c r="B158" s="54">
        <v>3.1795</v>
      </c>
    </row>
    <row r="159" spans="1:2" x14ac:dyDescent="0.35">
      <c r="A159" s="53">
        <v>34304</v>
      </c>
      <c r="B159" s="54">
        <v>3.1277272727272729</v>
      </c>
    </row>
    <row r="160" spans="1:2" x14ac:dyDescent="0.35">
      <c r="A160" s="53">
        <v>34335</v>
      </c>
      <c r="B160" s="54">
        <v>3.0445000000000002</v>
      </c>
    </row>
    <row r="161" spans="1:2" x14ac:dyDescent="0.35">
      <c r="A161" s="53">
        <v>34366</v>
      </c>
      <c r="B161" s="54">
        <v>3.3305263157894736</v>
      </c>
    </row>
    <row r="162" spans="1:2" x14ac:dyDescent="0.35">
      <c r="A162" s="53">
        <v>34394</v>
      </c>
      <c r="B162" s="54">
        <v>3.5908695652173912</v>
      </c>
    </row>
    <row r="163" spans="1:2" x14ac:dyDescent="0.35">
      <c r="A163" s="53">
        <v>34425</v>
      </c>
      <c r="B163" s="54">
        <v>3.7805263157894737</v>
      </c>
    </row>
    <row r="164" spans="1:2" x14ac:dyDescent="0.35">
      <c r="A164" s="53">
        <v>34455</v>
      </c>
      <c r="B164" s="54">
        <v>4.2676190476190472</v>
      </c>
    </row>
    <row r="165" spans="1:2" x14ac:dyDescent="0.35">
      <c r="A165" s="53">
        <v>34486</v>
      </c>
      <c r="B165" s="54">
        <v>4.249090909090909</v>
      </c>
    </row>
    <row r="166" spans="1:2" x14ac:dyDescent="0.35">
      <c r="A166" s="53">
        <v>34516</v>
      </c>
      <c r="B166" s="54">
        <v>4.4565000000000001</v>
      </c>
    </row>
    <row r="167" spans="1:2" x14ac:dyDescent="0.35">
      <c r="A167" s="53">
        <v>34547</v>
      </c>
      <c r="B167" s="54">
        <v>4.611739130434783</v>
      </c>
    </row>
    <row r="168" spans="1:2" x14ac:dyDescent="0.35">
      <c r="A168" s="53">
        <v>34578</v>
      </c>
      <c r="B168" s="54">
        <v>4.7514285714285718</v>
      </c>
    </row>
    <row r="169" spans="1:2" x14ac:dyDescent="0.35">
      <c r="A169" s="53">
        <v>34608</v>
      </c>
      <c r="B169" s="54">
        <v>5.1020000000000003</v>
      </c>
    </row>
    <row r="170" spans="1:2" x14ac:dyDescent="0.35">
      <c r="A170" s="53">
        <v>34639</v>
      </c>
      <c r="B170" s="54">
        <v>5.4489999999999998</v>
      </c>
    </row>
    <row r="171" spans="1:2" x14ac:dyDescent="0.35">
      <c r="A171" s="53">
        <v>34669</v>
      </c>
      <c r="B171" s="54">
        <v>5.7647619047619045</v>
      </c>
    </row>
    <row r="172" spans="1:2" x14ac:dyDescent="0.35">
      <c r="A172" s="53">
        <v>34700</v>
      </c>
      <c r="B172" s="54">
        <v>5.9015000000000004</v>
      </c>
    </row>
    <row r="173" spans="1:2" x14ac:dyDescent="0.35">
      <c r="A173" s="53">
        <v>34731</v>
      </c>
      <c r="B173" s="54">
        <v>5.939473684210526</v>
      </c>
    </row>
    <row r="174" spans="1:2" x14ac:dyDescent="0.35">
      <c r="A174" s="53">
        <v>34759</v>
      </c>
      <c r="B174" s="54">
        <v>5.9104347826086956</v>
      </c>
    </row>
    <row r="175" spans="1:2" x14ac:dyDescent="0.35">
      <c r="A175" s="53">
        <v>34790</v>
      </c>
      <c r="B175" s="54">
        <v>5.837894736842105</v>
      </c>
    </row>
    <row r="176" spans="1:2" x14ac:dyDescent="0.35">
      <c r="A176" s="53">
        <v>34820</v>
      </c>
      <c r="B176" s="54">
        <v>5.8477272727272727</v>
      </c>
    </row>
    <row r="177" spans="1:2" x14ac:dyDescent="0.35">
      <c r="A177" s="53">
        <v>34851</v>
      </c>
      <c r="B177" s="54">
        <v>5.6390909090909087</v>
      </c>
    </row>
    <row r="178" spans="1:2" x14ac:dyDescent="0.35">
      <c r="A178" s="53">
        <v>34881</v>
      </c>
      <c r="B178" s="54">
        <v>5.593</v>
      </c>
    </row>
    <row r="179" spans="1:2" x14ac:dyDescent="0.35">
      <c r="A179" s="53">
        <v>34912</v>
      </c>
      <c r="B179" s="54">
        <v>5.5656521739130431</v>
      </c>
    </row>
    <row r="180" spans="1:2" x14ac:dyDescent="0.35">
      <c r="A180" s="53">
        <v>34943</v>
      </c>
      <c r="B180" s="54">
        <v>5.4340000000000002</v>
      </c>
    </row>
    <row r="181" spans="1:2" x14ac:dyDescent="0.35">
      <c r="A181" s="53">
        <v>34973</v>
      </c>
      <c r="B181" s="54">
        <v>5.444285714285714</v>
      </c>
    </row>
    <row r="182" spans="1:2" x14ac:dyDescent="0.35">
      <c r="A182" s="53">
        <v>35004</v>
      </c>
      <c r="B182" s="54">
        <v>5.5180952380952384</v>
      </c>
    </row>
    <row r="183" spans="1:2" x14ac:dyDescent="0.35">
      <c r="A183" s="53">
        <v>35034</v>
      </c>
      <c r="B183" s="54">
        <v>5.2939999999999996</v>
      </c>
    </row>
    <row r="184" spans="1:2" x14ac:dyDescent="0.35">
      <c r="A184" s="53">
        <v>35065</v>
      </c>
      <c r="B184" s="54">
        <v>5.1504761904761907</v>
      </c>
    </row>
    <row r="185" spans="1:2" x14ac:dyDescent="0.35">
      <c r="A185" s="53">
        <v>35096</v>
      </c>
      <c r="B185" s="54">
        <v>4.9645000000000001</v>
      </c>
    </row>
    <row r="186" spans="1:2" x14ac:dyDescent="0.35">
      <c r="A186" s="53">
        <v>35125</v>
      </c>
      <c r="B186" s="54">
        <v>5.0976190476190473</v>
      </c>
    </row>
    <row r="187" spans="1:2" x14ac:dyDescent="0.35">
      <c r="A187" s="53">
        <v>35156</v>
      </c>
      <c r="B187" s="54">
        <v>5.0877272727272729</v>
      </c>
    </row>
    <row r="188" spans="1:2" x14ac:dyDescent="0.35">
      <c r="A188" s="53">
        <v>35186</v>
      </c>
      <c r="B188" s="54">
        <v>5.1536363636363633</v>
      </c>
    </row>
    <row r="189" spans="1:2" x14ac:dyDescent="0.35">
      <c r="A189" s="53">
        <v>35217</v>
      </c>
      <c r="B189" s="54">
        <v>5.2314999999999996</v>
      </c>
    </row>
    <row r="190" spans="1:2" x14ac:dyDescent="0.35">
      <c r="A190" s="53">
        <v>35247</v>
      </c>
      <c r="B190" s="54">
        <v>5.2981818181818179</v>
      </c>
    </row>
    <row r="191" spans="1:2" x14ac:dyDescent="0.35">
      <c r="A191" s="53">
        <v>35278</v>
      </c>
      <c r="B191" s="54">
        <v>5.1890909090909094</v>
      </c>
    </row>
    <row r="192" spans="1:2" x14ac:dyDescent="0.35">
      <c r="A192" s="53">
        <v>35309</v>
      </c>
      <c r="B192" s="54">
        <v>5.2374999999999998</v>
      </c>
    </row>
    <row r="193" spans="1:2" x14ac:dyDescent="0.35">
      <c r="A193" s="53">
        <v>35339</v>
      </c>
      <c r="B193" s="54">
        <v>5.1231818181818181</v>
      </c>
    </row>
    <row r="194" spans="1:2" x14ac:dyDescent="0.35">
      <c r="A194" s="53">
        <v>35370</v>
      </c>
      <c r="B194" s="54">
        <v>5.1694736842105264</v>
      </c>
    </row>
    <row r="195" spans="1:2" x14ac:dyDescent="0.35">
      <c r="A195" s="53">
        <v>35400</v>
      </c>
      <c r="B195" s="54">
        <v>5.0404761904761903</v>
      </c>
    </row>
    <row r="196" spans="1:2" x14ac:dyDescent="0.35">
      <c r="A196" s="53">
        <v>35431</v>
      </c>
      <c r="B196" s="54">
        <v>5.1657142857142855</v>
      </c>
    </row>
    <row r="197" spans="1:2" x14ac:dyDescent="0.35">
      <c r="A197" s="53">
        <v>35462</v>
      </c>
      <c r="B197" s="54">
        <v>5.1421052631578945</v>
      </c>
    </row>
    <row r="198" spans="1:2" x14ac:dyDescent="0.35">
      <c r="A198" s="53">
        <v>35490</v>
      </c>
      <c r="B198" s="54">
        <v>5.2845000000000004</v>
      </c>
    </row>
    <row r="199" spans="1:2" x14ac:dyDescent="0.35">
      <c r="A199" s="53">
        <v>35521</v>
      </c>
      <c r="B199" s="54">
        <v>5.3045454545454547</v>
      </c>
    </row>
    <row r="200" spans="1:2" x14ac:dyDescent="0.35">
      <c r="A200" s="53">
        <v>35551</v>
      </c>
      <c r="B200" s="54">
        <v>5.1966666666666663</v>
      </c>
    </row>
    <row r="201" spans="1:2" x14ac:dyDescent="0.35">
      <c r="A201" s="53">
        <v>35582</v>
      </c>
      <c r="B201" s="54">
        <v>5.0709523809523809</v>
      </c>
    </row>
    <row r="202" spans="1:2" x14ac:dyDescent="0.35">
      <c r="A202" s="53">
        <v>35612</v>
      </c>
      <c r="B202" s="54">
        <v>5.1945454545454544</v>
      </c>
    </row>
    <row r="203" spans="1:2" x14ac:dyDescent="0.35">
      <c r="A203" s="53">
        <v>35643</v>
      </c>
      <c r="B203" s="54">
        <v>5.2795238095238091</v>
      </c>
    </row>
    <row r="204" spans="1:2" x14ac:dyDescent="0.35">
      <c r="A204" s="53">
        <v>35674</v>
      </c>
      <c r="B204" s="54">
        <v>5.0847619047619048</v>
      </c>
    </row>
    <row r="205" spans="1:2" x14ac:dyDescent="0.35">
      <c r="A205" s="53">
        <v>35704</v>
      </c>
      <c r="B205" s="54">
        <v>5.1127272727272723</v>
      </c>
    </row>
    <row r="206" spans="1:2" x14ac:dyDescent="0.35">
      <c r="A206" s="53">
        <v>35735</v>
      </c>
      <c r="B206" s="54">
        <v>5.2811111111111115</v>
      </c>
    </row>
    <row r="207" spans="1:2" x14ac:dyDescent="0.35">
      <c r="A207" s="53">
        <v>35765</v>
      </c>
      <c r="B207" s="54">
        <v>5.3045454545454547</v>
      </c>
    </row>
    <row r="208" spans="1:2" x14ac:dyDescent="0.35">
      <c r="A208" s="53">
        <v>35796</v>
      </c>
      <c r="B208" s="54">
        <v>5.1790000000000003</v>
      </c>
    </row>
    <row r="209" spans="1:2" x14ac:dyDescent="0.35">
      <c r="A209" s="53">
        <v>35827</v>
      </c>
      <c r="B209" s="54">
        <v>5.23</v>
      </c>
    </row>
    <row r="210" spans="1:2" x14ac:dyDescent="0.35">
      <c r="A210" s="53">
        <v>35855</v>
      </c>
      <c r="B210" s="54">
        <v>5.1618181818181821</v>
      </c>
    </row>
    <row r="211" spans="1:2" x14ac:dyDescent="0.35">
      <c r="A211" s="53">
        <v>35886</v>
      </c>
      <c r="B211" s="54">
        <v>5.0828571428571427</v>
      </c>
    </row>
    <row r="212" spans="1:2" x14ac:dyDescent="0.35">
      <c r="A212" s="53">
        <v>35916</v>
      </c>
      <c r="B212" s="54">
        <v>5.14</v>
      </c>
    </row>
    <row r="213" spans="1:2" x14ac:dyDescent="0.35">
      <c r="A213" s="53">
        <v>35947</v>
      </c>
      <c r="B213" s="54">
        <v>5.124090909090909</v>
      </c>
    </row>
    <row r="214" spans="1:2" x14ac:dyDescent="0.35">
      <c r="A214" s="53">
        <v>35977</v>
      </c>
      <c r="B214" s="54">
        <v>5.0945454545454547</v>
      </c>
    </row>
    <row r="215" spans="1:2" x14ac:dyDescent="0.35">
      <c r="A215" s="53">
        <v>36008</v>
      </c>
      <c r="B215" s="54">
        <v>5.0409523809523806</v>
      </c>
    </row>
    <row r="216" spans="1:2" x14ac:dyDescent="0.35">
      <c r="A216" s="53">
        <v>36039</v>
      </c>
      <c r="B216" s="54">
        <v>4.7390476190476187</v>
      </c>
    </row>
    <row r="217" spans="1:2" x14ac:dyDescent="0.35">
      <c r="A217" s="53">
        <v>36069</v>
      </c>
      <c r="B217" s="54">
        <v>4.0704761904761906</v>
      </c>
    </row>
    <row r="218" spans="1:2" x14ac:dyDescent="0.35">
      <c r="A218" s="53">
        <v>36100</v>
      </c>
      <c r="B218" s="54">
        <v>4.5310526315789472</v>
      </c>
    </row>
    <row r="219" spans="1:2" x14ac:dyDescent="0.35">
      <c r="A219" s="53">
        <v>36130</v>
      </c>
      <c r="B219" s="54">
        <v>4.496818181818182</v>
      </c>
    </row>
    <row r="220" spans="1:2" x14ac:dyDescent="0.35">
      <c r="A220" s="53">
        <v>36161</v>
      </c>
      <c r="B220" s="54">
        <v>4.446315789473684</v>
      </c>
    </row>
    <row r="221" spans="1:2" x14ac:dyDescent="0.35">
      <c r="A221" s="53">
        <v>36192</v>
      </c>
      <c r="B221" s="54">
        <v>4.5552631578947365</v>
      </c>
    </row>
    <row r="222" spans="1:2" x14ac:dyDescent="0.35">
      <c r="A222" s="53">
        <v>36220</v>
      </c>
      <c r="B222" s="54">
        <v>4.5665217391304349</v>
      </c>
    </row>
    <row r="223" spans="1:2" x14ac:dyDescent="0.35">
      <c r="A223" s="53">
        <v>36251</v>
      </c>
      <c r="B223" s="54">
        <v>4.4090909090909092</v>
      </c>
    </row>
    <row r="224" spans="1:2" x14ac:dyDescent="0.35">
      <c r="A224" s="53">
        <v>36281</v>
      </c>
      <c r="B224" s="54">
        <v>4.6310000000000002</v>
      </c>
    </row>
    <row r="225" spans="1:2" x14ac:dyDescent="0.35">
      <c r="A225" s="53">
        <v>36312</v>
      </c>
      <c r="B225" s="54">
        <v>4.7154545454545458</v>
      </c>
    </row>
    <row r="226" spans="1:2" x14ac:dyDescent="0.35">
      <c r="A226" s="53">
        <v>36342</v>
      </c>
      <c r="B226" s="54">
        <v>4.6857142857142859</v>
      </c>
    </row>
    <row r="227" spans="1:2" x14ac:dyDescent="0.35">
      <c r="A227" s="53">
        <v>36373</v>
      </c>
      <c r="B227" s="54">
        <v>4.873636363636364</v>
      </c>
    </row>
    <row r="228" spans="1:2" x14ac:dyDescent="0.35">
      <c r="A228" s="53">
        <v>36404</v>
      </c>
      <c r="B228" s="54">
        <v>4.8223809523809527</v>
      </c>
    </row>
    <row r="229" spans="1:2" x14ac:dyDescent="0.35">
      <c r="A229" s="53">
        <v>36434</v>
      </c>
      <c r="B229" s="54">
        <v>5.0185000000000004</v>
      </c>
    </row>
    <row r="230" spans="1:2" x14ac:dyDescent="0.35">
      <c r="A230" s="53">
        <v>36465</v>
      </c>
      <c r="B230" s="54">
        <v>5.2275</v>
      </c>
    </row>
    <row r="231" spans="1:2" x14ac:dyDescent="0.35">
      <c r="A231" s="53">
        <v>36495</v>
      </c>
      <c r="B231" s="54">
        <v>5.3568181818181815</v>
      </c>
    </row>
    <row r="232" spans="1:2" x14ac:dyDescent="0.35">
      <c r="A232" s="53">
        <v>36526</v>
      </c>
      <c r="B232" s="54">
        <v>5.4989999999999997</v>
      </c>
    </row>
    <row r="233" spans="1:2" x14ac:dyDescent="0.35">
      <c r="A233" s="53">
        <v>36557</v>
      </c>
      <c r="B233" s="54">
        <v>5.7270000000000003</v>
      </c>
    </row>
    <row r="234" spans="1:2" x14ac:dyDescent="0.35">
      <c r="A234" s="53">
        <v>36586</v>
      </c>
      <c r="B234" s="54">
        <v>5.8639130434782611</v>
      </c>
    </row>
    <row r="235" spans="1:2" x14ac:dyDescent="0.35">
      <c r="A235" s="53">
        <v>36617</v>
      </c>
      <c r="B235" s="54">
        <v>5.8215789473684207</v>
      </c>
    </row>
    <row r="236" spans="1:2" x14ac:dyDescent="0.35">
      <c r="A236" s="53">
        <v>36647</v>
      </c>
      <c r="B236" s="54">
        <v>5.9945454545454542</v>
      </c>
    </row>
    <row r="237" spans="1:2" x14ac:dyDescent="0.35">
      <c r="A237" s="53">
        <v>36678</v>
      </c>
      <c r="B237" s="54">
        <v>5.8618181818181814</v>
      </c>
    </row>
    <row r="238" spans="1:2" x14ac:dyDescent="0.35">
      <c r="A238" s="53">
        <v>36708</v>
      </c>
      <c r="B238" s="54">
        <v>6.1425000000000001</v>
      </c>
    </row>
    <row r="239" spans="1:2" x14ac:dyDescent="0.35">
      <c r="A239" s="53">
        <v>36739</v>
      </c>
      <c r="B239" s="54">
        <v>6.2773913043478258</v>
      </c>
    </row>
    <row r="240" spans="1:2" x14ac:dyDescent="0.35">
      <c r="A240" s="53">
        <v>36770</v>
      </c>
      <c r="B240" s="54">
        <v>6.1749999999999998</v>
      </c>
    </row>
    <row r="241" spans="1:2" x14ac:dyDescent="0.35">
      <c r="A241" s="53">
        <v>36800</v>
      </c>
      <c r="B241" s="54">
        <v>6.2947619047619048</v>
      </c>
    </row>
    <row r="242" spans="1:2" x14ac:dyDescent="0.35">
      <c r="A242" s="53">
        <v>36831</v>
      </c>
      <c r="B242" s="54">
        <v>6.3561904761904762</v>
      </c>
    </row>
    <row r="243" spans="1:2" x14ac:dyDescent="0.35">
      <c r="A243" s="53">
        <v>36861</v>
      </c>
      <c r="B243" s="54">
        <v>5.9370000000000003</v>
      </c>
    </row>
    <row r="244" spans="1:2" x14ac:dyDescent="0.35">
      <c r="A244" s="53">
        <v>36892</v>
      </c>
      <c r="B244" s="54">
        <v>5.2852380952380953</v>
      </c>
    </row>
    <row r="245" spans="1:2" x14ac:dyDescent="0.35">
      <c r="A245" s="53">
        <v>36923</v>
      </c>
      <c r="B245" s="54">
        <v>5.0052631578947366</v>
      </c>
    </row>
    <row r="246" spans="1:2" x14ac:dyDescent="0.35">
      <c r="A246" s="53">
        <v>36951</v>
      </c>
      <c r="B246" s="54">
        <v>4.5354545454545452</v>
      </c>
    </row>
    <row r="247" spans="1:2" x14ac:dyDescent="0.35">
      <c r="A247" s="53">
        <v>36982</v>
      </c>
      <c r="B247" s="54">
        <v>3.9660000000000002</v>
      </c>
    </row>
    <row r="248" spans="1:2" x14ac:dyDescent="0.35">
      <c r="A248" s="53">
        <v>37012</v>
      </c>
      <c r="B248" s="54">
        <v>3.7031818181818181</v>
      </c>
    </row>
    <row r="249" spans="1:2" x14ac:dyDescent="0.35">
      <c r="A249" s="53">
        <v>37043</v>
      </c>
      <c r="B249" s="54">
        <v>3.5652380952380951</v>
      </c>
    </row>
    <row r="250" spans="1:2" x14ac:dyDescent="0.35">
      <c r="A250" s="53">
        <v>37073</v>
      </c>
      <c r="B250" s="54">
        <v>3.5933333333333333</v>
      </c>
    </row>
    <row r="251" spans="1:2" x14ac:dyDescent="0.35">
      <c r="A251" s="53">
        <v>37104</v>
      </c>
      <c r="B251" s="54">
        <v>3.4378260869565218</v>
      </c>
    </row>
    <row r="252" spans="1:2" x14ac:dyDescent="0.35">
      <c r="A252" s="53">
        <v>37135</v>
      </c>
      <c r="B252" s="54">
        <v>2.6923529411764706</v>
      </c>
    </row>
    <row r="253" spans="1:2" x14ac:dyDescent="0.35">
      <c r="A253" s="53">
        <v>37165</v>
      </c>
      <c r="B253" s="54">
        <v>2.1977272727272728</v>
      </c>
    </row>
    <row r="254" spans="1:2" x14ac:dyDescent="0.35">
      <c r="A254" s="53">
        <v>37196</v>
      </c>
      <c r="B254" s="54">
        <v>1.9065000000000001</v>
      </c>
    </row>
    <row r="255" spans="1:2" x14ac:dyDescent="0.35">
      <c r="A255" s="53">
        <v>37226</v>
      </c>
      <c r="B255" s="54">
        <v>1.72</v>
      </c>
    </row>
    <row r="256" spans="1:2" x14ac:dyDescent="0.35">
      <c r="A256" s="53">
        <v>37257</v>
      </c>
      <c r="B256" s="54">
        <v>1.6847619047619049</v>
      </c>
    </row>
    <row r="257" spans="1:2" x14ac:dyDescent="0.35">
      <c r="A257" s="53">
        <v>37288</v>
      </c>
      <c r="B257" s="54">
        <v>1.756842105263158</v>
      </c>
    </row>
    <row r="258" spans="1:2" x14ac:dyDescent="0.35">
      <c r="A258" s="53">
        <v>37316</v>
      </c>
      <c r="B258" s="54">
        <v>1.825</v>
      </c>
    </row>
    <row r="259" spans="1:2" x14ac:dyDescent="0.35">
      <c r="A259" s="53">
        <v>37347</v>
      </c>
      <c r="B259" s="54">
        <v>1.7450000000000001</v>
      </c>
    </row>
    <row r="260" spans="1:2" x14ac:dyDescent="0.35">
      <c r="A260" s="53">
        <v>37377</v>
      </c>
      <c r="B260" s="54">
        <v>1.7604545454545455</v>
      </c>
    </row>
    <row r="261" spans="1:2" x14ac:dyDescent="0.35">
      <c r="A261" s="53">
        <v>37408</v>
      </c>
      <c r="B261" s="54">
        <v>1.732</v>
      </c>
    </row>
    <row r="262" spans="1:2" x14ac:dyDescent="0.35">
      <c r="A262" s="53">
        <v>37438</v>
      </c>
      <c r="B262" s="54">
        <v>1.7136363636363636</v>
      </c>
    </row>
    <row r="263" spans="1:2" x14ac:dyDescent="0.35">
      <c r="A263" s="53">
        <v>37469</v>
      </c>
      <c r="B263" s="54">
        <v>1.6472727272727272</v>
      </c>
    </row>
    <row r="264" spans="1:2" x14ac:dyDescent="0.35">
      <c r="A264" s="53">
        <v>37500</v>
      </c>
      <c r="B264" s="54">
        <v>1.659</v>
      </c>
    </row>
    <row r="265" spans="1:2" x14ac:dyDescent="0.35">
      <c r="A265" s="53">
        <v>37530</v>
      </c>
      <c r="B265" s="54">
        <v>1.61</v>
      </c>
    </row>
    <row r="266" spans="1:2" x14ac:dyDescent="0.35">
      <c r="A266" s="53">
        <v>37561</v>
      </c>
      <c r="B266" s="54">
        <v>1.2547368421052632</v>
      </c>
    </row>
    <row r="267" spans="1:2" x14ac:dyDescent="0.35">
      <c r="A267" s="53">
        <v>37591</v>
      </c>
      <c r="B267" s="54">
        <v>1.210952380952381</v>
      </c>
    </row>
    <row r="268" spans="1:2" x14ac:dyDescent="0.35">
      <c r="A268" s="53">
        <v>37622</v>
      </c>
      <c r="B268" s="54">
        <v>1.1890476190476189</v>
      </c>
    </row>
    <row r="269" spans="1:2" x14ac:dyDescent="0.35">
      <c r="A269" s="53">
        <v>37653</v>
      </c>
      <c r="B269" s="54">
        <v>1.1852631578947368</v>
      </c>
    </row>
    <row r="270" spans="1:2" x14ac:dyDescent="0.35">
      <c r="A270" s="53">
        <v>37681</v>
      </c>
      <c r="B270" s="54">
        <v>1.1509523809523809</v>
      </c>
    </row>
    <row r="271" spans="1:2" x14ac:dyDescent="0.35">
      <c r="A271" s="53">
        <v>37712</v>
      </c>
      <c r="B271" s="54">
        <v>1.1523809523809525</v>
      </c>
    </row>
    <row r="272" spans="1:2" x14ac:dyDescent="0.35">
      <c r="A272" s="53">
        <v>37742</v>
      </c>
      <c r="B272" s="54">
        <v>1.088095238095238</v>
      </c>
    </row>
    <row r="273" spans="1:2" x14ac:dyDescent="0.35">
      <c r="A273" s="53">
        <v>37773</v>
      </c>
      <c r="B273" s="54">
        <v>0.93619047619047624</v>
      </c>
    </row>
    <row r="274" spans="1:2" x14ac:dyDescent="0.35">
      <c r="A274" s="53">
        <v>37803</v>
      </c>
      <c r="B274" s="54">
        <v>0.92045454545454541</v>
      </c>
    </row>
    <row r="275" spans="1:2" x14ac:dyDescent="0.35">
      <c r="A275" s="53">
        <v>37834</v>
      </c>
      <c r="B275" s="54">
        <v>0.96904761904761905</v>
      </c>
    </row>
    <row r="276" spans="1:2" x14ac:dyDescent="0.35">
      <c r="A276" s="53">
        <v>37865</v>
      </c>
      <c r="B276" s="54">
        <v>0.95523809523809522</v>
      </c>
    </row>
    <row r="277" spans="1:2" x14ac:dyDescent="0.35">
      <c r="A277" s="53">
        <v>37895</v>
      </c>
      <c r="B277" s="54">
        <v>0.94181818181818178</v>
      </c>
    </row>
    <row r="278" spans="1:2" x14ac:dyDescent="0.35">
      <c r="A278" s="53">
        <v>37926</v>
      </c>
      <c r="B278" s="54">
        <v>0.95222222222222219</v>
      </c>
    </row>
    <row r="279" spans="1:2" x14ac:dyDescent="0.35">
      <c r="A279" s="53">
        <v>37956</v>
      </c>
      <c r="B279" s="54">
        <v>0.91454545454545455</v>
      </c>
    </row>
    <row r="280" spans="1:2" x14ac:dyDescent="0.35">
      <c r="A280" s="53">
        <v>37987</v>
      </c>
      <c r="B280" s="54">
        <v>0.90049999999999997</v>
      </c>
    </row>
    <row r="281" spans="1:2" x14ac:dyDescent="0.35">
      <c r="A281" s="53">
        <v>38018</v>
      </c>
      <c r="B281" s="54">
        <v>0.94473684210526321</v>
      </c>
    </row>
    <row r="282" spans="1:2" x14ac:dyDescent="0.35">
      <c r="A282" s="53">
        <v>38047</v>
      </c>
      <c r="B282" s="54">
        <v>0.95347826086956522</v>
      </c>
    </row>
    <row r="283" spans="1:2" x14ac:dyDescent="0.35">
      <c r="A283" s="53">
        <v>38078</v>
      </c>
      <c r="B283" s="54">
        <v>0.95809523809523811</v>
      </c>
    </row>
    <row r="284" spans="1:2" x14ac:dyDescent="0.35">
      <c r="A284" s="53">
        <v>38108</v>
      </c>
      <c r="B284" s="54">
        <v>1.0395000000000001</v>
      </c>
    </row>
    <row r="285" spans="1:2" x14ac:dyDescent="0.35">
      <c r="A285" s="53">
        <v>38139</v>
      </c>
      <c r="B285" s="54">
        <v>1.2880952380952382</v>
      </c>
    </row>
    <row r="286" spans="1:2" x14ac:dyDescent="0.35">
      <c r="A286" s="53">
        <v>38169</v>
      </c>
      <c r="B286" s="54">
        <v>1.3576190476190475</v>
      </c>
    </row>
    <row r="287" spans="1:2" x14ac:dyDescent="0.35">
      <c r="A287" s="53">
        <v>38200</v>
      </c>
      <c r="B287" s="54">
        <v>1.5031818181818182</v>
      </c>
    </row>
    <row r="288" spans="1:2" x14ac:dyDescent="0.35">
      <c r="A288" s="53">
        <v>38231</v>
      </c>
      <c r="B288" s="54">
        <v>1.6814285714285715</v>
      </c>
    </row>
    <row r="289" spans="1:2" x14ac:dyDescent="0.35">
      <c r="A289" s="53">
        <v>38261</v>
      </c>
      <c r="B289" s="54">
        <v>1.7945</v>
      </c>
    </row>
    <row r="290" spans="1:2" x14ac:dyDescent="0.35">
      <c r="A290" s="53">
        <v>38292</v>
      </c>
      <c r="B290" s="54">
        <v>2.1074999999999999</v>
      </c>
    </row>
    <row r="291" spans="1:2" x14ac:dyDescent="0.35">
      <c r="A291" s="53">
        <v>38322</v>
      </c>
      <c r="B291" s="54">
        <v>2.2227272727272727</v>
      </c>
    </row>
    <row r="292" spans="1:2" x14ac:dyDescent="0.35">
      <c r="A292" s="53">
        <v>38353</v>
      </c>
      <c r="B292" s="54">
        <v>2.371</v>
      </c>
    </row>
    <row r="293" spans="1:2" x14ac:dyDescent="0.35">
      <c r="A293" s="53">
        <v>38384</v>
      </c>
      <c r="B293" s="54">
        <v>2.5794736842105261</v>
      </c>
    </row>
    <row r="294" spans="1:2" x14ac:dyDescent="0.35">
      <c r="A294" s="53">
        <v>38412</v>
      </c>
      <c r="B294" s="54">
        <v>2.7959090909090909</v>
      </c>
    </row>
    <row r="295" spans="1:2" x14ac:dyDescent="0.35">
      <c r="A295" s="53">
        <v>38443</v>
      </c>
      <c r="B295" s="54">
        <v>2.8366666666666669</v>
      </c>
    </row>
    <row r="296" spans="1:2" x14ac:dyDescent="0.35">
      <c r="A296" s="53">
        <v>38473</v>
      </c>
      <c r="B296" s="54">
        <v>2.901904761904762</v>
      </c>
    </row>
    <row r="297" spans="1:2" x14ac:dyDescent="0.35">
      <c r="A297" s="53">
        <v>38504</v>
      </c>
      <c r="B297" s="54">
        <v>3.0363636363636366</v>
      </c>
    </row>
    <row r="298" spans="1:2" x14ac:dyDescent="0.35">
      <c r="A298" s="53">
        <v>38534</v>
      </c>
      <c r="B298" s="54">
        <v>3.2875000000000001</v>
      </c>
    </row>
    <row r="299" spans="1:2" x14ac:dyDescent="0.35">
      <c r="A299" s="53">
        <v>38565</v>
      </c>
      <c r="B299" s="54">
        <v>3.5182608695652173</v>
      </c>
    </row>
    <row r="300" spans="1:2" x14ac:dyDescent="0.35">
      <c r="A300" s="53">
        <v>38596</v>
      </c>
      <c r="B300" s="54">
        <v>3.4942857142857142</v>
      </c>
    </row>
    <row r="301" spans="1:2" x14ac:dyDescent="0.35">
      <c r="A301" s="53">
        <v>38626</v>
      </c>
      <c r="B301" s="54">
        <v>3.7925</v>
      </c>
    </row>
    <row r="302" spans="1:2" x14ac:dyDescent="0.35">
      <c r="A302" s="53">
        <v>38657</v>
      </c>
      <c r="B302" s="54">
        <v>3.9744999999999999</v>
      </c>
    </row>
    <row r="303" spans="1:2" x14ac:dyDescent="0.35">
      <c r="A303" s="53">
        <v>38687</v>
      </c>
      <c r="B303" s="54">
        <v>3.9709523809523808</v>
      </c>
    </row>
    <row r="304" spans="1:2" x14ac:dyDescent="0.35">
      <c r="A304" s="53">
        <v>38718</v>
      </c>
      <c r="B304" s="54">
        <v>4.3360000000000003</v>
      </c>
    </row>
    <row r="305" spans="1:2" x14ac:dyDescent="0.35">
      <c r="A305" s="53">
        <v>38749</v>
      </c>
      <c r="B305" s="54">
        <v>4.5394736842105265</v>
      </c>
    </row>
    <row r="306" spans="1:2" x14ac:dyDescent="0.35">
      <c r="A306" s="53">
        <v>38777</v>
      </c>
      <c r="B306" s="54">
        <v>4.6278260869565218</v>
      </c>
    </row>
    <row r="307" spans="1:2" x14ac:dyDescent="0.35">
      <c r="A307" s="53">
        <v>38808</v>
      </c>
      <c r="B307" s="54">
        <v>4.7215789473684211</v>
      </c>
    </row>
    <row r="308" spans="1:2" x14ac:dyDescent="0.35">
      <c r="A308" s="53">
        <v>38838</v>
      </c>
      <c r="B308" s="54">
        <v>4.836363636363636</v>
      </c>
    </row>
    <row r="309" spans="1:2" x14ac:dyDescent="0.35">
      <c r="A309" s="53">
        <v>38869</v>
      </c>
      <c r="B309" s="54">
        <v>4.9177272727272729</v>
      </c>
    </row>
    <row r="310" spans="1:2" x14ac:dyDescent="0.35">
      <c r="A310" s="53">
        <v>38899</v>
      </c>
      <c r="B310" s="54">
        <v>5.0765000000000002</v>
      </c>
    </row>
    <row r="311" spans="1:2" x14ac:dyDescent="0.35">
      <c r="A311" s="53">
        <v>38930</v>
      </c>
      <c r="B311" s="54">
        <v>5.0904347826086953</v>
      </c>
    </row>
    <row r="312" spans="1:2" x14ac:dyDescent="0.35">
      <c r="A312" s="53">
        <v>38961</v>
      </c>
      <c r="B312" s="54">
        <v>4.93</v>
      </c>
    </row>
    <row r="313" spans="1:2" x14ac:dyDescent="0.35">
      <c r="A313" s="53">
        <v>38991</v>
      </c>
      <c r="B313" s="54">
        <v>5.0461904761904766</v>
      </c>
    </row>
    <row r="314" spans="1:2" x14ac:dyDescent="0.35">
      <c r="A314" s="53">
        <v>39022</v>
      </c>
      <c r="B314" s="54">
        <v>5.0733333333333333</v>
      </c>
    </row>
    <row r="315" spans="1:2" x14ac:dyDescent="0.35">
      <c r="A315" s="53">
        <v>39052</v>
      </c>
      <c r="B315" s="54">
        <v>4.9729999999999999</v>
      </c>
    </row>
    <row r="316" spans="1:2" x14ac:dyDescent="0.35">
      <c r="A316" s="53">
        <v>39083</v>
      </c>
      <c r="B316" s="54">
        <v>5.1052380952380956</v>
      </c>
    </row>
    <row r="317" spans="1:2" x14ac:dyDescent="0.35">
      <c r="A317" s="53">
        <v>39114</v>
      </c>
      <c r="B317" s="54">
        <v>5.1631578947368419</v>
      </c>
    </row>
    <row r="318" spans="1:2" x14ac:dyDescent="0.35">
      <c r="A318" s="53">
        <v>39142</v>
      </c>
      <c r="B318" s="54">
        <v>5.08</v>
      </c>
    </row>
    <row r="319" spans="1:2" x14ac:dyDescent="0.35">
      <c r="A319" s="53">
        <v>39173</v>
      </c>
      <c r="B319" s="54">
        <v>5.0066666666666668</v>
      </c>
    </row>
    <row r="320" spans="1:2" x14ac:dyDescent="0.35">
      <c r="A320" s="53">
        <v>39203</v>
      </c>
      <c r="B320" s="54">
        <v>4.8677272727272731</v>
      </c>
    </row>
    <row r="321" spans="1:2" x14ac:dyDescent="0.35">
      <c r="A321" s="53">
        <v>39234</v>
      </c>
      <c r="B321" s="54">
        <v>4.7419047619047623</v>
      </c>
    </row>
    <row r="322" spans="1:2" x14ac:dyDescent="0.35">
      <c r="A322" s="53">
        <v>39264</v>
      </c>
      <c r="B322" s="54">
        <v>4.9609523809523806</v>
      </c>
    </row>
    <row r="323" spans="1:2" x14ac:dyDescent="0.35">
      <c r="A323" s="53">
        <v>39295</v>
      </c>
      <c r="B323" s="54">
        <v>4.3169565217391304</v>
      </c>
    </row>
    <row r="324" spans="1:2" x14ac:dyDescent="0.35">
      <c r="A324" s="53">
        <v>39326</v>
      </c>
      <c r="B324" s="54">
        <v>3.9942105263157894</v>
      </c>
    </row>
    <row r="325" spans="1:2" x14ac:dyDescent="0.35">
      <c r="A325" s="53">
        <v>39356</v>
      </c>
      <c r="B325" s="54">
        <v>4.0027272727272729</v>
      </c>
    </row>
    <row r="326" spans="1:2" x14ac:dyDescent="0.35">
      <c r="A326" s="53">
        <v>39387</v>
      </c>
      <c r="B326" s="54">
        <v>3.3544999999999998</v>
      </c>
    </row>
    <row r="327" spans="1:2" x14ac:dyDescent="0.35">
      <c r="A327" s="53">
        <v>39417</v>
      </c>
      <c r="B327" s="54">
        <v>3.0665</v>
      </c>
    </row>
    <row r="328" spans="1:2" x14ac:dyDescent="0.35">
      <c r="A328" s="53">
        <v>39448</v>
      </c>
      <c r="B328" s="54">
        <v>2.82</v>
      </c>
    </row>
    <row r="329" spans="1:2" x14ac:dyDescent="0.35">
      <c r="A329" s="53">
        <v>39479</v>
      </c>
      <c r="B329" s="54">
        <v>2.1739999999999999</v>
      </c>
    </row>
    <row r="330" spans="1:2" x14ac:dyDescent="0.35">
      <c r="A330" s="53">
        <v>39508</v>
      </c>
      <c r="B330" s="54">
        <v>1.2835000000000001</v>
      </c>
    </row>
    <row r="331" spans="1:2" x14ac:dyDescent="0.35">
      <c r="A331" s="53">
        <v>39539</v>
      </c>
      <c r="B331" s="54">
        <v>1.3118181818181818</v>
      </c>
    </row>
    <row r="332" spans="1:2" x14ac:dyDescent="0.35">
      <c r="A332" s="53">
        <v>39569</v>
      </c>
      <c r="B332" s="54">
        <v>1.7642857142857142</v>
      </c>
    </row>
    <row r="333" spans="1:2" x14ac:dyDescent="0.35">
      <c r="A333" s="53">
        <v>39600</v>
      </c>
      <c r="B333" s="54">
        <v>1.8904761904761904</v>
      </c>
    </row>
    <row r="334" spans="1:2" x14ac:dyDescent="0.35">
      <c r="A334" s="53">
        <v>39630</v>
      </c>
      <c r="B334" s="54">
        <v>1.655</v>
      </c>
    </row>
    <row r="335" spans="1:2" x14ac:dyDescent="0.35">
      <c r="A335" s="53">
        <v>39661</v>
      </c>
      <c r="B335" s="54">
        <v>1.7528571428571429</v>
      </c>
    </row>
    <row r="336" spans="1:2" x14ac:dyDescent="0.35">
      <c r="A336" s="53">
        <v>39692</v>
      </c>
      <c r="B336" s="54">
        <v>1.1466666666666667</v>
      </c>
    </row>
    <row r="337" spans="1:2" x14ac:dyDescent="0.35">
      <c r="A337" s="53">
        <v>39722</v>
      </c>
      <c r="B337" s="54">
        <v>0.68590909090909091</v>
      </c>
    </row>
    <row r="338" spans="1:2" x14ac:dyDescent="0.35">
      <c r="A338" s="53">
        <v>39753</v>
      </c>
      <c r="B338" s="54">
        <v>0.19388888888888889</v>
      </c>
    </row>
    <row r="339" spans="1:2" x14ac:dyDescent="0.35">
      <c r="A339" s="53">
        <v>39783</v>
      </c>
      <c r="B339" s="54">
        <v>3.4090909090909088E-2</v>
      </c>
    </row>
    <row r="340" spans="1:2" x14ac:dyDescent="0.35">
      <c r="A340" s="53">
        <v>39814</v>
      </c>
      <c r="B340" s="54">
        <v>0.1295</v>
      </c>
    </row>
    <row r="341" spans="1:2" x14ac:dyDescent="0.35">
      <c r="A341" s="53">
        <v>39845</v>
      </c>
      <c r="B341" s="54">
        <v>0.29526315789473684</v>
      </c>
    </row>
    <row r="342" spans="1:2" x14ac:dyDescent="0.35">
      <c r="A342" s="53">
        <v>39873</v>
      </c>
      <c r="B342" s="54">
        <v>0.21590909090909091</v>
      </c>
    </row>
    <row r="343" spans="1:2" x14ac:dyDescent="0.35">
      <c r="A343" s="53">
        <v>39904</v>
      </c>
      <c r="B343" s="54">
        <v>0.15809523809523809</v>
      </c>
    </row>
    <row r="344" spans="1:2" x14ac:dyDescent="0.35">
      <c r="A344" s="53">
        <v>39934</v>
      </c>
      <c r="B344" s="54">
        <v>0.17699999999999999</v>
      </c>
    </row>
    <row r="345" spans="1:2" x14ac:dyDescent="0.35">
      <c r="A345" s="53">
        <v>39965</v>
      </c>
      <c r="B345" s="54">
        <v>0.17863636363636365</v>
      </c>
    </row>
    <row r="346" spans="1:2" x14ac:dyDescent="0.35">
      <c r="A346" s="53">
        <v>39995</v>
      </c>
      <c r="B346" s="54">
        <v>0.18363636363636363</v>
      </c>
    </row>
    <row r="347" spans="1:2" x14ac:dyDescent="0.35">
      <c r="A347" s="53">
        <v>40026</v>
      </c>
      <c r="B347" s="54">
        <v>0.17190476190476189</v>
      </c>
    </row>
    <row r="348" spans="1:2" x14ac:dyDescent="0.35">
      <c r="A348" s="53">
        <v>40057</v>
      </c>
      <c r="B348" s="54">
        <v>0.12333333333333334</v>
      </c>
    </row>
    <row r="349" spans="1:2" x14ac:dyDescent="0.35">
      <c r="A349" s="53">
        <v>40087</v>
      </c>
      <c r="B349" s="54">
        <v>7.4285714285714288E-2</v>
      </c>
    </row>
    <row r="350" spans="1:2" x14ac:dyDescent="0.35">
      <c r="A350" s="53">
        <v>40118</v>
      </c>
      <c r="B350" s="54">
        <v>5.2105263157894738E-2</v>
      </c>
    </row>
    <row r="351" spans="1:2" x14ac:dyDescent="0.35">
      <c r="A351" s="53">
        <v>40148</v>
      </c>
      <c r="B351" s="54">
        <v>5.4545454545454543E-2</v>
      </c>
    </row>
    <row r="352" spans="1:2" x14ac:dyDescent="0.35">
      <c r="A352" s="53">
        <v>40179</v>
      </c>
      <c r="B352" s="54">
        <v>6.1578947368421053E-2</v>
      </c>
    </row>
    <row r="353" spans="1:2" x14ac:dyDescent="0.35">
      <c r="A353" s="53">
        <v>40210</v>
      </c>
      <c r="B353" s="54">
        <v>0.10894736842105263</v>
      </c>
    </row>
    <row r="354" spans="1:2" x14ac:dyDescent="0.35">
      <c r="A354" s="53">
        <v>40238</v>
      </c>
      <c r="B354" s="54">
        <v>0.15043478260869564</v>
      </c>
    </row>
    <row r="355" spans="1:2" x14ac:dyDescent="0.35">
      <c r="A355" s="53">
        <v>40269</v>
      </c>
      <c r="B355" s="54">
        <v>0.16227272727272726</v>
      </c>
    </row>
    <row r="356" spans="1:2" x14ac:dyDescent="0.35">
      <c r="A356" s="53">
        <v>40299</v>
      </c>
      <c r="B356" s="54">
        <v>0.16</v>
      </c>
    </row>
    <row r="357" spans="1:2" x14ac:dyDescent="0.35">
      <c r="A357" s="53">
        <v>40330</v>
      </c>
      <c r="B357" s="54">
        <v>0.12363636363636364</v>
      </c>
    </row>
    <row r="358" spans="1:2" x14ac:dyDescent="0.35">
      <c r="A358" s="53">
        <v>40360</v>
      </c>
      <c r="B358" s="54">
        <v>0.15761904761904763</v>
      </c>
    </row>
    <row r="359" spans="1:2" x14ac:dyDescent="0.35">
      <c r="A359" s="53">
        <v>40391</v>
      </c>
      <c r="B359" s="54">
        <v>0.155</v>
      </c>
    </row>
    <row r="360" spans="1:2" x14ac:dyDescent="0.35">
      <c r="A360" s="53">
        <v>40422</v>
      </c>
      <c r="B360" s="54">
        <v>0.1519047619047619</v>
      </c>
    </row>
    <row r="361" spans="1:2" x14ac:dyDescent="0.35">
      <c r="A361" s="53">
        <v>40452</v>
      </c>
      <c r="B361" s="54">
        <v>0.13450000000000001</v>
      </c>
    </row>
    <row r="362" spans="1:2" x14ac:dyDescent="0.35">
      <c r="A362" s="53">
        <v>40483</v>
      </c>
      <c r="B362" s="54">
        <v>0.14299999999999999</v>
      </c>
    </row>
    <row r="363" spans="1:2" x14ac:dyDescent="0.35">
      <c r="A363" s="53">
        <v>40513</v>
      </c>
      <c r="B363" s="54">
        <v>0.1409090909090909</v>
      </c>
    </row>
    <row r="364" spans="1:2" x14ac:dyDescent="0.35">
      <c r="A364" s="53">
        <v>40544</v>
      </c>
      <c r="B364" s="54">
        <v>0.152</v>
      </c>
    </row>
    <row r="365" spans="1:2" x14ac:dyDescent="0.35">
      <c r="A365" s="53">
        <v>40575</v>
      </c>
      <c r="B365" s="54">
        <v>0.13210526315789473</v>
      </c>
    </row>
    <row r="366" spans="1:2" x14ac:dyDescent="0.35">
      <c r="A366" s="53">
        <v>40603</v>
      </c>
      <c r="B366" s="54">
        <v>0.10043478260869565</v>
      </c>
    </row>
    <row r="367" spans="1:2" x14ac:dyDescent="0.35">
      <c r="A367" s="53">
        <v>40634</v>
      </c>
      <c r="B367" s="54">
        <v>5.8500000000000003E-2</v>
      </c>
    </row>
    <row r="368" spans="1:2" x14ac:dyDescent="0.35">
      <c r="A368" s="53">
        <v>40664</v>
      </c>
      <c r="B368" s="54">
        <v>4.0952380952380955E-2</v>
      </c>
    </row>
    <row r="369" spans="1:2" x14ac:dyDescent="0.35">
      <c r="A369" s="53">
        <v>40695</v>
      </c>
      <c r="B369" s="54">
        <v>3.727272727272727E-2</v>
      </c>
    </row>
    <row r="370" spans="1:2" x14ac:dyDescent="0.35">
      <c r="A370" s="53">
        <v>40725</v>
      </c>
      <c r="B370" s="54">
        <v>3.7499999999999999E-2</v>
      </c>
    </row>
    <row r="371" spans="1:2" x14ac:dyDescent="0.35">
      <c r="A371" s="53">
        <v>40756</v>
      </c>
      <c r="B371" s="54">
        <v>2.4347826086956521E-2</v>
      </c>
    </row>
    <row r="372" spans="1:2" x14ac:dyDescent="0.35">
      <c r="A372" s="53">
        <v>40787</v>
      </c>
      <c r="B372" s="54">
        <v>1.380952380952381E-2</v>
      </c>
    </row>
    <row r="373" spans="1:2" x14ac:dyDescent="0.35">
      <c r="A373" s="53">
        <v>40817</v>
      </c>
      <c r="B373" s="54">
        <v>1.9E-2</v>
      </c>
    </row>
    <row r="374" spans="1:2" x14ac:dyDescent="0.35">
      <c r="A374" s="53">
        <v>40848</v>
      </c>
      <c r="B374" s="54">
        <v>1.4E-2</v>
      </c>
    </row>
    <row r="375" spans="1:2" x14ac:dyDescent="0.35">
      <c r="A375" s="53">
        <v>40878</v>
      </c>
      <c r="B375" s="54">
        <v>1.1428571428571429E-2</v>
      </c>
    </row>
    <row r="376" spans="1:2" x14ac:dyDescent="0.35">
      <c r="A376" s="53">
        <v>40909</v>
      </c>
      <c r="B376" s="54">
        <v>3.4500000000000003E-2</v>
      </c>
    </row>
    <row r="377" spans="1:2" x14ac:dyDescent="0.35">
      <c r="A377" s="53">
        <v>40940</v>
      </c>
      <c r="B377" s="54">
        <v>9.1999999999999998E-2</v>
      </c>
    </row>
    <row r="378" spans="1:2" x14ac:dyDescent="0.35">
      <c r="A378" s="53">
        <v>40969</v>
      </c>
      <c r="B378" s="54">
        <v>8.4090909090909091E-2</v>
      </c>
    </row>
    <row r="379" spans="1:2" x14ac:dyDescent="0.35">
      <c r="A379" s="53">
        <v>41000</v>
      </c>
      <c r="B379" s="54">
        <v>8.3809523809523806E-2</v>
      </c>
    </row>
    <row r="380" spans="1:2" x14ac:dyDescent="0.35">
      <c r="A380" s="53">
        <v>41030</v>
      </c>
      <c r="B380" s="54">
        <v>8.9545454545454539E-2</v>
      </c>
    </row>
    <row r="381" spans="1:2" x14ac:dyDescent="0.35">
      <c r="A381" s="53">
        <v>41061</v>
      </c>
      <c r="B381" s="54">
        <v>9.1428571428571428E-2</v>
      </c>
    </row>
    <row r="382" spans="1:2" x14ac:dyDescent="0.35">
      <c r="A382" s="53">
        <v>41091</v>
      </c>
      <c r="B382" s="54">
        <v>9.7142857142857142E-2</v>
      </c>
    </row>
    <row r="383" spans="1:2" x14ac:dyDescent="0.35">
      <c r="A383" s="53">
        <v>41122</v>
      </c>
      <c r="B383" s="54">
        <v>0.10260869565217391</v>
      </c>
    </row>
    <row r="384" spans="1:2" x14ac:dyDescent="0.35">
      <c r="A384" s="53">
        <v>41153</v>
      </c>
      <c r="B384" s="54">
        <v>0.10526315789473684</v>
      </c>
    </row>
    <row r="385" spans="1:2" x14ac:dyDescent="0.35">
      <c r="A385" s="53">
        <v>41183</v>
      </c>
      <c r="B385" s="54">
        <v>0.10476190476190476</v>
      </c>
    </row>
    <row r="386" spans="1:2" x14ac:dyDescent="0.35">
      <c r="A386" s="53">
        <v>41214</v>
      </c>
      <c r="B386" s="54">
        <v>9.35E-2</v>
      </c>
    </row>
    <row r="387" spans="1:2" x14ac:dyDescent="0.35">
      <c r="A387" s="53">
        <v>41244</v>
      </c>
      <c r="B387" s="54">
        <v>7.0000000000000007E-2</v>
      </c>
    </row>
    <row r="388" spans="1:2" x14ac:dyDescent="0.35">
      <c r="A388" s="53">
        <v>41275</v>
      </c>
      <c r="B388" s="54">
        <v>7.4285714285714288E-2</v>
      </c>
    </row>
    <row r="389" spans="1:2" x14ac:dyDescent="0.35">
      <c r="A389" s="53">
        <v>41306</v>
      </c>
      <c r="B389" s="54">
        <v>9.8947368421052631E-2</v>
      </c>
    </row>
    <row r="390" spans="1:2" x14ac:dyDescent="0.35">
      <c r="A390" s="53">
        <v>41334</v>
      </c>
      <c r="B390" s="54">
        <v>8.6999999999999994E-2</v>
      </c>
    </row>
    <row r="391" spans="1:2" x14ac:dyDescent="0.35">
      <c r="A391" s="53">
        <v>41365</v>
      </c>
      <c r="B391" s="54">
        <v>0.06</v>
      </c>
    </row>
    <row r="392" spans="1:2" x14ac:dyDescent="0.35">
      <c r="A392" s="53">
        <v>41395</v>
      </c>
      <c r="B392" s="54">
        <v>4.409090909090909E-2</v>
      </c>
    </row>
    <row r="393" spans="1:2" x14ac:dyDescent="0.35">
      <c r="A393" s="53">
        <v>41426</v>
      </c>
      <c r="B393" s="54">
        <v>5.0500000000000003E-2</v>
      </c>
    </row>
    <row r="394" spans="1:2" x14ac:dyDescent="0.35">
      <c r="A394" s="53">
        <v>41456</v>
      </c>
      <c r="B394" s="54">
        <v>3.5454545454545454E-2</v>
      </c>
    </row>
    <row r="395" spans="1:2" x14ac:dyDescent="0.35">
      <c r="A395" s="53">
        <v>41487</v>
      </c>
      <c r="B395" s="54">
        <v>4.363636363636364E-2</v>
      </c>
    </row>
    <row r="396" spans="1:2" x14ac:dyDescent="0.35">
      <c r="A396" s="53">
        <v>41518</v>
      </c>
      <c r="B396" s="54">
        <v>1.6E-2</v>
      </c>
    </row>
    <row r="397" spans="1:2" x14ac:dyDescent="0.35">
      <c r="A397" s="53">
        <v>41548</v>
      </c>
      <c r="B397" s="54">
        <v>4.7272727272727272E-2</v>
      </c>
    </row>
    <row r="398" spans="1:2" x14ac:dyDescent="0.35">
      <c r="A398" s="53">
        <v>41579</v>
      </c>
      <c r="B398" s="54">
        <v>6.7894736842105258E-2</v>
      </c>
    </row>
    <row r="399" spans="1:2" x14ac:dyDescent="0.35">
      <c r="A399" s="53">
        <v>41609</v>
      </c>
      <c r="B399" s="54">
        <v>6.6666666666666666E-2</v>
      </c>
    </row>
    <row r="400" spans="1:2" x14ac:dyDescent="0.35">
      <c r="A400" s="53">
        <v>41640</v>
      </c>
      <c r="B400" s="54">
        <v>4.3333333333333335E-2</v>
      </c>
    </row>
    <row r="401" spans="1:2" x14ac:dyDescent="0.35">
      <c r="A401" s="53">
        <v>41671</v>
      </c>
      <c r="B401" s="54">
        <v>5.2631578947368418E-2</v>
      </c>
    </row>
    <row r="402" spans="1:2" x14ac:dyDescent="0.35">
      <c r="A402" s="53">
        <v>41699</v>
      </c>
      <c r="B402" s="54">
        <v>5.2380952380952382E-2</v>
      </c>
    </row>
    <row r="403" spans="1:2" x14ac:dyDescent="0.35">
      <c r="A403" s="53">
        <v>41730</v>
      </c>
      <c r="B403" s="54">
        <v>3.0952380952380953E-2</v>
      </c>
    </row>
    <row r="404" spans="1:2" x14ac:dyDescent="0.35">
      <c r="A404" s="53">
        <v>41760</v>
      </c>
      <c r="B404" s="54">
        <v>3.2380952380952378E-2</v>
      </c>
    </row>
    <row r="405" spans="1:2" x14ac:dyDescent="0.35">
      <c r="A405" s="53">
        <v>41791</v>
      </c>
      <c r="B405" s="54">
        <v>3.5714285714285712E-2</v>
      </c>
    </row>
    <row r="406" spans="1:2" x14ac:dyDescent="0.35">
      <c r="A406" s="53">
        <v>41821</v>
      </c>
      <c r="B406" s="54">
        <v>2.6363636363636363E-2</v>
      </c>
    </row>
    <row r="407" spans="1:2" x14ac:dyDescent="0.35">
      <c r="A407" s="53">
        <v>41852</v>
      </c>
      <c r="B407" s="54">
        <v>3.2857142857142856E-2</v>
      </c>
    </row>
    <row r="408" spans="1:2" x14ac:dyDescent="0.35">
      <c r="A408" s="53">
        <v>41883</v>
      </c>
      <c r="B408" s="54">
        <v>0.02</v>
      </c>
    </row>
    <row r="409" spans="1:2" x14ac:dyDescent="0.35">
      <c r="A409" s="53">
        <v>41913</v>
      </c>
      <c r="B409" s="54">
        <v>1.6818181818181819E-2</v>
      </c>
    </row>
    <row r="410" spans="1:2" x14ac:dyDescent="0.35">
      <c r="A410" s="53">
        <v>41944</v>
      </c>
      <c r="B410" s="54">
        <v>2.1666666666666667E-2</v>
      </c>
    </row>
    <row r="411" spans="1:2" x14ac:dyDescent="0.35">
      <c r="A411" s="53">
        <v>41974</v>
      </c>
      <c r="B411" s="54">
        <v>2.9090909090909091E-2</v>
      </c>
    </row>
    <row r="412" spans="1:2" x14ac:dyDescent="0.35">
      <c r="A412" s="53">
        <v>42005</v>
      </c>
      <c r="B412" s="54">
        <v>2.75E-2</v>
      </c>
    </row>
    <row r="413" spans="1:2" x14ac:dyDescent="0.35">
      <c r="A413" s="53">
        <v>42036</v>
      </c>
      <c r="B413" s="54">
        <v>1.7894736842105262E-2</v>
      </c>
    </row>
    <row r="414" spans="1:2" x14ac:dyDescent="0.35">
      <c r="A414" s="53">
        <v>42064</v>
      </c>
      <c r="B414" s="54">
        <v>2.7727272727272729E-2</v>
      </c>
    </row>
    <row r="415" spans="1:2" x14ac:dyDescent="0.35">
      <c r="A415" s="53">
        <v>42095</v>
      </c>
      <c r="B415" s="54">
        <v>2.3181818181818182E-2</v>
      </c>
    </row>
    <row r="416" spans="1:2" x14ac:dyDescent="0.35">
      <c r="A416" s="53">
        <v>42125</v>
      </c>
      <c r="B416" s="54">
        <v>1.6500000000000001E-2</v>
      </c>
    </row>
    <row r="417" spans="1:2" x14ac:dyDescent="0.35">
      <c r="A417" s="53">
        <v>42156</v>
      </c>
      <c r="B417" s="54">
        <v>1.4999999999999999E-2</v>
      </c>
    </row>
    <row r="418" spans="1:2" x14ac:dyDescent="0.35">
      <c r="A418" s="53">
        <v>42186</v>
      </c>
      <c r="B418" s="54">
        <v>3.2272727272727272E-2</v>
      </c>
    </row>
    <row r="419" spans="1:2" x14ac:dyDescent="0.35">
      <c r="A419" s="53">
        <v>42217</v>
      </c>
      <c r="B419" s="54">
        <v>7.1904761904761902E-2</v>
      </c>
    </row>
    <row r="420" spans="1:2" x14ac:dyDescent="0.35">
      <c r="A420" s="53">
        <v>42248</v>
      </c>
      <c r="B420" s="54">
        <v>2.4285714285714285E-2</v>
      </c>
    </row>
    <row r="421" spans="1:2" x14ac:dyDescent="0.35">
      <c r="A421" s="53">
        <v>42278</v>
      </c>
      <c r="B421" s="54">
        <v>1.6666666666666666E-2</v>
      </c>
    </row>
    <row r="422" spans="1:2" x14ac:dyDescent="0.35">
      <c r="A422" s="53">
        <v>42309</v>
      </c>
      <c r="B422" s="54">
        <v>0.12631578947368421</v>
      </c>
    </row>
    <row r="423" spans="1:2" x14ac:dyDescent="0.35">
      <c r="A423" s="53">
        <v>42339</v>
      </c>
      <c r="B423" s="54">
        <v>0.22863636363636364</v>
      </c>
    </row>
    <row r="424" spans="1:2" x14ac:dyDescent="0.35">
      <c r="A424" s="53">
        <v>42370</v>
      </c>
      <c r="B424" s="54">
        <v>0.25736842105263158</v>
      </c>
    </row>
    <row r="425" spans="1:2" x14ac:dyDescent="0.35">
      <c r="A425" s="53">
        <v>42401</v>
      </c>
      <c r="B425" s="54">
        <v>0.3145</v>
      </c>
    </row>
    <row r="426" spans="1:2" x14ac:dyDescent="0.35">
      <c r="A426" s="53">
        <v>42430</v>
      </c>
      <c r="B426" s="54">
        <v>0.2972727272727273</v>
      </c>
    </row>
    <row r="427" spans="1:2" x14ac:dyDescent="0.35">
      <c r="A427" s="53">
        <v>42461</v>
      </c>
      <c r="B427" s="54">
        <v>0.2280952380952381</v>
      </c>
    </row>
    <row r="428" spans="1:2" x14ac:dyDescent="0.35">
      <c r="A428" s="53">
        <v>42491</v>
      </c>
      <c r="B428" s="54">
        <v>0.27666666666666667</v>
      </c>
    </row>
    <row r="429" spans="1:2" x14ac:dyDescent="0.35">
      <c r="A429" s="53">
        <v>42522</v>
      </c>
      <c r="B429" s="54">
        <v>0.27272727272727271</v>
      </c>
    </row>
    <row r="430" spans="1:2" x14ac:dyDescent="0.35">
      <c r="A430" s="53">
        <v>42552</v>
      </c>
      <c r="B430" s="54">
        <v>0.30099999999999999</v>
      </c>
    </row>
    <row r="431" spans="1:2" x14ac:dyDescent="0.35">
      <c r="A431" s="53">
        <v>42583</v>
      </c>
      <c r="B431" s="54">
        <v>0.29956521739130437</v>
      </c>
    </row>
    <row r="432" spans="1:2" x14ac:dyDescent="0.35">
      <c r="A432" s="53">
        <v>42614</v>
      </c>
      <c r="B432" s="54">
        <v>0.29428571428571426</v>
      </c>
    </row>
    <row r="433" spans="1:2" x14ac:dyDescent="0.35">
      <c r="A433" s="53">
        <v>42644</v>
      </c>
      <c r="B433" s="54">
        <v>0.33150000000000002</v>
      </c>
    </row>
    <row r="434" spans="1:2" x14ac:dyDescent="0.35">
      <c r="A434" s="53">
        <v>42675</v>
      </c>
      <c r="B434" s="54">
        <v>0.45250000000000001</v>
      </c>
    </row>
    <row r="435" spans="1:2" x14ac:dyDescent="0.35">
      <c r="A435" s="53">
        <v>42705</v>
      </c>
      <c r="B435" s="54">
        <v>0.51190476190476186</v>
      </c>
    </row>
    <row r="436" spans="1:2" x14ac:dyDescent="0.35">
      <c r="A436" s="53">
        <v>42736</v>
      </c>
      <c r="B436" s="54">
        <v>0.51900000000000002</v>
      </c>
    </row>
    <row r="437" spans="1:2" x14ac:dyDescent="0.35">
      <c r="A437" s="53">
        <v>42767</v>
      </c>
      <c r="B437" s="54">
        <v>0.52631578947368418</v>
      </c>
    </row>
    <row r="438" spans="1:2" x14ac:dyDescent="0.35">
      <c r="A438" s="53">
        <v>42795</v>
      </c>
      <c r="B438" s="54">
        <v>0.74782608695652175</v>
      </c>
    </row>
    <row r="439" spans="1:2" x14ac:dyDescent="0.35">
      <c r="A439" s="53">
        <v>42826</v>
      </c>
      <c r="B439" s="54">
        <v>0.80842105263157893</v>
      </c>
    </row>
    <row r="440" spans="1:2" x14ac:dyDescent="0.35">
      <c r="A440" s="53">
        <v>42856</v>
      </c>
      <c r="B440" s="54">
        <v>0.9031818181818182</v>
      </c>
    </row>
    <row r="441" spans="1:2" x14ac:dyDescent="0.35">
      <c r="A441" s="53">
        <v>42887</v>
      </c>
      <c r="B441" s="54">
        <v>0.99909090909090914</v>
      </c>
    </row>
    <row r="442" spans="1:2" x14ac:dyDescent="0.35">
      <c r="A442" s="53">
        <v>42917</v>
      </c>
      <c r="B442" s="54">
        <v>1.0865</v>
      </c>
    </row>
    <row r="443" spans="1:2" x14ac:dyDescent="0.35">
      <c r="A443" s="53">
        <v>42948</v>
      </c>
      <c r="B443" s="54">
        <v>1.0321739130434782</v>
      </c>
    </row>
    <row r="444" spans="1:2" x14ac:dyDescent="0.35">
      <c r="A444" s="53">
        <v>42979</v>
      </c>
      <c r="B444" s="54">
        <v>1.0465</v>
      </c>
    </row>
    <row r="445" spans="1:2" x14ac:dyDescent="0.35">
      <c r="A445" s="53">
        <v>43009</v>
      </c>
      <c r="B445" s="54">
        <v>1.0933333333333333</v>
      </c>
    </row>
    <row r="446" spans="1:2" x14ac:dyDescent="0.35">
      <c r="A446" s="53">
        <v>43040</v>
      </c>
      <c r="B446" s="54">
        <v>1.2504761904761905</v>
      </c>
    </row>
    <row r="447" spans="1:2" x14ac:dyDescent="0.35">
      <c r="A447" s="53">
        <v>43070</v>
      </c>
      <c r="B447" s="54">
        <v>1.3414999999999999</v>
      </c>
    </row>
    <row r="448" spans="1:2" x14ac:dyDescent="0.35">
      <c r="A448" s="53">
        <v>43101</v>
      </c>
      <c r="B448" s="54">
        <v>1.4323809523809523</v>
      </c>
    </row>
    <row r="449" spans="1:2" x14ac:dyDescent="0.35">
      <c r="A449" s="53">
        <v>43132</v>
      </c>
      <c r="B449" s="54">
        <v>1.5878947368421052</v>
      </c>
    </row>
    <row r="450" spans="1:2" x14ac:dyDescent="0.35">
      <c r="A450" s="53">
        <v>43160</v>
      </c>
      <c r="B450" s="54">
        <v>1.7266666666666668</v>
      </c>
    </row>
    <row r="451" spans="1:2" x14ac:dyDescent="0.35">
      <c r="A451" s="53">
        <v>43191</v>
      </c>
      <c r="B451" s="54">
        <v>1.7880952380952382</v>
      </c>
    </row>
    <row r="452" spans="1:2" x14ac:dyDescent="0.35">
      <c r="A452" s="53">
        <v>43221</v>
      </c>
      <c r="B452" s="54">
        <v>1.8995454545454544</v>
      </c>
    </row>
    <row r="453" spans="1:2" x14ac:dyDescent="0.35">
      <c r="A453" s="53">
        <v>43252</v>
      </c>
      <c r="B453" s="54">
        <v>1.9352380952380952</v>
      </c>
    </row>
    <row r="454" spans="1:2" x14ac:dyDescent="0.35">
      <c r="A454" s="53">
        <v>43282</v>
      </c>
      <c r="B454" s="54">
        <v>1.9947619047619047</v>
      </c>
    </row>
    <row r="455" spans="1:2" x14ac:dyDescent="0.35">
      <c r="A455" s="53">
        <v>43313</v>
      </c>
      <c r="B455" s="54">
        <v>2.0726086956521739</v>
      </c>
    </row>
    <row r="456" spans="1:2" x14ac:dyDescent="0.35">
      <c r="A456" s="53">
        <v>43344</v>
      </c>
      <c r="B456" s="54">
        <v>2.1652631578947368</v>
      </c>
    </row>
    <row r="457" spans="1:2" x14ac:dyDescent="0.35">
      <c r="A457" s="53">
        <v>43374</v>
      </c>
      <c r="B457" s="54">
        <v>2.293181818181818</v>
      </c>
    </row>
    <row r="458" spans="1:2" x14ac:dyDescent="0.35">
      <c r="A458" s="53">
        <v>43405</v>
      </c>
      <c r="B458" s="54">
        <v>2.3740000000000001</v>
      </c>
    </row>
    <row r="459" spans="1:2" x14ac:dyDescent="0.35">
      <c r="A459" s="53">
        <v>43435</v>
      </c>
      <c r="B459" s="54">
        <v>2.4121052631578945</v>
      </c>
    </row>
    <row r="460" spans="1:2" x14ac:dyDescent="0.35">
      <c r="A460" s="53">
        <v>43466</v>
      </c>
      <c r="B460" s="54">
        <v>2.4238095238095236</v>
      </c>
    </row>
    <row r="461" spans="1:2" x14ac:dyDescent="0.35">
      <c r="A461" s="53">
        <v>43497</v>
      </c>
      <c r="B461" s="54">
        <v>2.4378947368421051</v>
      </c>
    </row>
    <row r="462" spans="1:2" x14ac:dyDescent="0.35">
      <c r="A462" s="53">
        <v>43525</v>
      </c>
      <c r="B462" s="54">
        <v>2.4538095238095239</v>
      </c>
    </row>
    <row r="463" spans="1:2" x14ac:dyDescent="0.35">
      <c r="A463" s="53">
        <v>43556</v>
      </c>
      <c r="B463" s="54">
        <v>2.4328571428571428</v>
      </c>
    </row>
    <row r="464" spans="1:2" x14ac:dyDescent="0.35">
      <c r="A464" s="53">
        <v>43586</v>
      </c>
      <c r="B464" s="54">
        <v>2.4031818181818183</v>
      </c>
    </row>
    <row r="465" spans="1:2" x14ac:dyDescent="0.35">
      <c r="A465" s="53">
        <v>43617</v>
      </c>
      <c r="B465" s="54">
        <v>2.2195</v>
      </c>
    </row>
    <row r="466" spans="1:2" x14ac:dyDescent="0.35">
      <c r="A466" s="53">
        <v>43647</v>
      </c>
      <c r="B466" s="54">
        <v>2.145</v>
      </c>
    </row>
    <row r="467" spans="1:2" x14ac:dyDescent="0.35">
      <c r="A467" s="53">
        <v>43678</v>
      </c>
      <c r="B467" s="54">
        <v>1.9904545454545455</v>
      </c>
    </row>
    <row r="468" spans="1:2" x14ac:dyDescent="0.35">
      <c r="A468" s="53">
        <v>43709</v>
      </c>
      <c r="B468" s="54">
        <v>1.9345000000000001</v>
      </c>
    </row>
    <row r="469" spans="1:2" x14ac:dyDescent="0.35">
      <c r="A469" s="53">
        <v>43739</v>
      </c>
      <c r="B469" s="54">
        <v>1.6786363636363637</v>
      </c>
    </row>
    <row r="470" spans="1:2" x14ac:dyDescent="0.35">
      <c r="A470" s="53">
        <v>43770</v>
      </c>
      <c r="B470" s="54">
        <v>1.5721052631578947</v>
      </c>
    </row>
    <row r="471" spans="1:2" x14ac:dyDescent="0.35">
      <c r="A471" s="53">
        <v>43800</v>
      </c>
      <c r="B471" s="54">
        <v>1.5652380952380951</v>
      </c>
    </row>
    <row r="472" spans="1:2" x14ac:dyDescent="0.35">
      <c r="A472" s="53">
        <v>43831</v>
      </c>
      <c r="B472" s="54">
        <v>1.5523809523809524</v>
      </c>
    </row>
    <row r="473" spans="1:2" x14ac:dyDescent="0.35">
      <c r="A473" s="53">
        <v>43862</v>
      </c>
      <c r="B473" s="54">
        <v>1.5447368421052632</v>
      </c>
    </row>
    <row r="474" spans="1:2" x14ac:dyDescent="0.35">
      <c r="A474" s="53">
        <v>43891</v>
      </c>
      <c r="B474" s="54">
        <v>0.29545454545454547</v>
      </c>
    </row>
    <row r="475" spans="1:2" x14ac:dyDescent="0.35">
      <c r="A475" s="53">
        <v>43922</v>
      </c>
      <c r="B475" s="54">
        <v>0.1380952380952381</v>
      </c>
    </row>
    <row r="476" spans="1:2" x14ac:dyDescent="0.35">
      <c r="A476" s="53">
        <v>43952</v>
      </c>
      <c r="B476" s="54">
        <v>0.1275</v>
      </c>
    </row>
    <row r="477" spans="1:2" x14ac:dyDescent="0.35">
      <c r="A477" s="53">
        <v>43983</v>
      </c>
      <c r="B477" s="54">
        <v>0.15954545454545455</v>
      </c>
    </row>
    <row r="478" spans="1:2" x14ac:dyDescent="0.35">
      <c r="A478" s="53">
        <v>44013</v>
      </c>
      <c r="B478" s="54">
        <v>0.12681818181818183</v>
      </c>
    </row>
    <row r="479" spans="1:2" x14ac:dyDescent="0.35">
      <c r="A479" s="53">
        <v>44044</v>
      </c>
      <c r="B479" s="55" t="e">
        <f>NA()</f>
        <v>#N/A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44"/>
  <sheetViews>
    <sheetView topLeftCell="A66" workbookViewId="0">
      <selection activeCell="A2" sqref="A2:A241"/>
    </sheetView>
  </sheetViews>
  <sheetFormatPr defaultRowHeight="14.5" x14ac:dyDescent="0.35"/>
  <sheetData>
    <row r="1" spans="1:2" ht="15" thickBot="1" x14ac:dyDescent="0.4">
      <c r="B1" t="s">
        <v>472</v>
      </c>
    </row>
    <row r="2" spans="1:2" ht="15" thickBot="1" x14ac:dyDescent="0.4">
      <c r="A2" s="61">
        <v>36526</v>
      </c>
      <c r="B2" s="62">
        <v>22.84</v>
      </c>
    </row>
    <row r="3" spans="1:2" ht="15" thickBot="1" x14ac:dyDescent="0.4">
      <c r="A3" s="61">
        <v>36557</v>
      </c>
      <c r="B3" s="62">
        <v>24.26</v>
      </c>
    </row>
    <row r="4" spans="1:2" ht="15" thickBot="1" x14ac:dyDescent="0.4">
      <c r="A4" s="61">
        <v>36586</v>
      </c>
      <c r="B4" s="62">
        <v>24.88</v>
      </c>
    </row>
    <row r="5" spans="1:2" ht="15" thickBot="1" x14ac:dyDescent="0.4">
      <c r="A5" s="61">
        <v>36617</v>
      </c>
      <c r="B5" s="62">
        <v>21.79</v>
      </c>
    </row>
    <row r="6" spans="1:2" ht="15" thickBot="1" x14ac:dyDescent="0.4">
      <c r="A6" s="61">
        <v>36647</v>
      </c>
      <c r="B6" s="62">
        <v>24.35</v>
      </c>
    </row>
    <row r="7" spans="1:2" ht="15" thickBot="1" x14ac:dyDescent="0.4">
      <c r="A7" s="61">
        <v>36678</v>
      </c>
      <c r="B7" s="62">
        <v>26.59</v>
      </c>
    </row>
    <row r="8" spans="1:2" ht="15" thickBot="1" x14ac:dyDescent="0.4">
      <c r="A8" s="61">
        <v>36708</v>
      </c>
      <c r="B8" s="62">
        <v>24.19</v>
      </c>
    </row>
    <row r="9" spans="1:2" ht="15" thickBot="1" x14ac:dyDescent="0.4">
      <c r="A9" s="61">
        <v>36739</v>
      </c>
      <c r="B9" s="62">
        <v>25.74</v>
      </c>
    </row>
    <row r="10" spans="1:2" ht="15" thickBot="1" x14ac:dyDescent="0.4">
      <c r="A10" s="61">
        <v>36770</v>
      </c>
      <c r="B10" s="62">
        <v>27.96</v>
      </c>
    </row>
    <row r="11" spans="1:2" ht="15" thickBot="1" x14ac:dyDescent="0.4">
      <c r="A11" s="61">
        <v>36800</v>
      </c>
      <c r="B11" s="62">
        <v>27.91</v>
      </c>
    </row>
    <row r="12" spans="1:2" ht="15" thickBot="1" x14ac:dyDescent="0.4">
      <c r="A12" s="61">
        <v>36831</v>
      </c>
      <c r="B12" s="62">
        <v>27.27</v>
      </c>
    </row>
    <row r="13" spans="1:2" ht="15" thickBot="1" x14ac:dyDescent="0.4">
      <c r="A13" s="61">
        <v>36861</v>
      </c>
      <c r="B13" s="62">
        <v>20.58</v>
      </c>
    </row>
    <row r="14" spans="1:2" x14ac:dyDescent="0.35">
      <c r="A14" s="61">
        <v>36892</v>
      </c>
      <c r="B14">
        <v>19.5</v>
      </c>
    </row>
    <row r="15" spans="1:2" x14ac:dyDescent="0.35">
      <c r="A15" s="61">
        <v>36923</v>
      </c>
      <c r="B15">
        <v>19.989999999999998</v>
      </c>
    </row>
    <row r="16" spans="1:2" x14ac:dyDescent="0.35">
      <c r="A16" s="61">
        <v>36951</v>
      </c>
      <c r="B16">
        <v>18.940000000000001</v>
      </c>
    </row>
    <row r="17" spans="1:2" x14ac:dyDescent="0.35">
      <c r="A17" s="61">
        <v>36982</v>
      </c>
      <c r="B17">
        <v>20.350000000000001</v>
      </c>
    </row>
    <row r="18" spans="1:2" x14ac:dyDescent="0.35">
      <c r="A18" s="61">
        <v>37012</v>
      </c>
      <c r="B18">
        <v>21.51</v>
      </c>
    </row>
    <row r="19" spans="1:2" x14ac:dyDescent="0.35">
      <c r="A19" s="61">
        <v>37043</v>
      </c>
      <c r="B19">
        <v>20.75</v>
      </c>
    </row>
    <row r="20" spans="1:2" x14ac:dyDescent="0.35">
      <c r="A20" s="61">
        <v>37073</v>
      </c>
      <c r="B20">
        <v>21.05</v>
      </c>
    </row>
    <row r="21" spans="1:2" x14ac:dyDescent="0.35">
      <c r="A21" s="61">
        <v>37104</v>
      </c>
      <c r="B21">
        <v>22.07</v>
      </c>
    </row>
    <row r="22" spans="1:2" x14ac:dyDescent="0.35">
      <c r="A22" s="61">
        <v>37135</v>
      </c>
      <c r="B22">
        <v>19.46</v>
      </c>
    </row>
    <row r="23" spans="1:2" x14ac:dyDescent="0.35">
      <c r="A23" s="61">
        <v>37165</v>
      </c>
      <c r="B23">
        <v>16.760000000000002</v>
      </c>
    </row>
    <row r="24" spans="1:2" x14ac:dyDescent="0.35">
      <c r="A24" s="61">
        <v>37196</v>
      </c>
      <c r="B24">
        <v>14.34</v>
      </c>
    </row>
    <row r="25" spans="1:2" x14ac:dyDescent="0.35">
      <c r="A25" s="61">
        <v>37226</v>
      </c>
      <c r="B25">
        <v>14.93</v>
      </c>
    </row>
    <row r="26" spans="1:2" x14ac:dyDescent="0.35">
      <c r="A26" s="61">
        <v>37257</v>
      </c>
      <c r="B26">
        <v>14.69</v>
      </c>
    </row>
    <row r="27" spans="1:2" x14ac:dyDescent="0.35">
      <c r="A27" s="61">
        <v>37288</v>
      </c>
      <c r="B27">
        <v>15.74</v>
      </c>
    </row>
    <row r="28" spans="1:2" x14ac:dyDescent="0.35">
      <c r="A28" s="61">
        <v>37316</v>
      </c>
      <c r="B28">
        <v>19.32</v>
      </c>
    </row>
    <row r="29" spans="1:2" x14ac:dyDescent="0.35">
      <c r="A29" s="61">
        <v>37347</v>
      </c>
      <c r="B29">
        <v>21.67</v>
      </c>
    </row>
    <row r="30" spans="1:2" x14ac:dyDescent="0.35">
      <c r="A30" s="61">
        <v>37377</v>
      </c>
      <c r="B30">
        <v>23.34</v>
      </c>
    </row>
    <row r="31" spans="1:2" x14ac:dyDescent="0.35">
      <c r="A31" s="61">
        <v>37408</v>
      </c>
      <c r="B31">
        <v>22.29</v>
      </c>
    </row>
    <row r="32" spans="1:2" x14ac:dyDescent="0.35">
      <c r="A32" s="61">
        <v>37438</v>
      </c>
      <c r="B32">
        <v>22.55</v>
      </c>
    </row>
    <row r="33" spans="1:2" x14ac:dyDescent="0.35">
      <c r="A33" s="61">
        <v>37469</v>
      </c>
      <c r="B33">
        <v>24.11</v>
      </c>
    </row>
    <row r="34" spans="1:2" x14ac:dyDescent="0.35">
      <c r="A34" s="61">
        <v>37500</v>
      </c>
      <c r="B34">
        <v>25.47</v>
      </c>
    </row>
    <row r="35" spans="1:2" x14ac:dyDescent="0.35">
      <c r="A35" s="61">
        <v>37530</v>
      </c>
      <c r="B35">
        <v>24.29</v>
      </c>
    </row>
    <row r="36" spans="1:2" x14ac:dyDescent="0.35">
      <c r="A36" s="61">
        <v>37561</v>
      </c>
      <c r="B36">
        <v>22.12</v>
      </c>
    </row>
    <row r="37" spans="1:2" x14ac:dyDescent="0.35">
      <c r="A37" s="61">
        <v>37591</v>
      </c>
      <c r="B37">
        <v>24.97</v>
      </c>
    </row>
    <row r="38" spans="1:2" x14ac:dyDescent="0.35">
      <c r="A38" s="61">
        <v>37622</v>
      </c>
      <c r="B38">
        <v>28.74</v>
      </c>
    </row>
    <row r="39" spans="1:2" x14ac:dyDescent="0.35">
      <c r="A39" s="61">
        <v>37653</v>
      </c>
      <c r="B39">
        <v>30.95</v>
      </c>
    </row>
    <row r="40" spans="1:2" x14ac:dyDescent="0.35">
      <c r="A40" s="61">
        <v>37681</v>
      </c>
      <c r="B40">
        <v>28.66</v>
      </c>
    </row>
    <row r="41" spans="1:2" x14ac:dyDescent="0.35">
      <c r="A41" s="61">
        <v>37712</v>
      </c>
      <c r="B41">
        <v>22.41</v>
      </c>
    </row>
    <row r="42" spans="1:2" x14ac:dyDescent="0.35">
      <c r="A42" s="61">
        <v>37742</v>
      </c>
      <c r="B42">
        <v>24.03</v>
      </c>
    </row>
    <row r="43" spans="1:2" x14ac:dyDescent="0.35">
      <c r="A43" s="61">
        <v>37773</v>
      </c>
      <c r="B43">
        <v>25.38</v>
      </c>
    </row>
    <row r="44" spans="1:2" x14ac:dyDescent="0.35">
      <c r="A44" s="61">
        <v>37803</v>
      </c>
      <c r="B44">
        <v>24.89</v>
      </c>
    </row>
    <row r="45" spans="1:2" x14ac:dyDescent="0.35">
      <c r="A45" s="61">
        <v>37834</v>
      </c>
      <c r="B45">
        <v>26.16</v>
      </c>
    </row>
    <row r="46" spans="1:2" x14ac:dyDescent="0.35">
      <c r="A46" s="61">
        <v>37865</v>
      </c>
      <c r="B46">
        <v>23.06</v>
      </c>
    </row>
    <row r="47" spans="1:2" x14ac:dyDescent="0.35">
      <c r="A47" s="61">
        <v>37895</v>
      </c>
      <c r="B47">
        <v>24.22</v>
      </c>
    </row>
    <row r="48" spans="1:2" x14ac:dyDescent="0.35">
      <c r="A48" s="61">
        <v>37926</v>
      </c>
      <c r="B48">
        <v>24.64</v>
      </c>
    </row>
    <row r="49" spans="1:2" x14ac:dyDescent="0.35">
      <c r="A49" s="61">
        <v>37956</v>
      </c>
      <c r="B49">
        <v>26.1</v>
      </c>
    </row>
    <row r="50" spans="1:2" x14ac:dyDescent="0.35">
      <c r="A50" s="61">
        <v>37987</v>
      </c>
      <c r="B50">
        <v>26.91</v>
      </c>
    </row>
    <row r="51" spans="1:2" x14ac:dyDescent="0.35">
      <c r="A51" s="61">
        <v>38018</v>
      </c>
      <c r="B51">
        <v>26.91</v>
      </c>
    </row>
    <row r="52" spans="1:2" x14ac:dyDescent="0.35">
      <c r="A52" s="61">
        <v>38047</v>
      </c>
      <c r="B52">
        <v>26.28</v>
      </c>
    </row>
    <row r="53" spans="1:2" x14ac:dyDescent="0.35">
      <c r="A53" s="61">
        <v>38078</v>
      </c>
      <c r="B53">
        <v>26.96</v>
      </c>
    </row>
    <row r="54" spans="1:2" x14ac:dyDescent="0.35">
      <c r="A54" s="61">
        <v>38108</v>
      </c>
      <c r="B54">
        <v>31.19</v>
      </c>
    </row>
    <row r="55" spans="1:2" x14ac:dyDescent="0.35">
      <c r="A55" s="61">
        <v>38139</v>
      </c>
      <c r="B55">
        <v>29.86</v>
      </c>
    </row>
    <row r="56" spans="1:2" x14ac:dyDescent="0.35">
      <c r="A56" s="61">
        <v>38169</v>
      </c>
      <c r="B56">
        <v>31.29</v>
      </c>
    </row>
    <row r="57" spans="1:2" x14ac:dyDescent="0.35">
      <c r="A57" s="61">
        <v>38200</v>
      </c>
      <c r="B57">
        <v>34.049999999999997</v>
      </c>
    </row>
    <row r="58" spans="1:2" x14ac:dyDescent="0.35">
      <c r="A58" s="61">
        <v>38231</v>
      </c>
      <c r="B58">
        <v>32.520000000000003</v>
      </c>
    </row>
    <row r="59" spans="1:2" x14ac:dyDescent="0.35">
      <c r="A59" s="61">
        <v>38261</v>
      </c>
      <c r="B59">
        <v>37.18</v>
      </c>
    </row>
    <row r="60" spans="1:2" x14ac:dyDescent="0.35">
      <c r="A60" s="61">
        <v>38292</v>
      </c>
      <c r="B60">
        <v>30.58</v>
      </c>
    </row>
    <row r="61" spans="1:2" x14ac:dyDescent="0.35">
      <c r="A61" s="61">
        <v>38322</v>
      </c>
      <c r="B61">
        <v>25.67</v>
      </c>
    </row>
    <row r="62" spans="1:2" x14ac:dyDescent="0.35">
      <c r="A62" s="61">
        <v>38353</v>
      </c>
      <c r="B62">
        <v>29.06</v>
      </c>
    </row>
    <row r="63" spans="1:2" x14ac:dyDescent="0.35">
      <c r="A63" s="61">
        <v>38384</v>
      </c>
      <c r="B63">
        <v>32</v>
      </c>
    </row>
    <row r="64" spans="1:2" x14ac:dyDescent="0.35">
      <c r="A64" s="61">
        <v>38412</v>
      </c>
      <c r="B64">
        <v>38.89</v>
      </c>
    </row>
    <row r="65" spans="1:2" x14ac:dyDescent="0.35">
      <c r="A65" s="61">
        <v>38443</v>
      </c>
      <c r="B65">
        <v>38.39</v>
      </c>
    </row>
    <row r="66" spans="1:2" x14ac:dyDescent="0.35">
      <c r="A66" s="61">
        <v>38473</v>
      </c>
      <c r="B66">
        <v>35.950000000000003</v>
      </c>
    </row>
    <row r="67" spans="1:2" x14ac:dyDescent="0.35">
      <c r="A67" s="61">
        <v>38504</v>
      </c>
      <c r="B67">
        <v>42.26</v>
      </c>
    </row>
    <row r="68" spans="1:2" x14ac:dyDescent="0.35">
      <c r="A68" s="61">
        <v>38534</v>
      </c>
      <c r="B68">
        <v>46</v>
      </c>
    </row>
    <row r="69" spans="1:2" x14ac:dyDescent="0.35">
      <c r="A69" s="61">
        <v>38565</v>
      </c>
      <c r="B69">
        <v>51.66</v>
      </c>
    </row>
    <row r="70" spans="1:2" x14ac:dyDescent="0.35">
      <c r="A70" s="61">
        <v>38596</v>
      </c>
      <c r="B70">
        <v>50.34</v>
      </c>
    </row>
    <row r="71" spans="1:2" x14ac:dyDescent="0.35">
      <c r="A71" s="61">
        <v>38626</v>
      </c>
      <c r="B71">
        <v>45.43</v>
      </c>
    </row>
    <row r="72" spans="1:2" x14ac:dyDescent="0.35">
      <c r="A72" s="61">
        <v>38657</v>
      </c>
      <c r="B72">
        <v>40.33</v>
      </c>
    </row>
    <row r="73" spans="1:2" x14ac:dyDescent="0.35">
      <c r="A73" s="61">
        <v>38687</v>
      </c>
      <c r="B73">
        <v>42.76</v>
      </c>
    </row>
    <row r="74" spans="1:2" x14ac:dyDescent="0.35">
      <c r="A74" s="61">
        <v>38718</v>
      </c>
      <c r="B74">
        <v>46.71</v>
      </c>
    </row>
    <row r="75" spans="1:2" x14ac:dyDescent="0.35">
      <c r="A75" s="61">
        <v>38749</v>
      </c>
      <c r="B75">
        <v>45.1</v>
      </c>
    </row>
    <row r="76" spans="1:2" x14ac:dyDescent="0.35">
      <c r="A76" s="61">
        <v>38777</v>
      </c>
      <c r="B76">
        <v>46.8</v>
      </c>
    </row>
    <row r="77" spans="1:2" x14ac:dyDescent="0.35">
      <c r="A77" s="61">
        <v>38808</v>
      </c>
      <c r="B77">
        <v>54.67</v>
      </c>
    </row>
    <row r="78" spans="1:2" x14ac:dyDescent="0.35">
      <c r="A78" s="61">
        <v>38838</v>
      </c>
      <c r="B78">
        <v>57.15</v>
      </c>
    </row>
    <row r="79" spans="1:2" x14ac:dyDescent="0.35">
      <c r="A79" s="61">
        <v>38869</v>
      </c>
      <c r="B79">
        <v>58.16</v>
      </c>
    </row>
    <row r="80" spans="1:2" x14ac:dyDescent="0.35">
      <c r="A80" s="61">
        <v>38899</v>
      </c>
      <c r="B80">
        <v>61.26</v>
      </c>
    </row>
    <row r="81" spans="1:2" x14ac:dyDescent="0.35">
      <c r="A81" s="61">
        <v>38930</v>
      </c>
      <c r="B81">
        <v>59.29</v>
      </c>
    </row>
    <row r="82" spans="1:2" x14ac:dyDescent="0.35">
      <c r="A82" s="61">
        <v>38961</v>
      </c>
      <c r="B82">
        <v>49.34</v>
      </c>
    </row>
    <row r="83" spans="1:2" x14ac:dyDescent="0.35">
      <c r="A83" s="61">
        <v>38991</v>
      </c>
      <c r="B83">
        <v>45.02</v>
      </c>
    </row>
    <row r="84" spans="1:2" x14ac:dyDescent="0.35">
      <c r="A84" s="61">
        <v>39022</v>
      </c>
      <c r="B84">
        <v>43.96</v>
      </c>
    </row>
    <row r="85" spans="1:2" x14ac:dyDescent="0.35">
      <c r="A85" s="61">
        <v>39052</v>
      </c>
      <c r="B85">
        <v>45.83</v>
      </c>
    </row>
    <row r="86" spans="1:2" x14ac:dyDescent="0.35">
      <c r="A86" s="61">
        <v>39083</v>
      </c>
      <c r="B86">
        <v>40.22</v>
      </c>
    </row>
    <row r="87" spans="1:2" x14ac:dyDescent="0.35">
      <c r="A87" s="61">
        <v>39114</v>
      </c>
      <c r="B87">
        <v>46.29</v>
      </c>
    </row>
    <row r="88" spans="1:2" x14ac:dyDescent="0.35">
      <c r="A88" s="61">
        <v>39142</v>
      </c>
      <c r="B88">
        <v>48.37</v>
      </c>
    </row>
    <row r="89" spans="1:2" x14ac:dyDescent="0.35">
      <c r="A89" s="61">
        <v>39173</v>
      </c>
      <c r="B89">
        <v>52.41</v>
      </c>
    </row>
    <row r="90" spans="1:2" x14ac:dyDescent="0.35">
      <c r="A90" s="61">
        <v>39203</v>
      </c>
      <c r="B90">
        <v>53.78</v>
      </c>
    </row>
    <row r="91" spans="1:2" x14ac:dyDescent="0.35">
      <c r="A91" s="61">
        <v>39234</v>
      </c>
      <c r="B91">
        <v>56.94</v>
      </c>
    </row>
    <row r="92" spans="1:2" x14ac:dyDescent="0.35">
      <c r="A92" s="61">
        <v>39264</v>
      </c>
      <c r="B92">
        <v>63.73</v>
      </c>
    </row>
    <row r="93" spans="1:2" x14ac:dyDescent="0.35">
      <c r="A93" s="61">
        <v>39295</v>
      </c>
      <c r="B93">
        <v>61.22</v>
      </c>
    </row>
    <row r="94" spans="1:2" x14ac:dyDescent="0.35">
      <c r="A94" s="61">
        <v>39326</v>
      </c>
      <c r="B94">
        <v>64.680000000000007</v>
      </c>
    </row>
    <row r="95" spans="1:2" x14ac:dyDescent="0.35">
      <c r="A95" s="61">
        <v>39356</v>
      </c>
      <c r="B95">
        <v>71.36</v>
      </c>
    </row>
    <row r="96" spans="1:2" x14ac:dyDescent="0.35">
      <c r="A96" s="61">
        <v>39387</v>
      </c>
      <c r="B96">
        <v>79.81</v>
      </c>
    </row>
    <row r="97" spans="1:2" x14ac:dyDescent="0.35">
      <c r="A97" s="61">
        <v>39417</v>
      </c>
      <c r="B97">
        <v>77.209999999999894</v>
      </c>
    </row>
    <row r="98" spans="1:2" x14ac:dyDescent="0.35">
      <c r="A98" s="61">
        <v>39448</v>
      </c>
      <c r="B98">
        <v>77</v>
      </c>
    </row>
    <row r="99" spans="1:2" x14ac:dyDescent="0.35">
      <c r="A99" s="61">
        <v>39479</v>
      </c>
      <c r="B99">
        <v>80.34</v>
      </c>
    </row>
    <row r="100" spans="1:2" x14ac:dyDescent="0.35">
      <c r="A100" s="61">
        <v>39508</v>
      </c>
      <c r="B100">
        <v>88.02</v>
      </c>
    </row>
    <row r="101" spans="1:2" x14ac:dyDescent="0.35">
      <c r="A101" s="61">
        <v>39539</v>
      </c>
      <c r="B101">
        <v>94.25</v>
      </c>
    </row>
    <row r="102" spans="1:2" x14ac:dyDescent="0.35">
      <c r="A102" s="61">
        <v>39569</v>
      </c>
      <c r="B102">
        <v>106.68</v>
      </c>
    </row>
    <row r="103" spans="1:2" x14ac:dyDescent="0.35">
      <c r="A103" s="61">
        <v>39600</v>
      </c>
      <c r="B103">
        <v>117.36</v>
      </c>
    </row>
    <row r="104" spans="1:2" x14ac:dyDescent="0.35">
      <c r="A104" s="61">
        <v>39630</v>
      </c>
      <c r="B104">
        <v>114.37</v>
      </c>
    </row>
    <row r="105" spans="1:2" x14ac:dyDescent="0.35">
      <c r="A105" s="61">
        <v>39661</v>
      </c>
      <c r="B105">
        <v>99.65</v>
      </c>
    </row>
    <row r="106" spans="1:2" x14ac:dyDescent="0.35">
      <c r="A106" s="61">
        <v>39692</v>
      </c>
      <c r="B106">
        <v>88.68</v>
      </c>
    </row>
    <row r="107" spans="1:2" x14ac:dyDescent="0.35">
      <c r="A107" s="61">
        <v>39722</v>
      </c>
      <c r="B107">
        <v>63.78</v>
      </c>
    </row>
    <row r="108" spans="1:2" x14ac:dyDescent="0.35">
      <c r="A108" s="61">
        <v>39753</v>
      </c>
      <c r="B108">
        <v>44.04</v>
      </c>
    </row>
    <row r="109" spans="1:2" x14ac:dyDescent="0.35">
      <c r="A109" s="61">
        <v>39783</v>
      </c>
      <c r="B109">
        <v>26.09</v>
      </c>
    </row>
    <row r="110" spans="1:2" x14ac:dyDescent="0.35">
      <c r="A110" s="61">
        <v>39814</v>
      </c>
      <c r="B110">
        <v>26.79</v>
      </c>
    </row>
    <row r="111" spans="1:2" x14ac:dyDescent="0.35">
      <c r="A111" s="61">
        <v>39845</v>
      </c>
      <c r="B111">
        <v>26.65</v>
      </c>
    </row>
    <row r="112" spans="1:2" x14ac:dyDescent="0.35">
      <c r="A112" s="61">
        <v>39873</v>
      </c>
      <c r="B112">
        <v>36.299999999999997</v>
      </c>
    </row>
    <row r="113" spans="1:2" x14ac:dyDescent="0.35">
      <c r="A113" s="61">
        <v>39904</v>
      </c>
      <c r="B113">
        <v>39.96</v>
      </c>
    </row>
    <row r="114" spans="1:2" x14ac:dyDescent="0.35">
      <c r="A114" s="61">
        <v>39934</v>
      </c>
      <c r="B114">
        <v>49.56</v>
      </c>
    </row>
    <row r="115" spans="1:2" x14ac:dyDescent="0.35">
      <c r="A115" s="61">
        <v>39965</v>
      </c>
      <c r="B115">
        <v>62.78</v>
      </c>
    </row>
    <row r="116" spans="1:2" x14ac:dyDescent="0.35">
      <c r="A116" s="61">
        <v>39995</v>
      </c>
      <c r="B116">
        <v>56.38</v>
      </c>
    </row>
    <row r="117" spans="1:2" x14ac:dyDescent="0.35">
      <c r="A117" s="61">
        <v>40026</v>
      </c>
      <c r="B117">
        <v>63.63</v>
      </c>
    </row>
    <row r="118" spans="1:2" x14ac:dyDescent="0.35">
      <c r="A118" s="61">
        <v>40057</v>
      </c>
      <c r="B118">
        <v>64.099999999999994</v>
      </c>
    </row>
    <row r="119" spans="1:2" x14ac:dyDescent="0.35">
      <c r="A119" s="61">
        <v>40087</v>
      </c>
      <c r="B119">
        <v>69.05</v>
      </c>
    </row>
    <row r="120" spans="1:2" x14ac:dyDescent="0.35">
      <c r="A120" s="61">
        <v>40118</v>
      </c>
      <c r="B120">
        <v>70.45</v>
      </c>
    </row>
    <row r="121" spans="1:2" x14ac:dyDescent="0.35">
      <c r="A121" s="61">
        <v>40148</v>
      </c>
      <c r="B121">
        <v>67.819999999999894</v>
      </c>
    </row>
    <row r="122" spans="1:2" x14ac:dyDescent="0.35">
      <c r="A122" s="61">
        <v>40179</v>
      </c>
      <c r="B122">
        <v>72.52</v>
      </c>
    </row>
    <row r="123" spans="1:2" x14ac:dyDescent="0.35">
      <c r="A123" s="61">
        <v>40210</v>
      </c>
      <c r="B123">
        <v>69.72</v>
      </c>
    </row>
    <row r="124" spans="1:2" x14ac:dyDescent="0.35">
      <c r="A124" s="61">
        <v>40238</v>
      </c>
      <c r="B124">
        <v>73.14</v>
      </c>
    </row>
    <row r="125" spans="1:2" x14ac:dyDescent="0.35">
      <c r="A125" s="61">
        <v>40269</v>
      </c>
      <c r="B125">
        <v>75.28</v>
      </c>
    </row>
    <row r="126" spans="1:2" x14ac:dyDescent="0.35">
      <c r="A126" s="61">
        <v>40299</v>
      </c>
      <c r="B126">
        <v>65.2</v>
      </c>
    </row>
    <row r="127" spans="1:2" x14ac:dyDescent="0.35">
      <c r="A127" s="61">
        <v>40330</v>
      </c>
      <c r="B127">
        <v>66.95</v>
      </c>
    </row>
    <row r="128" spans="1:2" x14ac:dyDescent="0.35">
      <c r="A128" s="61">
        <v>40360</v>
      </c>
      <c r="B128">
        <v>68.989999999999995</v>
      </c>
    </row>
    <row r="129" spans="1:2" x14ac:dyDescent="0.35">
      <c r="A129" s="61">
        <v>40391</v>
      </c>
      <c r="B129">
        <v>69.099999999999994</v>
      </c>
    </row>
    <row r="130" spans="1:2" x14ac:dyDescent="0.35">
      <c r="A130" s="61">
        <v>40422</v>
      </c>
      <c r="B130">
        <v>67.209999999999894</v>
      </c>
    </row>
    <row r="131" spans="1:2" x14ac:dyDescent="0.35">
      <c r="A131" s="61">
        <v>40452</v>
      </c>
      <c r="B131">
        <v>74.58</v>
      </c>
    </row>
    <row r="132" spans="1:2" x14ac:dyDescent="0.35">
      <c r="A132" s="61">
        <v>40483</v>
      </c>
      <c r="B132">
        <v>77.290000000000006</v>
      </c>
    </row>
    <row r="133" spans="1:2" x14ac:dyDescent="0.35">
      <c r="A133" s="61">
        <v>40513</v>
      </c>
      <c r="B133">
        <v>81.52</v>
      </c>
    </row>
    <row r="134" spans="1:2" x14ac:dyDescent="0.35">
      <c r="A134" s="61">
        <v>40544</v>
      </c>
      <c r="B134">
        <v>82.83</v>
      </c>
    </row>
    <row r="135" spans="1:2" x14ac:dyDescent="0.35">
      <c r="A135" s="61">
        <v>40575</v>
      </c>
      <c r="B135">
        <v>83.53</v>
      </c>
    </row>
    <row r="136" spans="1:2" x14ac:dyDescent="0.35">
      <c r="A136" s="61">
        <v>40603</v>
      </c>
      <c r="B136">
        <v>99.55</v>
      </c>
    </row>
    <row r="137" spans="1:2" x14ac:dyDescent="0.35">
      <c r="A137" s="61">
        <v>40634</v>
      </c>
      <c r="B137">
        <v>110.07</v>
      </c>
    </row>
    <row r="138" spans="1:2" x14ac:dyDescent="0.35">
      <c r="A138" s="61">
        <v>40664</v>
      </c>
      <c r="B138">
        <v>102.63</v>
      </c>
    </row>
    <row r="139" spans="1:2" x14ac:dyDescent="0.35">
      <c r="A139" s="61">
        <v>40695</v>
      </c>
      <c r="B139">
        <v>97.22</v>
      </c>
    </row>
    <row r="140" spans="1:2" x14ac:dyDescent="0.35">
      <c r="A140" s="61">
        <v>40725</v>
      </c>
      <c r="B140">
        <v>97.74</v>
      </c>
    </row>
    <row r="141" spans="1:2" x14ac:dyDescent="0.35">
      <c r="A141" s="61">
        <v>40756</v>
      </c>
      <c r="B141">
        <v>88.5</v>
      </c>
    </row>
    <row r="142" spans="1:2" x14ac:dyDescent="0.35">
      <c r="A142" s="61">
        <v>40787</v>
      </c>
      <c r="B142">
        <v>94.23</v>
      </c>
    </row>
    <row r="143" spans="1:2" x14ac:dyDescent="0.35">
      <c r="A143" s="61">
        <v>40817</v>
      </c>
      <c r="B143">
        <v>101.42</v>
      </c>
    </row>
    <row r="144" spans="1:2" x14ac:dyDescent="0.35">
      <c r="A144" s="61">
        <v>40848</v>
      </c>
      <c r="B144">
        <v>111.87</v>
      </c>
    </row>
    <row r="145" spans="1:2" x14ac:dyDescent="0.35">
      <c r="A145" s="61">
        <v>40878</v>
      </c>
      <c r="B145">
        <v>105.33</v>
      </c>
    </row>
    <row r="146" spans="1:2" x14ac:dyDescent="0.35">
      <c r="A146" s="61">
        <v>40909</v>
      </c>
      <c r="B146">
        <v>99.74</v>
      </c>
    </row>
    <row r="147" spans="1:2" x14ac:dyDescent="0.35">
      <c r="A147" s="61">
        <v>40940</v>
      </c>
      <c r="B147">
        <v>104.14</v>
      </c>
    </row>
    <row r="148" spans="1:2" x14ac:dyDescent="0.35">
      <c r="A148" s="61">
        <v>40969</v>
      </c>
      <c r="B148">
        <v>112.45</v>
      </c>
    </row>
    <row r="149" spans="1:2" x14ac:dyDescent="0.35">
      <c r="A149" s="61">
        <v>41000</v>
      </c>
      <c r="B149">
        <v>111.91</v>
      </c>
    </row>
    <row r="150" spans="1:2" x14ac:dyDescent="0.35">
      <c r="A150" s="61">
        <v>41030</v>
      </c>
      <c r="B150">
        <v>101.47</v>
      </c>
    </row>
    <row r="151" spans="1:2" x14ac:dyDescent="0.35">
      <c r="A151" s="61">
        <v>41061</v>
      </c>
      <c r="B151">
        <v>86.5</v>
      </c>
    </row>
    <row r="152" spans="1:2" x14ac:dyDescent="0.35">
      <c r="A152" s="61">
        <v>41091</v>
      </c>
      <c r="B152">
        <v>90.42</v>
      </c>
    </row>
    <row r="153" spans="1:2" x14ac:dyDescent="0.35">
      <c r="A153" s="61">
        <v>41122</v>
      </c>
      <c r="B153">
        <v>95.75</v>
      </c>
    </row>
    <row r="154" spans="1:2" x14ac:dyDescent="0.35">
      <c r="A154" s="61">
        <v>41153</v>
      </c>
      <c r="B154">
        <v>99.75</v>
      </c>
    </row>
    <row r="155" spans="1:2" x14ac:dyDescent="0.35">
      <c r="A155" s="61">
        <v>41183</v>
      </c>
      <c r="B155">
        <v>94.69</v>
      </c>
    </row>
    <row r="156" spans="1:2" x14ac:dyDescent="0.35">
      <c r="A156" s="61">
        <v>41214</v>
      </c>
      <c r="B156">
        <v>91.49</v>
      </c>
    </row>
    <row r="157" spans="1:2" x14ac:dyDescent="0.35">
      <c r="A157" s="61">
        <v>41244</v>
      </c>
      <c r="B157">
        <v>93.02</v>
      </c>
    </row>
    <row r="158" spans="1:2" x14ac:dyDescent="0.35">
      <c r="A158" s="61">
        <v>41275</v>
      </c>
      <c r="B158">
        <v>100.46</v>
      </c>
    </row>
    <row r="159" spans="1:2" x14ac:dyDescent="0.35">
      <c r="A159" s="61">
        <v>41306</v>
      </c>
      <c r="B159">
        <v>100.41</v>
      </c>
    </row>
    <row r="160" spans="1:2" x14ac:dyDescent="0.35">
      <c r="A160" s="61">
        <v>41334</v>
      </c>
      <c r="B160">
        <v>97.85</v>
      </c>
    </row>
    <row r="161" spans="1:2" x14ac:dyDescent="0.35">
      <c r="A161" s="61">
        <v>41365</v>
      </c>
      <c r="B161">
        <v>95.9</v>
      </c>
    </row>
    <row r="162" spans="1:2" x14ac:dyDescent="0.35">
      <c r="A162" s="61">
        <v>41395</v>
      </c>
      <c r="B162">
        <v>96.66</v>
      </c>
    </row>
    <row r="163" spans="1:2" x14ac:dyDescent="0.35">
      <c r="A163" s="61">
        <v>41426</v>
      </c>
      <c r="B163">
        <v>94.86</v>
      </c>
    </row>
    <row r="164" spans="1:2" x14ac:dyDescent="0.35">
      <c r="A164" s="61">
        <v>41456</v>
      </c>
      <c r="B164">
        <v>101.53</v>
      </c>
    </row>
    <row r="165" spans="1:2" x14ac:dyDescent="0.35">
      <c r="A165" s="61">
        <v>41487</v>
      </c>
      <c r="B165">
        <v>97.98</v>
      </c>
    </row>
    <row r="166" spans="1:2" x14ac:dyDescent="0.35">
      <c r="A166" s="61">
        <v>41518</v>
      </c>
      <c r="B166">
        <v>97.58</v>
      </c>
    </row>
    <row r="167" spans="1:2" x14ac:dyDescent="0.35">
      <c r="A167" s="61">
        <v>41548</v>
      </c>
      <c r="B167">
        <v>92.19</v>
      </c>
    </row>
    <row r="168" spans="1:2" x14ac:dyDescent="0.35">
      <c r="A168" s="61">
        <v>41579</v>
      </c>
      <c r="B168">
        <v>84.63</v>
      </c>
    </row>
    <row r="169" spans="1:2" x14ac:dyDescent="0.35">
      <c r="A169" s="61">
        <v>41609</v>
      </c>
      <c r="B169">
        <v>90.73</v>
      </c>
    </row>
    <row r="170" spans="1:2" x14ac:dyDescent="0.35">
      <c r="A170" s="61">
        <v>41640</v>
      </c>
      <c r="B170">
        <v>91.63</v>
      </c>
    </row>
    <row r="171" spans="1:2" x14ac:dyDescent="0.35">
      <c r="A171" s="61">
        <v>41671</v>
      </c>
      <c r="B171">
        <v>98.36</v>
      </c>
    </row>
    <row r="172" spans="1:2" x14ac:dyDescent="0.35">
      <c r="A172" s="61">
        <v>41699</v>
      </c>
      <c r="B172">
        <v>96.56</v>
      </c>
    </row>
    <row r="173" spans="1:2" x14ac:dyDescent="0.35">
      <c r="A173" s="61">
        <v>41730</v>
      </c>
      <c r="B173">
        <v>98.24</v>
      </c>
    </row>
    <row r="174" spans="1:2" x14ac:dyDescent="0.35">
      <c r="A174" s="61">
        <v>41760</v>
      </c>
      <c r="B174">
        <v>95.97</v>
      </c>
    </row>
    <row r="175" spans="1:2" x14ac:dyDescent="0.35">
      <c r="A175" s="61">
        <v>41791</v>
      </c>
      <c r="B175">
        <v>99.23</v>
      </c>
    </row>
    <row r="176" spans="1:2" x14ac:dyDescent="0.35">
      <c r="A176" s="61">
        <v>41821</v>
      </c>
      <c r="B176">
        <v>91.08</v>
      </c>
    </row>
    <row r="177" spans="1:2" x14ac:dyDescent="0.35">
      <c r="A177" s="61">
        <v>41852</v>
      </c>
      <c r="B177">
        <v>86.27</v>
      </c>
    </row>
    <row r="178" spans="1:2" x14ac:dyDescent="0.35">
      <c r="A178" s="61">
        <v>41883</v>
      </c>
      <c r="B178">
        <v>83.5</v>
      </c>
    </row>
    <row r="179" spans="1:2" x14ac:dyDescent="0.35">
      <c r="A179" s="61">
        <v>41913</v>
      </c>
      <c r="B179">
        <v>73.25</v>
      </c>
    </row>
    <row r="180" spans="1:2" x14ac:dyDescent="0.35">
      <c r="A180" s="61">
        <v>41944</v>
      </c>
      <c r="B180">
        <v>61.45</v>
      </c>
    </row>
    <row r="181" spans="1:2" x14ac:dyDescent="0.35">
      <c r="A181" s="61">
        <v>41974</v>
      </c>
      <c r="B181">
        <v>45.05</v>
      </c>
    </row>
    <row r="182" spans="1:2" x14ac:dyDescent="0.35">
      <c r="A182" s="61">
        <v>42005</v>
      </c>
      <c r="B182" s="63">
        <v>41.397696831954448</v>
      </c>
    </row>
    <row r="183" spans="1:2" x14ac:dyDescent="0.35">
      <c r="A183" s="61">
        <v>42036</v>
      </c>
      <c r="B183" s="63">
        <v>41.044964831422263</v>
      </c>
    </row>
    <row r="184" spans="1:2" x14ac:dyDescent="0.35">
      <c r="A184" s="61">
        <v>42064</v>
      </c>
      <c r="B184" s="63">
        <v>42.76252331145546</v>
      </c>
    </row>
    <row r="185" spans="1:2" x14ac:dyDescent="0.35">
      <c r="A185" s="61">
        <v>42095</v>
      </c>
      <c r="B185" s="63">
        <v>54.836518821257506</v>
      </c>
    </row>
    <row r="186" spans="1:2" x14ac:dyDescent="0.35">
      <c r="A186" s="61">
        <v>42125</v>
      </c>
      <c r="B186" s="63">
        <v>56.539609398965574</v>
      </c>
    </row>
    <row r="187" spans="1:2" x14ac:dyDescent="0.35">
      <c r="A187" s="61">
        <v>42156</v>
      </c>
      <c r="B187" s="63">
        <v>53.181412003682127</v>
      </c>
    </row>
    <row r="188" spans="1:2" x14ac:dyDescent="0.35">
      <c r="A188" s="61">
        <v>42186</v>
      </c>
      <c r="B188" s="63">
        <v>41.481663513036914</v>
      </c>
    </row>
    <row r="189" spans="1:2" x14ac:dyDescent="0.35">
      <c r="A189" s="61">
        <v>42217</v>
      </c>
      <c r="B189" s="63">
        <v>36.756806029962362</v>
      </c>
    </row>
    <row r="190" spans="1:2" x14ac:dyDescent="0.35">
      <c r="A190" s="61">
        <v>42248</v>
      </c>
      <c r="B190" s="64">
        <v>40.11813060477818</v>
      </c>
    </row>
    <row r="191" spans="1:2" x14ac:dyDescent="0.35">
      <c r="A191" s="61">
        <v>42278</v>
      </c>
      <c r="B191" s="64">
        <v>37.853730830576815</v>
      </c>
    </row>
    <row r="192" spans="1:2" x14ac:dyDescent="0.35">
      <c r="A192" s="61">
        <v>42309</v>
      </c>
      <c r="B192" s="64">
        <v>31.14172108087433</v>
      </c>
    </row>
    <row r="193" spans="1:2" x14ac:dyDescent="0.35">
      <c r="A193" s="61">
        <v>42339</v>
      </c>
      <c r="B193" s="64">
        <v>27.068990372594488</v>
      </c>
    </row>
    <row r="194" spans="1:2" x14ac:dyDescent="0.35">
      <c r="A194" s="61">
        <v>42370</v>
      </c>
      <c r="B194" s="64">
        <v>21.744035328802312</v>
      </c>
    </row>
    <row r="195" spans="1:2" x14ac:dyDescent="0.35">
      <c r="A195" s="61">
        <v>42401</v>
      </c>
      <c r="B195" s="64">
        <v>22.477898404272985</v>
      </c>
    </row>
    <row r="196" spans="1:2" x14ac:dyDescent="0.35">
      <c r="A196" s="61">
        <v>42430</v>
      </c>
      <c r="B196" s="64">
        <v>28.444994609403285</v>
      </c>
    </row>
    <row r="197" spans="1:2" x14ac:dyDescent="0.35">
      <c r="A197" s="61">
        <v>42461</v>
      </c>
      <c r="B197" s="64">
        <v>34.297850373444319</v>
      </c>
    </row>
    <row r="198" spans="1:2" x14ac:dyDescent="0.35">
      <c r="A198" s="61">
        <v>42491</v>
      </c>
      <c r="B198" s="64">
        <v>37.594736417093671</v>
      </c>
    </row>
    <row r="199" spans="1:2" x14ac:dyDescent="0.35">
      <c r="A199" s="61">
        <v>42522</v>
      </c>
      <c r="B199" s="64">
        <v>39.922784328972028</v>
      </c>
    </row>
    <row r="200" spans="1:2" ht="15.5" x14ac:dyDescent="0.35">
      <c r="A200" s="61">
        <v>42552</v>
      </c>
      <c r="B200" s="65">
        <v>35.20784312487536</v>
      </c>
    </row>
    <row r="201" spans="1:2" ht="15.5" x14ac:dyDescent="0.35">
      <c r="A201" s="61">
        <v>42583</v>
      </c>
      <c r="B201" s="65">
        <v>36.866200838742316</v>
      </c>
    </row>
    <row r="202" spans="1:2" ht="15.5" x14ac:dyDescent="0.35">
      <c r="A202" s="61">
        <v>42614</v>
      </c>
      <c r="B202" s="65">
        <v>38.807473086457769</v>
      </c>
    </row>
    <row r="203" spans="1:2" ht="15.5" x14ac:dyDescent="0.35">
      <c r="A203" s="61">
        <v>42644</v>
      </c>
      <c r="B203" s="65">
        <v>40.92582132786977</v>
      </c>
    </row>
    <row r="204" spans="1:2" ht="15.5" x14ac:dyDescent="0.35">
      <c r="A204" s="61">
        <v>42675</v>
      </c>
      <c r="B204" s="65">
        <v>38.761003721525825</v>
      </c>
    </row>
    <row r="205" spans="1:2" ht="15.5" x14ac:dyDescent="0.35">
      <c r="A205" s="61">
        <v>42705</v>
      </c>
      <c r="B205" s="65">
        <v>44.231212734998557</v>
      </c>
    </row>
    <row r="206" spans="1:2" ht="15.5" x14ac:dyDescent="0.35">
      <c r="A206" s="61">
        <v>42736</v>
      </c>
      <c r="B206" s="65">
        <v>44.764515040777376</v>
      </c>
    </row>
    <row r="207" spans="1:2" ht="15.5" x14ac:dyDescent="0.35">
      <c r="A207" s="61">
        <v>42767</v>
      </c>
      <c r="B207" s="65">
        <v>44.331499291653969</v>
      </c>
    </row>
    <row r="208" spans="1:2" ht="15.5" x14ac:dyDescent="0.35">
      <c r="A208" s="61">
        <v>42795</v>
      </c>
      <c r="B208" s="65">
        <v>42.71000589421751</v>
      </c>
    </row>
    <row r="209" spans="1:2" ht="15.5" x14ac:dyDescent="0.35">
      <c r="A209" s="61">
        <v>42826</v>
      </c>
      <c r="B209" s="65">
        <v>44.692400081830343</v>
      </c>
    </row>
    <row r="210" spans="1:2" ht="15.5" x14ac:dyDescent="0.35">
      <c r="A210" s="61">
        <v>42856</v>
      </c>
      <c r="B210" s="65">
        <v>41.434196449587908</v>
      </c>
    </row>
    <row r="211" spans="1:2" ht="15.5" x14ac:dyDescent="0.35">
      <c r="A211" s="61">
        <v>42887</v>
      </c>
      <c r="B211" s="65">
        <v>40.22802295407665</v>
      </c>
    </row>
    <row r="212" spans="1:2" ht="15.5" x14ac:dyDescent="0.35">
      <c r="A212" s="61">
        <v>42917</v>
      </c>
      <c r="B212" s="65">
        <v>40.753766422289893</v>
      </c>
    </row>
    <row r="213" spans="1:2" ht="15.5" x14ac:dyDescent="0.35">
      <c r="A213" s="61">
        <v>42948</v>
      </c>
      <c r="B213" s="65">
        <v>43.030824038187625</v>
      </c>
    </row>
    <row r="214" spans="1:2" ht="15.5" x14ac:dyDescent="0.35">
      <c r="A214" s="61">
        <v>42979</v>
      </c>
      <c r="B214" s="65">
        <v>46.731005266324871</v>
      </c>
    </row>
    <row r="215" spans="1:2" ht="15.5" x14ac:dyDescent="0.35">
      <c r="A215" s="61">
        <v>43009</v>
      </c>
      <c r="B215" s="65">
        <v>50.435120266619002</v>
      </c>
    </row>
    <row r="216" spans="1:2" ht="15.5" x14ac:dyDescent="0.35">
      <c r="A216" s="61">
        <v>43040</v>
      </c>
      <c r="B216" s="65">
        <v>54.612333870207692</v>
      </c>
    </row>
    <row r="217" spans="1:2" ht="15.5" x14ac:dyDescent="0.35">
      <c r="A217" s="61">
        <v>43070</v>
      </c>
      <c r="B217" s="65">
        <v>56.43601152886658</v>
      </c>
    </row>
    <row r="218" spans="1:2" ht="15.5" x14ac:dyDescent="0.35">
      <c r="A218" s="61">
        <v>43101</v>
      </c>
      <c r="B218" s="65">
        <v>60.347833221001288</v>
      </c>
    </row>
    <row r="219" spans="1:2" ht="15.5" x14ac:dyDescent="0.35">
      <c r="A219" s="61">
        <v>43132</v>
      </c>
      <c r="B219" s="65">
        <v>57.573325102216678</v>
      </c>
    </row>
    <row r="220" spans="1:2" ht="15.5" x14ac:dyDescent="0.35">
      <c r="A220" s="61">
        <v>43160</v>
      </c>
      <c r="B220" s="65">
        <v>57.013287402906421</v>
      </c>
    </row>
    <row r="221" spans="1:2" ht="15.5" x14ac:dyDescent="0.35">
      <c r="A221" s="61">
        <v>43191</v>
      </c>
      <c r="B221" s="65">
        <v>60.320653792205846</v>
      </c>
    </row>
    <row r="222" spans="1:2" ht="15.5" x14ac:dyDescent="0.35">
      <c r="A222" s="61">
        <v>43221</v>
      </c>
      <c r="B222" s="65">
        <v>63.520949807432352</v>
      </c>
    </row>
    <row r="223" spans="1:2" ht="15.5" x14ac:dyDescent="0.35">
      <c r="A223" s="61">
        <v>43252</v>
      </c>
      <c r="B223" s="65">
        <v>61.901587207404226</v>
      </c>
    </row>
    <row r="224" spans="1:2" ht="15.5" x14ac:dyDescent="0.35">
      <c r="A224" s="61">
        <v>43282</v>
      </c>
      <c r="B224" s="65">
        <v>67.14835259204537</v>
      </c>
    </row>
    <row r="225" spans="1:2" ht="15.5" x14ac:dyDescent="0.35">
      <c r="A225" s="61">
        <v>43313</v>
      </c>
      <c r="B225" s="65">
        <v>61.164053250843821</v>
      </c>
    </row>
    <row r="226" spans="1:2" ht="15.5" x14ac:dyDescent="0.35">
      <c r="A226" s="61">
        <v>43344</v>
      </c>
      <c r="B226" s="65">
        <v>66.291104474822902</v>
      </c>
    </row>
    <row r="227" spans="1:2" ht="15.5" x14ac:dyDescent="0.35">
      <c r="A227" s="61">
        <v>43374</v>
      </c>
      <c r="B227" s="65">
        <v>68.244949410646385</v>
      </c>
    </row>
    <row r="228" spans="1:2" ht="15.5" x14ac:dyDescent="0.35">
      <c r="A228" s="61">
        <v>43405</v>
      </c>
      <c r="B228" s="65">
        <v>55.201314893905192</v>
      </c>
    </row>
    <row r="229" spans="1:2" ht="15.5" x14ac:dyDescent="0.35">
      <c r="A229" s="61">
        <v>43435</v>
      </c>
      <c r="B229" s="65">
        <v>46.521937045275628</v>
      </c>
    </row>
    <row r="230" spans="1:2" ht="15.5" x14ac:dyDescent="0.35">
      <c r="A230" s="61">
        <v>43466</v>
      </c>
      <c r="B230" s="66">
        <v>48.820827804295021</v>
      </c>
    </row>
    <row r="231" spans="1:2" ht="15.5" x14ac:dyDescent="0.35">
      <c r="A231" s="61">
        <v>43497</v>
      </c>
      <c r="B231" s="66">
        <v>53.658263958835192</v>
      </c>
    </row>
    <row r="232" spans="1:2" ht="15.5" x14ac:dyDescent="0.35">
      <c r="A232" s="61">
        <v>43525</v>
      </c>
      <c r="B232" s="66">
        <v>58.299777527294623</v>
      </c>
    </row>
    <row r="233" spans="1:2" ht="15.5" x14ac:dyDescent="0.35">
      <c r="A233" s="61">
        <v>43556</v>
      </c>
      <c r="B233" s="66">
        <v>64.742709347760893</v>
      </c>
    </row>
    <row r="234" spans="1:2" ht="15.5" x14ac:dyDescent="0.35">
      <c r="A234" s="61">
        <v>43586</v>
      </c>
      <c r="B234" s="66">
        <v>60.431567196695944</v>
      </c>
    </row>
    <row r="235" spans="1:2" ht="15.5" x14ac:dyDescent="0.35">
      <c r="A235" s="61">
        <v>43617</v>
      </c>
      <c r="B235" s="66">
        <v>55.057900320787695</v>
      </c>
    </row>
    <row r="236" spans="1:2" ht="15.5" x14ac:dyDescent="0.35">
      <c r="A236" s="61">
        <v>43647</v>
      </c>
      <c r="B236" s="66">
        <v>57.230209201325572</v>
      </c>
    </row>
    <row r="237" spans="1:2" ht="15.5" x14ac:dyDescent="0.35">
      <c r="A237" s="61">
        <v>43678</v>
      </c>
      <c r="B237" s="66">
        <v>54.020126282427704</v>
      </c>
    </row>
    <row r="238" spans="1:2" ht="15.5" x14ac:dyDescent="0.35">
      <c r="A238" s="61">
        <v>43709</v>
      </c>
      <c r="B238" s="66">
        <v>53.739432916595511</v>
      </c>
    </row>
    <row r="239" spans="1:2" ht="15.5" x14ac:dyDescent="0.35">
      <c r="A239" s="61">
        <v>43739</v>
      </c>
      <c r="B239" s="66">
        <v>50.241077242878227</v>
      </c>
    </row>
    <row r="240" spans="1:2" ht="15.5" x14ac:dyDescent="0.35">
      <c r="A240" s="61">
        <v>43770</v>
      </c>
      <c r="B240" s="66">
        <v>52.024694901736439</v>
      </c>
    </row>
    <row r="241" spans="1:2" ht="15.5" x14ac:dyDescent="0.35">
      <c r="A241" s="61">
        <v>43800</v>
      </c>
      <c r="B241" s="66">
        <v>54.026274418427271</v>
      </c>
    </row>
    <row r="242" spans="1:2" x14ac:dyDescent="0.35">
      <c r="A242" s="61"/>
    </row>
    <row r="243" spans="1:2" x14ac:dyDescent="0.35">
      <c r="A243" s="61"/>
    </row>
    <row r="244" spans="1:2" x14ac:dyDescent="0.35">
      <c r="A244" s="61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4CCB-0C41-4C4D-8A7C-C2D343184F52}">
  <dimension ref="A1:C215"/>
  <sheetViews>
    <sheetView workbookViewId="0">
      <selection activeCell="D2" sqref="D2"/>
    </sheetView>
  </sheetViews>
  <sheetFormatPr defaultRowHeight="14.5" x14ac:dyDescent="0.35"/>
  <cols>
    <col min="2" max="2" width="29" bestFit="1" customWidth="1"/>
    <col min="3" max="3" width="33.90625" bestFit="1" customWidth="1"/>
  </cols>
  <sheetData>
    <row r="1" spans="1:3" x14ac:dyDescent="0.35">
      <c r="B1" t="s">
        <v>685</v>
      </c>
      <c r="C1" t="s">
        <v>686</v>
      </c>
    </row>
    <row r="2" spans="1:3" ht="15.5" x14ac:dyDescent="0.35">
      <c r="A2" s="61">
        <v>39083</v>
      </c>
      <c r="B2" s="263">
        <v>517.08944064516129</v>
      </c>
      <c r="C2" s="264">
        <f>B2*365/1000</f>
        <v>188.73764583548387</v>
      </c>
    </row>
    <row r="3" spans="1:3" ht="15.5" x14ac:dyDescent="0.35">
      <c r="A3" s="61">
        <v>39114</v>
      </c>
      <c r="B3" s="263">
        <v>507.22912178571426</v>
      </c>
      <c r="C3" s="264">
        <f t="shared" ref="C3:C66" si="0">B3*365/1000</f>
        <v>185.1386294517857</v>
      </c>
    </row>
    <row r="4" spans="1:3" ht="15.5" x14ac:dyDescent="0.35">
      <c r="A4" s="61">
        <v>39142</v>
      </c>
      <c r="B4" s="263">
        <v>482.07936193548386</v>
      </c>
      <c r="C4" s="264">
        <f t="shared" si="0"/>
        <v>175.95896710645161</v>
      </c>
    </row>
    <row r="5" spans="1:3" ht="15.5" x14ac:dyDescent="0.35">
      <c r="A5" s="61">
        <v>39173</v>
      </c>
      <c r="B5" s="263">
        <v>502.05687199999994</v>
      </c>
      <c r="C5" s="264">
        <f t="shared" si="0"/>
        <v>183.25075827999999</v>
      </c>
    </row>
    <row r="6" spans="1:3" ht="15.5" x14ac:dyDescent="0.35">
      <c r="A6" s="61">
        <v>39203</v>
      </c>
      <c r="B6" s="263">
        <v>511.69010548387098</v>
      </c>
      <c r="C6" s="264">
        <f t="shared" si="0"/>
        <v>186.7668885016129</v>
      </c>
    </row>
    <row r="7" spans="1:3" ht="15.5" x14ac:dyDescent="0.35">
      <c r="A7" s="61">
        <v>39234</v>
      </c>
      <c r="B7" s="263">
        <v>514.63350033333325</v>
      </c>
      <c r="C7" s="264">
        <f t="shared" si="0"/>
        <v>187.84122762166663</v>
      </c>
    </row>
    <row r="8" spans="1:3" ht="15.5" x14ac:dyDescent="0.35">
      <c r="A8" s="61">
        <v>39264</v>
      </c>
      <c r="B8" s="263">
        <v>509.6626077419354</v>
      </c>
      <c r="C8" s="264">
        <f t="shared" si="0"/>
        <v>186.02685182580643</v>
      </c>
    </row>
    <row r="9" spans="1:3" ht="15.5" x14ac:dyDescent="0.35">
      <c r="A9" s="61">
        <v>39295</v>
      </c>
      <c r="B9" s="263">
        <v>508.26648999999998</v>
      </c>
      <c r="C9" s="264">
        <f t="shared" si="0"/>
        <v>185.51726884999999</v>
      </c>
    </row>
    <row r="10" spans="1:3" ht="15.5" x14ac:dyDescent="0.35">
      <c r="A10" s="61">
        <v>39326</v>
      </c>
      <c r="B10" s="263">
        <v>516.86130633333335</v>
      </c>
      <c r="C10" s="264">
        <f t="shared" si="0"/>
        <v>188.65437681166668</v>
      </c>
    </row>
    <row r="11" spans="1:3" ht="15.5" x14ac:dyDescent="0.35">
      <c r="A11" s="61">
        <v>39356</v>
      </c>
      <c r="B11" s="263">
        <v>513.58602870967741</v>
      </c>
      <c r="C11" s="264">
        <f t="shared" si="0"/>
        <v>187.45890047903225</v>
      </c>
    </row>
    <row r="12" spans="1:3" ht="15.5" x14ac:dyDescent="0.35">
      <c r="A12" s="61">
        <v>39387</v>
      </c>
      <c r="B12" s="263">
        <v>518.04188366666665</v>
      </c>
      <c r="C12" s="264">
        <f t="shared" si="0"/>
        <v>189.08528753833332</v>
      </c>
    </row>
    <row r="13" spans="1:3" ht="15.5" x14ac:dyDescent="0.35">
      <c r="A13" s="61">
        <v>39417</v>
      </c>
      <c r="B13" s="263">
        <v>531.7197870967741</v>
      </c>
      <c r="C13" s="264">
        <f t="shared" si="0"/>
        <v>194.07772229032253</v>
      </c>
    </row>
    <row r="14" spans="1:3" ht="15.5" x14ac:dyDescent="0.35">
      <c r="A14" s="61">
        <v>39448</v>
      </c>
      <c r="B14" s="263">
        <v>520.27906225806453</v>
      </c>
      <c r="C14" s="264">
        <f t="shared" si="0"/>
        <v>189.90185772419355</v>
      </c>
    </row>
    <row r="15" spans="1:3" ht="15.5" x14ac:dyDescent="0.35">
      <c r="A15" s="61">
        <v>39479</v>
      </c>
      <c r="B15" s="263">
        <v>518.65754482758621</v>
      </c>
      <c r="C15" s="264">
        <f t="shared" si="0"/>
        <v>189.31000386206895</v>
      </c>
    </row>
    <row r="16" spans="1:3" ht="15.5" x14ac:dyDescent="0.35">
      <c r="A16" s="61">
        <v>39508</v>
      </c>
      <c r="B16" s="263">
        <v>507.95105516129036</v>
      </c>
      <c r="C16" s="264">
        <f t="shared" si="0"/>
        <v>185.40213513387098</v>
      </c>
    </row>
    <row r="17" spans="1:3" ht="15.5" x14ac:dyDescent="0.35">
      <c r="A17" s="61">
        <v>39539</v>
      </c>
      <c r="B17" s="263">
        <v>510.27722199999999</v>
      </c>
      <c r="C17" s="264">
        <f t="shared" si="0"/>
        <v>186.25118603000001</v>
      </c>
    </row>
    <row r="18" spans="1:3" ht="15.5" x14ac:dyDescent="0.35">
      <c r="A18" s="61">
        <v>39569</v>
      </c>
      <c r="B18" s="263">
        <v>498.93854064516131</v>
      </c>
      <c r="C18" s="264">
        <f t="shared" si="0"/>
        <v>182.11256733548387</v>
      </c>
    </row>
    <row r="19" spans="1:3" ht="15.5" x14ac:dyDescent="0.35">
      <c r="A19" s="61">
        <v>39600</v>
      </c>
      <c r="B19" s="263">
        <v>494.81262800000002</v>
      </c>
      <c r="C19" s="264">
        <f t="shared" si="0"/>
        <v>180.60660922000002</v>
      </c>
    </row>
    <row r="20" spans="1:3" ht="15.5" x14ac:dyDescent="0.35">
      <c r="A20" s="61">
        <v>39630</v>
      </c>
      <c r="B20" s="263">
        <v>498.32367870967749</v>
      </c>
      <c r="C20" s="264">
        <f t="shared" si="0"/>
        <v>181.8881427290323</v>
      </c>
    </row>
    <row r="21" spans="1:3" ht="15.5" x14ac:dyDescent="0.35">
      <c r="A21" s="61">
        <v>39661</v>
      </c>
      <c r="B21" s="263">
        <v>503.20473493548383</v>
      </c>
      <c r="C21" s="264">
        <f t="shared" si="0"/>
        <v>183.6697282514516</v>
      </c>
    </row>
    <row r="22" spans="1:3" ht="15.5" x14ac:dyDescent="0.35">
      <c r="A22" s="61">
        <v>39692</v>
      </c>
      <c r="B22" s="263">
        <v>498.49691366666667</v>
      </c>
      <c r="C22" s="264">
        <f t="shared" si="0"/>
        <v>181.95137348833333</v>
      </c>
    </row>
    <row r="23" spans="1:3" ht="15.5" x14ac:dyDescent="0.35">
      <c r="A23" s="61">
        <v>39722</v>
      </c>
      <c r="B23" s="263">
        <v>496.86540032258057</v>
      </c>
      <c r="C23" s="264">
        <f t="shared" si="0"/>
        <v>181.35587111774191</v>
      </c>
    </row>
    <row r="24" spans="1:3" ht="15.5" x14ac:dyDescent="0.35">
      <c r="A24" s="61">
        <v>39753</v>
      </c>
      <c r="B24" s="263">
        <v>501.66220899999996</v>
      </c>
      <c r="C24" s="264">
        <f t="shared" si="0"/>
        <v>183.106706285</v>
      </c>
    </row>
    <row r="25" spans="1:3" ht="15.5" x14ac:dyDescent="0.35">
      <c r="A25" s="61">
        <v>39783</v>
      </c>
      <c r="B25" s="263">
        <v>507.64213719354831</v>
      </c>
      <c r="C25" s="264">
        <f t="shared" si="0"/>
        <v>185.28938007564514</v>
      </c>
    </row>
    <row r="26" spans="1:3" ht="15.5" x14ac:dyDescent="0.35">
      <c r="A26" s="61">
        <v>39814</v>
      </c>
      <c r="B26" s="263">
        <v>503.51183064516124</v>
      </c>
      <c r="C26" s="264">
        <f t="shared" si="0"/>
        <v>183.78181818548387</v>
      </c>
    </row>
    <row r="27" spans="1:3" ht="15.5" x14ac:dyDescent="0.35">
      <c r="A27" s="61">
        <v>39845</v>
      </c>
      <c r="B27" s="263">
        <v>498.17514</v>
      </c>
      <c r="C27" s="264">
        <f t="shared" si="0"/>
        <v>181.83392610000001</v>
      </c>
    </row>
    <row r="28" spans="1:3" ht="15.5" x14ac:dyDescent="0.35">
      <c r="A28" s="61">
        <v>39873</v>
      </c>
      <c r="B28" s="263">
        <v>497.23017225806456</v>
      </c>
      <c r="C28" s="264">
        <f t="shared" si="0"/>
        <v>181.48901287419358</v>
      </c>
    </row>
    <row r="29" spans="1:3" ht="15.5" x14ac:dyDescent="0.35">
      <c r="A29" s="61">
        <v>39904</v>
      </c>
      <c r="B29" s="263">
        <v>495.17793760000006</v>
      </c>
      <c r="C29" s="264">
        <f t="shared" si="0"/>
        <v>180.73994722400002</v>
      </c>
    </row>
    <row r="30" spans="1:3" ht="15.5" x14ac:dyDescent="0.35">
      <c r="A30" s="61">
        <v>39934</v>
      </c>
      <c r="B30" s="263">
        <v>491.51208354838707</v>
      </c>
      <c r="C30" s="264">
        <f t="shared" si="0"/>
        <v>179.40191049516127</v>
      </c>
    </row>
    <row r="31" spans="1:3" ht="15.5" x14ac:dyDescent="0.35">
      <c r="A31" s="61">
        <v>39965</v>
      </c>
      <c r="B31" s="263">
        <v>491.48461099999997</v>
      </c>
      <c r="C31" s="264">
        <f t="shared" si="0"/>
        <v>179.39188301499999</v>
      </c>
    </row>
    <row r="32" spans="1:3" ht="15.5" x14ac:dyDescent="0.35">
      <c r="A32" s="61">
        <v>39995</v>
      </c>
      <c r="B32" s="263">
        <v>483.18243935483866</v>
      </c>
      <c r="C32" s="264">
        <f t="shared" si="0"/>
        <v>176.3615903645161</v>
      </c>
    </row>
    <row r="33" spans="1:3" ht="15.5" x14ac:dyDescent="0.35">
      <c r="A33" s="61">
        <v>40026</v>
      </c>
      <c r="B33" s="263">
        <v>476.64106419354835</v>
      </c>
      <c r="C33" s="264">
        <f t="shared" si="0"/>
        <v>173.97398843064514</v>
      </c>
    </row>
    <row r="34" spans="1:3" ht="15.5" x14ac:dyDescent="0.35">
      <c r="A34" s="61">
        <v>40057</v>
      </c>
      <c r="B34" s="263">
        <v>475.21339033333328</v>
      </c>
      <c r="C34" s="264">
        <f t="shared" si="0"/>
        <v>173.45288747166666</v>
      </c>
    </row>
    <row r="35" spans="1:3" ht="15.5" x14ac:dyDescent="0.35">
      <c r="A35" s="61">
        <v>40087</v>
      </c>
      <c r="B35" s="263">
        <v>474.77796612903217</v>
      </c>
      <c r="C35" s="264">
        <f t="shared" si="0"/>
        <v>173.29395763709672</v>
      </c>
    </row>
    <row r="36" spans="1:3" ht="15.5" x14ac:dyDescent="0.35">
      <c r="A36" s="61">
        <v>40118</v>
      </c>
      <c r="B36" s="263">
        <v>476.94440700000001</v>
      </c>
      <c r="C36" s="264">
        <f t="shared" si="0"/>
        <v>174.08470855499999</v>
      </c>
    </row>
    <row r="37" spans="1:3" ht="15.5" x14ac:dyDescent="0.35">
      <c r="A37" s="61">
        <v>40148</v>
      </c>
      <c r="B37" s="263">
        <v>469.94736317204297</v>
      </c>
      <c r="C37" s="264">
        <f t="shared" si="0"/>
        <v>171.53078755779566</v>
      </c>
    </row>
    <row r="38" spans="1:3" ht="15.5" x14ac:dyDescent="0.35">
      <c r="A38" s="61">
        <v>40179</v>
      </c>
      <c r="B38" s="263">
        <v>463.65527645161285</v>
      </c>
      <c r="C38" s="264">
        <f t="shared" si="0"/>
        <v>169.23417590483868</v>
      </c>
    </row>
    <row r="39" spans="1:3" ht="15.5" x14ac:dyDescent="0.35">
      <c r="A39" s="61">
        <v>40210</v>
      </c>
      <c r="B39" s="263">
        <v>470.08884821428575</v>
      </c>
      <c r="C39" s="264">
        <f t="shared" si="0"/>
        <v>171.5824295982143</v>
      </c>
    </row>
    <row r="40" spans="1:3" ht="15.5" x14ac:dyDescent="0.35">
      <c r="A40" s="61">
        <v>40238</v>
      </c>
      <c r="B40" s="263">
        <v>478.29130064516136</v>
      </c>
      <c r="C40" s="264">
        <f t="shared" si="0"/>
        <v>174.57632473548389</v>
      </c>
    </row>
    <row r="41" spans="1:3" ht="15.5" x14ac:dyDescent="0.35">
      <c r="A41" s="61">
        <v>40269</v>
      </c>
      <c r="B41" s="263">
        <v>479.78205700000001</v>
      </c>
      <c r="C41" s="264">
        <f t="shared" si="0"/>
        <v>175.12045080499999</v>
      </c>
    </row>
    <row r="42" spans="1:3" ht="15.5" x14ac:dyDescent="0.35">
      <c r="A42" s="61">
        <v>40299</v>
      </c>
      <c r="B42" s="263">
        <v>478.4098338709677</v>
      </c>
      <c r="C42" s="264">
        <f t="shared" si="0"/>
        <v>174.61958936290321</v>
      </c>
    </row>
    <row r="43" spans="1:3" ht="15.5" x14ac:dyDescent="0.35">
      <c r="A43" s="61">
        <v>40330</v>
      </c>
      <c r="B43" s="263">
        <v>490.66332166666666</v>
      </c>
      <c r="C43" s="264">
        <f t="shared" si="0"/>
        <v>179.09211240833335</v>
      </c>
    </row>
    <row r="44" spans="1:3" ht="15.5" x14ac:dyDescent="0.35">
      <c r="A44" s="61">
        <v>40360</v>
      </c>
      <c r="B44" s="263">
        <v>491.75899645161292</v>
      </c>
      <c r="C44" s="264">
        <f t="shared" si="0"/>
        <v>179.49203370483872</v>
      </c>
    </row>
    <row r="45" spans="1:3" ht="15.5" x14ac:dyDescent="0.35">
      <c r="A45" s="61">
        <v>40391</v>
      </c>
      <c r="B45" s="263">
        <v>484.92247258064515</v>
      </c>
      <c r="C45" s="264">
        <f t="shared" si="0"/>
        <v>176.99670249193548</v>
      </c>
    </row>
    <row r="46" spans="1:3" ht="15.5" x14ac:dyDescent="0.35">
      <c r="A46" s="61">
        <v>40422</v>
      </c>
      <c r="B46" s="263">
        <v>489.94882033333334</v>
      </c>
      <c r="C46" s="264">
        <f t="shared" si="0"/>
        <v>178.83131942166668</v>
      </c>
    </row>
    <row r="47" spans="1:3" ht="15.5" x14ac:dyDescent="0.35">
      <c r="A47" s="61">
        <v>40452</v>
      </c>
      <c r="B47" s="263">
        <v>497.47846806451611</v>
      </c>
      <c r="C47" s="264">
        <f t="shared" si="0"/>
        <v>181.57964084354836</v>
      </c>
    </row>
    <row r="48" spans="1:3" ht="15.5" x14ac:dyDescent="0.35">
      <c r="A48" s="61">
        <v>40483</v>
      </c>
      <c r="B48" s="263">
        <v>507.93676196666667</v>
      </c>
      <c r="C48" s="264">
        <f t="shared" si="0"/>
        <v>185.39691811783334</v>
      </c>
    </row>
    <row r="49" spans="1:3" ht="15.5" x14ac:dyDescent="0.35">
      <c r="A49" s="61">
        <v>40513</v>
      </c>
      <c r="B49" s="263">
        <v>499.33339783870963</v>
      </c>
      <c r="C49" s="264">
        <f t="shared" si="0"/>
        <v>182.25669021112901</v>
      </c>
    </row>
    <row r="50" spans="1:3" ht="15.5" x14ac:dyDescent="0.35">
      <c r="A50" s="61">
        <v>40544</v>
      </c>
      <c r="B50" s="263">
        <v>500.84818258064524</v>
      </c>
      <c r="C50" s="264">
        <f t="shared" si="0"/>
        <v>182.80958664193551</v>
      </c>
    </row>
    <row r="51" spans="1:3" ht="15.5" x14ac:dyDescent="0.35">
      <c r="A51" s="61">
        <v>40575</v>
      </c>
      <c r="B51" s="263">
        <v>509.05247357142849</v>
      </c>
      <c r="C51" s="264">
        <f t="shared" si="0"/>
        <v>185.8041528535714</v>
      </c>
    </row>
    <row r="52" spans="1:3" ht="15.5" x14ac:dyDescent="0.35">
      <c r="A52" s="61">
        <v>40603</v>
      </c>
      <c r="B52" s="263">
        <v>501.61257129032265</v>
      </c>
      <c r="C52" s="264">
        <f t="shared" si="0"/>
        <v>183.08858852096779</v>
      </c>
    </row>
    <row r="53" spans="1:3" ht="15.5" x14ac:dyDescent="0.35">
      <c r="A53" s="61">
        <v>40634</v>
      </c>
      <c r="B53" s="263">
        <v>503.80339100000009</v>
      </c>
      <c r="C53" s="264">
        <f t="shared" si="0"/>
        <v>183.88823771500003</v>
      </c>
    </row>
    <row r="54" spans="1:3" ht="15.5" x14ac:dyDescent="0.35">
      <c r="A54" s="61">
        <v>40664</v>
      </c>
      <c r="B54" s="263">
        <v>497.53341645161299</v>
      </c>
      <c r="C54" s="264">
        <f t="shared" si="0"/>
        <v>181.59969700483873</v>
      </c>
    </row>
    <row r="55" spans="1:3" ht="15.5" x14ac:dyDescent="0.35">
      <c r="A55" s="61">
        <v>40695</v>
      </c>
      <c r="B55" s="263">
        <v>494.94845066666664</v>
      </c>
      <c r="C55" s="264">
        <f t="shared" si="0"/>
        <v>180.65618449333334</v>
      </c>
    </row>
    <row r="56" spans="1:3" ht="15.5" x14ac:dyDescent="0.35">
      <c r="A56" s="61">
        <v>40725</v>
      </c>
      <c r="B56" s="263">
        <v>491.60669677419355</v>
      </c>
      <c r="C56" s="264">
        <f t="shared" si="0"/>
        <v>179.43644432258066</v>
      </c>
    </row>
    <row r="57" spans="1:3" ht="15.5" x14ac:dyDescent="0.35">
      <c r="A57" s="61">
        <v>40756</v>
      </c>
      <c r="B57" s="263">
        <v>495.59816935483872</v>
      </c>
      <c r="C57" s="264">
        <f t="shared" si="0"/>
        <v>180.89333181451613</v>
      </c>
    </row>
    <row r="58" spans="1:3" ht="15.5" x14ac:dyDescent="0.35">
      <c r="A58" s="61">
        <v>40787</v>
      </c>
      <c r="B58" s="263">
        <v>494.93122800000003</v>
      </c>
      <c r="C58" s="264">
        <f t="shared" si="0"/>
        <v>180.64989822000001</v>
      </c>
    </row>
    <row r="59" spans="1:3" ht="15.5" x14ac:dyDescent="0.35">
      <c r="A59" s="61">
        <v>40817</v>
      </c>
      <c r="B59" s="263">
        <v>501.5220058064516</v>
      </c>
      <c r="C59" s="264">
        <f t="shared" si="0"/>
        <v>183.05553211935484</v>
      </c>
    </row>
    <row r="60" spans="1:3" ht="15.5" x14ac:dyDescent="0.35">
      <c r="A60" s="61">
        <v>40848</v>
      </c>
      <c r="B60" s="263">
        <v>504.13244000000014</v>
      </c>
      <c r="C60" s="264">
        <f t="shared" si="0"/>
        <v>184.00834060000005</v>
      </c>
    </row>
    <row r="61" spans="1:3" ht="15.5" x14ac:dyDescent="0.35">
      <c r="A61" s="61">
        <v>40878</v>
      </c>
      <c r="B61" s="263">
        <v>500.6012967741936</v>
      </c>
      <c r="C61" s="264">
        <f t="shared" si="0"/>
        <v>182.71947332258065</v>
      </c>
    </row>
    <row r="62" spans="1:3" ht="15.5" x14ac:dyDescent="0.35">
      <c r="A62" s="61">
        <v>40909</v>
      </c>
      <c r="B62" s="263">
        <v>504.04447774193551</v>
      </c>
      <c r="C62" s="264">
        <f t="shared" si="0"/>
        <v>183.97623437580646</v>
      </c>
    </row>
    <row r="63" spans="1:3" ht="15.5" x14ac:dyDescent="0.35">
      <c r="A63" s="61">
        <v>40940</v>
      </c>
      <c r="B63" s="263">
        <v>503.13633275862065</v>
      </c>
      <c r="C63" s="264">
        <f t="shared" si="0"/>
        <v>183.64476145689656</v>
      </c>
    </row>
    <row r="64" spans="1:3" ht="15.5" x14ac:dyDescent="0.35">
      <c r="A64" s="61">
        <v>40969</v>
      </c>
      <c r="B64" s="263">
        <v>499.34570967741939</v>
      </c>
      <c r="C64" s="264">
        <f t="shared" si="0"/>
        <v>182.26118403225809</v>
      </c>
    </row>
    <row r="65" spans="1:3" ht="15.5" x14ac:dyDescent="0.35">
      <c r="A65" s="61">
        <v>41000</v>
      </c>
      <c r="B65" s="263">
        <v>500.37793729999999</v>
      </c>
      <c r="C65" s="264">
        <f t="shared" si="0"/>
        <v>182.63794711449998</v>
      </c>
    </row>
    <row r="66" spans="1:3" ht="15.5" x14ac:dyDescent="0.35">
      <c r="A66" s="61">
        <v>41030</v>
      </c>
      <c r="B66" s="263">
        <v>497.83888354838706</v>
      </c>
      <c r="C66" s="264">
        <f t="shared" si="0"/>
        <v>181.7111924951613</v>
      </c>
    </row>
    <row r="67" spans="1:3" ht="15.5" x14ac:dyDescent="0.35">
      <c r="A67" s="61">
        <v>41061</v>
      </c>
      <c r="B67" s="263">
        <v>501.67606866666671</v>
      </c>
      <c r="C67" s="264">
        <f t="shared" ref="C67:C130" si="1">B67*365/1000</f>
        <v>183.11176506333337</v>
      </c>
    </row>
    <row r="68" spans="1:3" ht="15.5" x14ac:dyDescent="0.35">
      <c r="A68" s="61">
        <v>41091</v>
      </c>
      <c r="B68" s="263">
        <v>508.00766903225798</v>
      </c>
      <c r="C68" s="264">
        <f t="shared" si="1"/>
        <v>185.42279919677418</v>
      </c>
    </row>
    <row r="69" spans="1:3" ht="15.5" x14ac:dyDescent="0.35">
      <c r="A69" s="61">
        <v>41122</v>
      </c>
      <c r="B69" s="263">
        <v>512.0190089677418</v>
      </c>
      <c r="C69" s="264">
        <f t="shared" si="1"/>
        <v>186.88693827322575</v>
      </c>
    </row>
    <row r="70" spans="1:3" ht="15.5" x14ac:dyDescent="0.35">
      <c r="A70" s="61">
        <v>41153</v>
      </c>
      <c r="B70" s="263">
        <v>506.44654766666662</v>
      </c>
      <c r="C70" s="264">
        <f t="shared" si="1"/>
        <v>184.85298989833333</v>
      </c>
    </row>
    <row r="71" spans="1:3" ht="15.5" x14ac:dyDescent="0.35">
      <c r="A71" s="61">
        <v>41183</v>
      </c>
      <c r="B71" s="263">
        <v>502.86474516129033</v>
      </c>
      <c r="C71" s="264">
        <f t="shared" si="1"/>
        <v>183.54563198387095</v>
      </c>
    </row>
    <row r="72" spans="1:3" ht="15.5" x14ac:dyDescent="0.35">
      <c r="A72" s="61">
        <v>41214</v>
      </c>
      <c r="B72" s="263">
        <v>504.16850566666653</v>
      </c>
      <c r="C72" s="264">
        <f t="shared" si="1"/>
        <v>184.02150456833328</v>
      </c>
    </row>
    <row r="73" spans="1:3" ht="15.5" x14ac:dyDescent="0.35">
      <c r="A73" s="61">
        <v>41244</v>
      </c>
      <c r="B73" s="263">
        <v>503.3717832258065</v>
      </c>
      <c r="C73" s="264">
        <f t="shared" si="1"/>
        <v>183.73070087741939</v>
      </c>
    </row>
    <row r="74" spans="1:3" ht="15.5" x14ac:dyDescent="0.35">
      <c r="A74" s="61">
        <v>41275</v>
      </c>
      <c r="B74" s="263">
        <v>505.04573645161287</v>
      </c>
      <c r="C74" s="264">
        <f t="shared" si="1"/>
        <v>184.34169380483868</v>
      </c>
    </row>
    <row r="75" spans="1:3" ht="15.5" x14ac:dyDescent="0.35">
      <c r="A75" s="61">
        <v>41306</v>
      </c>
      <c r="B75" s="263">
        <v>509.3719110714286</v>
      </c>
      <c r="C75" s="264">
        <f t="shared" si="1"/>
        <v>185.92074754107145</v>
      </c>
    </row>
    <row r="76" spans="1:3" ht="15.5" x14ac:dyDescent="0.35">
      <c r="A76" s="61">
        <v>41334</v>
      </c>
      <c r="B76" s="263">
        <v>504.22881999999998</v>
      </c>
      <c r="C76" s="264">
        <f t="shared" si="1"/>
        <v>184.04351929999999</v>
      </c>
    </row>
    <row r="77" spans="1:3" ht="15.5" x14ac:dyDescent="0.35">
      <c r="A77" s="61">
        <v>41365</v>
      </c>
      <c r="B77" s="263">
        <v>515.72671100000002</v>
      </c>
      <c r="C77" s="264">
        <f t="shared" si="1"/>
        <v>188.24024951500002</v>
      </c>
    </row>
    <row r="78" spans="1:3" ht="15.5" x14ac:dyDescent="0.35">
      <c r="A78" s="61">
        <v>41395</v>
      </c>
      <c r="B78" s="263">
        <v>521.51235258064514</v>
      </c>
      <c r="C78" s="264">
        <f t="shared" si="1"/>
        <v>190.35200869193548</v>
      </c>
    </row>
    <row r="79" spans="1:3" ht="15.5" x14ac:dyDescent="0.35">
      <c r="A79" s="61">
        <v>41426</v>
      </c>
      <c r="B79" s="263">
        <v>524.04291033333334</v>
      </c>
      <c r="C79" s="264">
        <f t="shared" si="1"/>
        <v>191.27566227166665</v>
      </c>
    </row>
    <row r="80" spans="1:3" ht="15.5" x14ac:dyDescent="0.35">
      <c r="A80" s="61">
        <v>41456</v>
      </c>
      <c r="B80" s="263">
        <v>530.24021161290341</v>
      </c>
      <c r="C80" s="264">
        <f t="shared" si="1"/>
        <v>193.53767723870973</v>
      </c>
    </row>
    <row r="81" spans="1:3" ht="15.5" x14ac:dyDescent="0.35">
      <c r="A81" s="61">
        <v>41487</v>
      </c>
      <c r="B81" s="263">
        <v>536.58480935483863</v>
      </c>
      <c r="C81" s="264">
        <f t="shared" si="1"/>
        <v>195.85345541451611</v>
      </c>
    </row>
    <row r="82" spans="1:3" ht="15.5" x14ac:dyDescent="0.35">
      <c r="A82" s="61">
        <v>41518</v>
      </c>
      <c r="B82" s="263">
        <v>535.10993099999985</v>
      </c>
      <c r="C82" s="264">
        <f t="shared" si="1"/>
        <v>195.31512481499993</v>
      </c>
    </row>
    <row r="83" spans="1:3" ht="15.5" x14ac:dyDescent="0.35">
      <c r="A83" s="61">
        <v>41548</v>
      </c>
      <c r="B83" s="263">
        <v>539.90264645161301</v>
      </c>
      <c r="C83" s="264">
        <f t="shared" si="1"/>
        <v>197.06446595483877</v>
      </c>
    </row>
    <row r="84" spans="1:3" ht="15.5" x14ac:dyDescent="0.35">
      <c r="A84" s="61">
        <v>41579</v>
      </c>
      <c r="B84" s="263">
        <v>544.99051033333342</v>
      </c>
      <c r="C84" s="264">
        <f t="shared" si="1"/>
        <v>198.9215362716667</v>
      </c>
    </row>
    <row r="85" spans="1:3" ht="15.5" x14ac:dyDescent="0.35">
      <c r="A85" s="61">
        <v>41609</v>
      </c>
      <c r="B85" s="263">
        <v>548.23281419354839</v>
      </c>
      <c r="C85" s="264">
        <f t="shared" si="1"/>
        <v>200.10497718064516</v>
      </c>
    </row>
    <row r="86" spans="1:3" ht="15.5" x14ac:dyDescent="0.35">
      <c r="A86" s="61">
        <v>41640</v>
      </c>
      <c r="B86" s="263">
        <v>550.13882258064518</v>
      </c>
      <c r="C86" s="264">
        <f t="shared" si="1"/>
        <v>200.80067024193551</v>
      </c>
    </row>
    <row r="87" spans="1:3" ht="15.5" x14ac:dyDescent="0.35">
      <c r="A87" s="61">
        <v>41671</v>
      </c>
      <c r="B87" s="263">
        <v>550.79199749999987</v>
      </c>
      <c r="C87" s="264">
        <f t="shared" si="1"/>
        <v>201.03907908749994</v>
      </c>
    </row>
    <row r="88" spans="1:3" ht="15.5" x14ac:dyDescent="0.35">
      <c r="A88" s="61">
        <v>41699</v>
      </c>
      <c r="B88" s="263">
        <v>556.61410838709685</v>
      </c>
      <c r="C88" s="264">
        <f t="shared" si="1"/>
        <v>203.16414956129034</v>
      </c>
    </row>
    <row r="89" spans="1:3" ht="15.5" x14ac:dyDescent="0.35">
      <c r="A89" s="61">
        <v>41730</v>
      </c>
      <c r="B89" s="263">
        <v>560.18843433333325</v>
      </c>
      <c r="C89" s="264">
        <f t="shared" si="1"/>
        <v>204.46877853166663</v>
      </c>
    </row>
    <row r="90" spans="1:3" ht="15.5" x14ac:dyDescent="0.35">
      <c r="A90" s="61">
        <v>41760</v>
      </c>
      <c r="B90" s="263">
        <v>554.28423903225803</v>
      </c>
      <c r="C90" s="264">
        <f t="shared" si="1"/>
        <v>202.31374724677417</v>
      </c>
    </row>
    <row r="91" spans="1:3" ht="15.5" x14ac:dyDescent="0.35">
      <c r="A91" s="61">
        <v>41791</v>
      </c>
      <c r="B91" s="263">
        <v>555.27316103333339</v>
      </c>
      <c r="C91" s="264">
        <f t="shared" si="1"/>
        <v>202.67470377716668</v>
      </c>
    </row>
    <row r="92" spans="1:3" ht="15.5" x14ac:dyDescent="0.35">
      <c r="A92" s="61">
        <v>41821</v>
      </c>
      <c r="B92" s="263">
        <v>558.3932029032253</v>
      </c>
      <c r="C92" s="264">
        <f t="shared" si="1"/>
        <v>203.81351905967722</v>
      </c>
    </row>
    <row r="93" spans="1:3" ht="15.5" x14ac:dyDescent="0.35">
      <c r="A93" s="61">
        <v>41852</v>
      </c>
      <c r="B93" s="263">
        <v>558.41117774193549</v>
      </c>
      <c r="C93" s="264">
        <f t="shared" si="1"/>
        <v>203.82007987580647</v>
      </c>
    </row>
    <row r="94" spans="1:3" ht="15.5" x14ac:dyDescent="0.35">
      <c r="A94" s="61">
        <v>41883</v>
      </c>
      <c r="B94" s="263">
        <v>550.9181316666668</v>
      </c>
      <c r="C94" s="264">
        <f t="shared" si="1"/>
        <v>201.08511805833336</v>
      </c>
    </row>
    <row r="95" spans="1:3" ht="15.5" x14ac:dyDescent="0.35">
      <c r="A95" s="61">
        <v>41913</v>
      </c>
      <c r="B95" s="263">
        <v>557.2320083870967</v>
      </c>
      <c r="C95" s="264">
        <f t="shared" si="1"/>
        <v>203.3896830612903</v>
      </c>
    </row>
    <row r="96" spans="1:3" ht="15.5" x14ac:dyDescent="0.35">
      <c r="A96" s="61">
        <v>41944</v>
      </c>
      <c r="B96" s="263">
        <v>562.82560166666667</v>
      </c>
      <c r="C96" s="264">
        <f t="shared" si="1"/>
        <v>205.43134460833335</v>
      </c>
    </row>
    <row r="97" spans="1:3" ht="15.5" x14ac:dyDescent="0.35">
      <c r="A97" s="61">
        <v>41974</v>
      </c>
      <c r="B97" s="263">
        <v>561.09776387096781</v>
      </c>
      <c r="C97" s="264">
        <f t="shared" si="1"/>
        <v>204.80068381290323</v>
      </c>
    </row>
    <row r="98" spans="1:3" ht="15.5" x14ac:dyDescent="0.35">
      <c r="A98" s="61">
        <v>42005</v>
      </c>
      <c r="B98" s="263">
        <v>557.7229080645161</v>
      </c>
      <c r="C98" s="264">
        <f t="shared" si="1"/>
        <v>203.56886144354837</v>
      </c>
    </row>
    <row r="99" spans="1:3" ht="15.5" x14ac:dyDescent="0.35">
      <c r="A99" s="61">
        <v>42036</v>
      </c>
      <c r="B99" s="263">
        <v>553.12584607142867</v>
      </c>
      <c r="C99" s="264">
        <f t="shared" si="1"/>
        <v>201.89093381607145</v>
      </c>
    </row>
    <row r="100" spans="1:3" ht="15.5" x14ac:dyDescent="0.35">
      <c r="A100" s="61">
        <v>42064</v>
      </c>
      <c r="B100" s="263">
        <v>552.72363322580645</v>
      </c>
      <c r="C100" s="264">
        <f t="shared" si="1"/>
        <v>201.74412612741935</v>
      </c>
    </row>
    <row r="101" spans="1:3" ht="15.5" x14ac:dyDescent="0.35">
      <c r="A101" s="61">
        <v>42095</v>
      </c>
      <c r="B101" s="263">
        <v>547.8932666666667</v>
      </c>
      <c r="C101" s="264">
        <f t="shared" si="1"/>
        <v>199.98104233333333</v>
      </c>
    </row>
    <row r="102" spans="1:3" ht="15.5" x14ac:dyDescent="0.35">
      <c r="A102" s="61">
        <v>42125</v>
      </c>
      <c r="B102" s="263">
        <v>543.19186483870965</v>
      </c>
      <c r="C102" s="264">
        <f t="shared" si="1"/>
        <v>198.26503066612904</v>
      </c>
    </row>
    <row r="103" spans="1:3" ht="15.5" x14ac:dyDescent="0.35">
      <c r="A103" s="61">
        <v>42156</v>
      </c>
      <c r="B103" s="263">
        <v>541.04411933333336</v>
      </c>
      <c r="C103" s="264">
        <f t="shared" si="1"/>
        <v>197.48110355666668</v>
      </c>
    </row>
    <row r="104" spans="1:3" ht="15.5" x14ac:dyDescent="0.35">
      <c r="A104" s="61">
        <v>42186</v>
      </c>
      <c r="B104" s="263">
        <v>537.79738258064526</v>
      </c>
      <c r="C104" s="264">
        <f t="shared" si="1"/>
        <v>196.29604464193554</v>
      </c>
    </row>
    <row r="105" spans="1:3" ht="15.5" x14ac:dyDescent="0.35">
      <c r="A105" s="61">
        <v>42217</v>
      </c>
      <c r="B105" s="263">
        <v>537.13214580645172</v>
      </c>
      <c r="C105" s="264">
        <f t="shared" si="1"/>
        <v>196.05323321935487</v>
      </c>
    </row>
    <row r="106" spans="1:3" ht="15.5" x14ac:dyDescent="0.35">
      <c r="A106" s="61">
        <v>42248</v>
      </c>
      <c r="B106" s="263">
        <v>538.9752063333334</v>
      </c>
      <c r="C106" s="264">
        <f t="shared" si="1"/>
        <v>196.72595031166671</v>
      </c>
    </row>
    <row r="107" spans="1:3" ht="15.5" x14ac:dyDescent="0.35">
      <c r="A107" s="61">
        <v>42278</v>
      </c>
      <c r="B107" s="263">
        <v>537.98468645161279</v>
      </c>
      <c r="C107" s="264">
        <f t="shared" si="1"/>
        <v>196.36441055483866</v>
      </c>
    </row>
    <row r="108" spans="1:3" ht="15.5" x14ac:dyDescent="0.35">
      <c r="A108" s="61">
        <v>42309</v>
      </c>
      <c r="B108" s="263">
        <v>537.00115366666671</v>
      </c>
      <c r="C108" s="264">
        <f t="shared" si="1"/>
        <v>196.00542108833335</v>
      </c>
    </row>
    <row r="109" spans="1:3" ht="15.5" x14ac:dyDescent="0.35">
      <c r="A109" s="61">
        <v>42339</v>
      </c>
      <c r="B109" s="263">
        <v>533.2757670967743</v>
      </c>
      <c r="C109" s="264">
        <f t="shared" si="1"/>
        <v>194.64565499032261</v>
      </c>
    </row>
    <row r="110" spans="1:3" ht="15.5" x14ac:dyDescent="0.35">
      <c r="A110" s="61">
        <v>42370</v>
      </c>
      <c r="B110" s="263">
        <v>534.21515387096758</v>
      </c>
      <c r="C110" s="264">
        <f t="shared" si="1"/>
        <v>194.98853116290317</v>
      </c>
    </row>
    <row r="111" spans="1:3" ht="15.5" x14ac:dyDescent="0.35">
      <c r="A111" s="61">
        <v>42401</v>
      </c>
      <c r="B111" s="263">
        <v>539.62908551724126</v>
      </c>
      <c r="C111" s="264">
        <f t="shared" si="1"/>
        <v>196.96461621379305</v>
      </c>
    </row>
    <row r="112" spans="1:3" ht="15.5" x14ac:dyDescent="0.35">
      <c r="A112" s="61">
        <v>42430</v>
      </c>
      <c r="B112" s="263">
        <v>551.51564258064525</v>
      </c>
      <c r="C112" s="264">
        <f t="shared" si="1"/>
        <v>201.3032095419355</v>
      </c>
    </row>
    <row r="113" spans="1:3" ht="15.5" x14ac:dyDescent="0.35">
      <c r="A113" s="61">
        <v>42461</v>
      </c>
      <c r="B113" s="263">
        <v>555.09917366666673</v>
      </c>
      <c r="C113" s="264">
        <f t="shared" si="1"/>
        <v>202.61119838833335</v>
      </c>
    </row>
    <row r="114" spans="1:3" ht="15.5" x14ac:dyDescent="0.35">
      <c r="A114" s="61">
        <v>42491</v>
      </c>
      <c r="B114" s="263">
        <v>555.66702483870972</v>
      </c>
      <c r="C114" s="264">
        <f t="shared" si="1"/>
        <v>202.81846406612905</v>
      </c>
    </row>
    <row r="115" spans="1:3" ht="15.5" x14ac:dyDescent="0.35">
      <c r="A115" s="61">
        <v>42522</v>
      </c>
      <c r="B115" s="263">
        <v>550.06175099999996</v>
      </c>
      <c r="C115" s="264">
        <f t="shared" si="1"/>
        <v>200.772539115</v>
      </c>
    </row>
    <row r="116" spans="1:3" ht="15.5" x14ac:dyDescent="0.35">
      <c r="A116" s="61">
        <v>42552</v>
      </c>
      <c r="B116" s="263">
        <v>546.06125935483863</v>
      </c>
      <c r="C116" s="264">
        <f t="shared" si="1"/>
        <v>199.31235966451609</v>
      </c>
    </row>
    <row r="117" spans="1:3" ht="15.5" x14ac:dyDescent="0.35">
      <c r="A117" s="61">
        <v>42583</v>
      </c>
      <c r="B117" s="263">
        <v>548.86378390322579</v>
      </c>
      <c r="C117" s="264">
        <f t="shared" si="1"/>
        <v>200.33528112467741</v>
      </c>
    </row>
    <row r="118" spans="1:3" ht="15.5" x14ac:dyDescent="0.35">
      <c r="A118" s="61">
        <v>42614</v>
      </c>
      <c r="B118" s="263">
        <v>559.86211933333334</v>
      </c>
      <c r="C118" s="264">
        <f t="shared" si="1"/>
        <v>204.34967355666669</v>
      </c>
    </row>
    <row r="119" spans="1:3" ht="15.5" x14ac:dyDescent="0.35">
      <c r="A119" s="61">
        <v>42644</v>
      </c>
      <c r="B119" s="263">
        <v>552.43898516129036</v>
      </c>
      <c r="C119" s="264">
        <f t="shared" si="1"/>
        <v>201.64022958387096</v>
      </c>
    </row>
    <row r="120" spans="1:3" ht="15.5" x14ac:dyDescent="0.35">
      <c r="A120" s="61">
        <v>42675</v>
      </c>
      <c r="B120" s="263">
        <v>543.84165466666661</v>
      </c>
      <c r="C120" s="264">
        <f t="shared" si="1"/>
        <v>198.50220395333332</v>
      </c>
    </row>
    <row r="121" spans="1:3" ht="15.5" x14ac:dyDescent="0.35">
      <c r="A121" s="61">
        <v>42705</v>
      </c>
      <c r="B121" s="263">
        <v>543.95795903225815</v>
      </c>
      <c r="C121" s="264">
        <f t="shared" si="1"/>
        <v>198.54465504677421</v>
      </c>
    </row>
    <row r="122" spans="1:3" ht="15.5" x14ac:dyDescent="0.35">
      <c r="A122" s="61">
        <v>42736</v>
      </c>
      <c r="B122" s="263">
        <v>536.248681935484</v>
      </c>
      <c r="C122" s="264">
        <f t="shared" si="1"/>
        <v>195.73076890645169</v>
      </c>
    </row>
    <row r="123" spans="1:3" ht="15.5" x14ac:dyDescent="0.35">
      <c r="A123" s="61">
        <v>42767</v>
      </c>
      <c r="B123" s="263">
        <v>535.15262124999936</v>
      </c>
      <c r="C123" s="264">
        <f t="shared" si="1"/>
        <v>195.33070675624978</v>
      </c>
    </row>
    <row r="124" spans="1:3" ht="15.5" x14ac:dyDescent="0.35">
      <c r="A124" s="61">
        <v>42795</v>
      </c>
      <c r="B124" s="263">
        <v>530.73496970967733</v>
      </c>
      <c r="C124" s="264">
        <f t="shared" si="1"/>
        <v>193.71826394403223</v>
      </c>
    </row>
    <row r="125" spans="1:3" ht="15.5" x14ac:dyDescent="0.35">
      <c r="A125" s="61">
        <v>42826</v>
      </c>
      <c r="B125" s="263">
        <v>528.12232040000004</v>
      </c>
      <c r="C125" s="264">
        <f t="shared" si="1"/>
        <v>192.76464694600003</v>
      </c>
    </row>
    <row r="126" spans="1:3" ht="15.5" x14ac:dyDescent="0.35">
      <c r="A126" s="61">
        <v>42856</v>
      </c>
      <c r="B126" s="263">
        <v>533.15173783870966</v>
      </c>
      <c r="C126" s="264">
        <f t="shared" si="1"/>
        <v>194.60038431112901</v>
      </c>
    </row>
    <row r="127" spans="1:3" ht="15.5" x14ac:dyDescent="0.35">
      <c r="A127" s="61">
        <v>42887</v>
      </c>
      <c r="B127" s="263">
        <v>539.90694836666671</v>
      </c>
      <c r="C127" s="264">
        <f t="shared" si="1"/>
        <v>197.06603615383335</v>
      </c>
    </row>
    <row r="128" spans="1:3" ht="15.5" x14ac:dyDescent="0.35">
      <c r="A128" s="61">
        <v>42917</v>
      </c>
      <c r="B128" s="263">
        <v>541.14261796774201</v>
      </c>
      <c r="C128" s="264">
        <f t="shared" si="1"/>
        <v>197.51705555822585</v>
      </c>
    </row>
    <row r="129" spans="1:3" ht="15.5" x14ac:dyDescent="0.35">
      <c r="A129" s="61">
        <v>42948</v>
      </c>
      <c r="B129" s="263">
        <v>535.97646696774245</v>
      </c>
      <c r="C129" s="264">
        <f t="shared" si="1"/>
        <v>195.631410443226</v>
      </c>
    </row>
    <row r="130" spans="1:3" ht="15.5" x14ac:dyDescent="0.35">
      <c r="A130" s="61">
        <v>42979</v>
      </c>
      <c r="B130" s="263">
        <v>528.92231756666672</v>
      </c>
      <c r="C130" s="264">
        <f t="shared" si="1"/>
        <v>193.05664591183336</v>
      </c>
    </row>
    <row r="131" spans="1:3" ht="15.5" x14ac:dyDescent="0.35">
      <c r="A131" s="61">
        <v>43009</v>
      </c>
      <c r="B131" s="263">
        <v>525.65409916129033</v>
      </c>
      <c r="C131" s="264">
        <f t="shared" ref="C131:C194" si="2">B131*365/1000</f>
        <v>191.86374619387095</v>
      </c>
    </row>
    <row r="132" spans="1:3" ht="15.5" x14ac:dyDescent="0.35">
      <c r="A132" s="61">
        <v>43040</v>
      </c>
      <c r="B132" s="263">
        <v>521.03891409999994</v>
      </c>
      <c r="C132" s="264">
        <f t="shared" si="2"/>
        <v>190.17920364649999</v>
      </c>
    </row>
    <row r="133" spans="1:3" ht="15.5" x14ac:dyDescent="0.35">
      <c r="A133" s="61">
        <v>43070</v>
      </c>
      <c r="B133" s="263">
        <v>519.7721250967744</v>
      </c>
      <c r="C133" s="264">
        <f t="shared" si="2"/>
        <v>189.71682566032266</v>
      </c>
    </row>
    <row r="134" spans="1:3" ht="15.5" x14ac:dyDescent="0.35">
      <c r="A134" s="61">
        <v>43101</v>
      </c>
      <c r="B134" s="263">
        <v>512.93945712903223</v>
      </c>
      <c r="C134" s="264">
        <f t="shared" si="2"/>
        <v>187.22290185209678</v>
      </c>
    </row>
    <row r="135" spans="1:3" ht="15.5" x14ac:dyDescent="0.35">
      <c r="A135" s="61">
        <v>43132</v>
      </c>
      <c r="B135" s="263">
        <v>512.68932264285706</v>
      </c>
      <c r="C135" s="264">
        <f t="shared" si="2"/>
        <v>187.13160276464282</v>
      </c>
    </row>
    <row r="136" spans="1:3" ht="15.5" x14ac:dyDescent="0.35">
      <c r="A136" s="61">
        <v>43160</v>
      </c>
      <c r="B136" s="263">
        <v>511.25385267741927</v>
      </c>
      <c r="C136" s="264">
        <f t="shared" si="2"/>
        <v>186.60765622725805</v>
      </c>
    </row>
    <row r="137" spans="1:3" ht="15.5" x14ac:dyDescent="0.35">
      <c r="A137" s="61">
        <v>43191</v>
      </c>
      <c r="B137" s="263">
        <v>516.59864800000003</v>
      </c>
      <c r="C137" s="264">
        <f t="shared" si="2"/>
        <v>188.55850652000001</v>
      </c>
    </row>
    <row r="138" spans="1:3" ht="15.5" x14ac:dyDescent="0.35">
      <c r="A138" s="61">
        <v>43221</v>
      </c>
      <c r="B138" s="263">
        <v>515.63674138709689</v>
      </c>
      <c r="C138" s="264">
        <f t="shared" si="2"/>
        <v>188.20741060629035</v>
      </c>
    </row>
    <row r="139" spans="1:3" ht="15.5" x14ac:dyDescent="0.35">
      <c r="A139" s="61">
        <v>43252</v>
      </c>
      <c r="B139" s="263">
        <v>517.09642829999984</v>
      </c>
      <c r="C139" s="264">
        <f t="shared" si="2"/>
        <v>188.74019632949995</v>
      </c>
    </row>
    <row r="140" spans="1:3" ht="15.5" x14ac:dyDescent="0.35">
      <c r="A140" s="61">
        <v>43282</v>
      </c>
      <c r="B140" s="263">
        <v>523.34090861290315</v>
      </c>
      <c r="C140" s="264">
        <f t="shared" si="2"/>
        <v>191.01943164370965</v>
      </c>
    </row>
    <row r="141" spans="1:3" ht="15.5" x14ac:dyDescent="0.35">
      <c r="A141" s="61">
        <v>43313</v>
      </c>
      <c r="B141" s="263">
        <v>530.30828458064514</v>
      </c>
      <c r="C141" s="264">
        <f t="shared" si="2"/>
        <v>193.56252387193547</v>
      </c>
    </row>
    <row r="142" spans="1:3" ht="15.5" x14ac:dyDescent="0.35">
      <c r="A142" s="61">
        <v>43344</v>
      </c>
      <c r="B142" s="263">
        <v>518.51149759999998</v>
      </c>
      <c r="C142" s="264">
        <f t="shared" si="2"/>
        <v>189.256696624</v>
      </c>
    </row>
    <row r="143" spans="1:3" ht="15.5" x14ac:dyDescent="0.35">
      <c r="A143" s="61">
        <v>43374</v>
      </c>
      <c r="B143" s="263">
        <v>513.49089935483869</v>
      </c>
      <c r="C143" s="264">
        <f t="shared" si="2"/>
        <v>187.42417826451612</v>
      </c>
    </row>
    <row r="144" spans="1:3" ht="15.5" x14ac:dyDescent="0.35">
      <c r="A144" s="61">
        <v>43405</v>
      </c>
      <c r="B144" s="263">
        <v>515.06165803333329</v>
      </c>
      <c r="C144" s="264">
        <f t="shared" si="2"/>
        <v>187.99750518216663</v>
      </c>
    </row>
    <row r="145" spans="1:3" ht="15.5" x14ac:dyDescent="0.35">
      <c r="A145" s="61">
        <v>43435</v>
      </c>
      <c r="B145" s="263">
        <v>519.45378177419366</v>
      </c>
      <c r="C145" s="264">
        <f t="shared" si="2"/>
        <v>189.60063034758068</v>
      </c>
    </row>
    <row r="146" spans="1:3" ht="15.5" x14ac:dyDescent="0.35">
      <c r="A146" s="61">
        <v>43466</v>
      </c>
      <c r="B146" s="263">
        <v>523.88286367741944</v>
      </c>
      <c r="C146" s="264">
        <f t="shared" si="2"/>
        <v>191.21724524225809</v>
      </c>
    </row>
    <row r="147" spans="1:3" ht="15.5" x14ac:dyDescent="0.35">
      <c r="A147" s="61">
        <v>43497</v>
      </c>
      <c r="B147" s="263">
        <v>533.35984542857136</v>
      </c>
      <c r="C147" s="264">
        <f t="shared" si="2"/>
        <v>194.67634358142854</v>
      </c>
    </row>
    <row r="148" spans="1:3" ht="15.5" x14ac:dyDescent="0.35">
      <c r="A148" s="61">
        <v>43525</v>
      </c>
      <c r="B148" s="263">
        <v>530.14658077419369</v>
      </c>
      <c r="C148" s="264">
        <f t="shared" si="2"/>
        <v>193.5035019825807</v>
      </c>
    </row>
    <row r="149" spans="1:3" ht="15.5" x14ac:dyDescent="0.35">
      <c r="A149" s="61">
        <v>43556</v>
      </c>
      <c r="B149" s="263">
        <v>528.95244616666673</v>
      </c>
      <c r="C149" s="264">
        <f t="shared" si="2"/>
        <v>193.06764285083335</v>
      </c>
    </row>
    <row r="150" spans="1:3" ht="15.5" x14ac:dyDescent="0.35">
      <c r="A150" s="61">
        <v>43586</v>
      </c>
      <c r="B150" s="263">
        <v>531.86319529032266</v>
      </c>
      <c r="C150" s="264">
        <f t="shared" si="2"/>
        <v>194.13006628096775</v>
      </c>
    </row>
    <row r="151" spans="1:3" ht="15.5" x14ac:dyDescent="0.35">
      <c r="A151" s="61">
        <v>43617</v>
      </c>
      <c r="B151" s="263">
        <v>530.88993160000007</v>
      </c>
      <c r="C151" s="264">
        <f t="shared" si="2"/>
        <v>193.77482503400003</v>
      </c>
    </row>
    <row r="152" spans="1:3" ht="15.5" x14ac:dyDescent="0.35">
      <c r="A152" s="61">
        <v>43647</v>
      </c>
      <c r="B152" s="263">
        <v>541.35105296774179</v>
      </c>
      <c r="C152" s="264">
        <f t="shared" si="2"/>
        <v>197.59313433322575</v>
      </c>
    </row>
    <row r="153" spans="1:3" ht="15.5" x14ac:dyDescent="0.35">
      <c r="A153" s="61">
        <v>43678</v>
      </c>
      <c r="B153" s="263">
        <v>550.23711912903229</v>
      </c>
      <c r="C153" s="264">
        <f t="shared" si="2"/>
        <v>200.83654848209679</v>
      </c>
    </row>
    <row r="154" spans="1:3" ht="15.5" x14ac:dyDescent="0.35">
      <c r="A154" s="61">
        <v>43709</v>
      </c>
      <c r="B154" s="263">
        <v>546.90739186666679</v>
      </c>
      <c r="C154" s="264">
        <f t="shared" si="2"/>
        <v>199.62119803133336</v>
      </c>
    </row>
    <row r="155" spans="1:3" ht="15.5" x14ac:dyDescent="0.35">
      <c r="A155" s="61">
        <v>43739</v>
      </c>
      <c r="B155" s="263">
        <v>467.29679245161287</v>
      </c>
      <c r="C155" s="264">
        <f t="shared" si="2"/>
        <v>170.56332924483871</v>
      </c>
    </row>
    <row r="156" spans="1:3" ht="15.5" x14ac:dyDescent="0.35">
      <c r="A156" s="61">
        <v>43770</v>
      </c>
      <c r="B156" s="263">
        <v>546.35333896666668</v>
      </c>
      <c r="C156" s="264">
        <f t="shared" si="2"/>
        <v>199.41896872283334</v>
      </c>
    </row>
    <row r="157" spans="1:3" ht="15.5" x14ac:dyDescent="0.35">
      <c r="A157" s="61">
        <v>43800</v>
      </c>
      <c r="B157" s="263">
        <v>541.96156503225814</v>
      </c>
      <c r="C157" s="264">
        <f t="shared" si="2"/>
        <v>197.81597123677423</v>
      </c>
    </row>
    <row r="158" spans="1:3" ht="15.5" x14ac:dyDescent="0.35">
      <c r="A158" s="61">
        <v>43831</v>
      </c>
      <c r="B158" s="263">
        <v>534.66499161290324</v>
      </c>
      <c r="C158" s="264">
        <f t="shared" si="2"/>
        <v>195.15272193870967</v>
      </c>
    </row>
    <row r="159" spans="1:3" ht="15.5" x14ac:dyDescent="0.35">
      <c r="A159" s="61">
        <v>43862</v>
      </c>
      <c r="B159" s="263">
        <v>536.57214655172425</v>
      </c>
      <c r="C159" s="264">
        <f t="shared" si="2"/>
        <v>195.84883349137934</v>
      </c>
    </row>
    <row r="160" spans="1:3" ht="15.5" x14ac:dyDescent="0.35">
      <c r="A160" s="61">
        <v>43891</v>
      </c>
      <c r="B160" s="263">
        <v>540.65052129032256</v>
      </c>
      <c r="C160" s="264">
        <f t="shared" si="2"/>
        <v>197.33744027096773</v>
      </c>
    </row>
    <row r="161" spans="1:3" ht="15.5" x14ac:dyDescent="0.35">
      <c r="A161" s="61">
        <v>43922</v>
      </c>
      <c r="B161" s="263">
        <v>209.903749</v>
      </c>
      <c r="C161" s="264">
        <f t="shared" si="2"/>
        <v>76.614868385000008</v>
      </c>
    </row>
    <row r="162" spans="1:3" ht="15.5" x14ac:dyDescent="0.35">
      <c r="A162" s="61">
        <v>43952</v>
      </c>
      <c r="B162" s="263">
        <v>335.16721999999993</v>
      </c>
      <c r="C162" s="264">
        <f t="shared" si="2"/>
        <v>122.33603529999998</v>
      </c>
    </row>
    <row r="163" spans="1:3" ht="15.5" x14ac:dyDescent="0.35">
      <c r="A163" s="61">
        <v>43983</v>
      </c>
      <c r="B163" s="263">
        <v>514.51007866666657</v>
      </c>
      <c r="C163" s="264">
        <f t="shared" si="2"/>
        <v>187.79617871333329</v>
      </c>
    </row>
    <row r="164" spans="1:3" ht="15.5" x14ac:dyDescent="0.35">
      <c r="A164" s="61">
        <v>44013</v>
      </c>
      <c r="B164" s="263">
        <v>521.40929322580644</v>
      </c>
      <c r="C164" s="264">
        <f t="shared" si="2"/>
        <v>190.31439202741936</v>
      </c>
    </row>
    <row r="165" spans="1:3" ht="15.5" x14ac:dyDescent="0.35">
      <c r="A165" s="61">
        <v>44044</v>
      </c>
      <c r="B165" s="263">
        <v>515.46710354838717</v>
      </c>
      <c r="C165" s="264">
        <f t="shared" si="2"/>
        <v>188.14549279516132</v>
      </c>
    </row>
    <row r="166" spans="1:3" ht="15.5" x14ac:dyDescent="0.35">
      <c r="A166" s="61">
        <v>44075</v>
      </c>
      <c r="B166" s="263">
        <v>511.58456300000006</v>
      </c>
      <c r="C166" s="264">
        <f t="shared" si="2"/>
        <v>186.72836549500005</v>
      </c>
    </row>
    <row r="167" spans="1:3" ht="15.5" x14ac:dyDescent="0.35">
      <c r="A167" s="61">
        <v>44105</v>
      </c>
      <c r="B167" s="263">
        <v>508.28473387096778</v>
      </c>
      <c r="C167" s="264">
        <f t="shared" si="2"/>
        <v>185.52392786290324</v>
      </c>
    </row>
    <row r="168" spans="1:3" ht="15.5" x14ac:dyDescent="0.35">
      <c r="A168" s="61">
        <v>44136</v>
      </c>
      <c r="B168" s="263">
        <v>510.6518723333333</v>
      </c>
      <c r="C168" s="264">
        <f t="shared" si="2"/>
        <v>186.38793340166666</v>
      </c>
    </row>
    <row r="169" spans="1:3" ht="15.5" x14ac:dyDescent="0.35">
      <c r="A169" s="61">
        <v>44166</v>
      </c>
      <c r="B169" s="263">
        <v>511.76327870967742</v>
      </c>
      <c r="C169" s="264">
        <f t="shared" si="2"/>
        <v>186.79359672903226</v>
      </c>
    </row>
    <row r="170" spans="1:3" ht="15.5" x14ac:dyDescent="0.35">
      <c r="A170" s="61">
        <v>44197</v>
      </c>
      <c r="B170" s="263">
        <v>508.58497838709678</v>
      </c>
      <c r="C170" s="264">
        <f t="shared" si="2"/>
        <v>185.63351711129033</v>
      </c>
    </row>
    <row r="171" spans="1:3" ht="15.5" x14ac:dyDescent="0.35">
      <c r="A171" s="61">
        <v>44228</v>
      </c>
      <c r="B171" s="263">
        <v>501.92828785714289</v>
      </c>
      <c r="C171" s="264">
        <f t="shared" si="2"/>
        <v>183.20382506785717</v>
      </c>
    </row>
    <row r="172" spans="1:3" ht="15.5" x14ac:dyDescent="0.35">
      <c r="A172" s="61">
        <v>44256</v>
      </c>
      <c r="B172" s="263">
        <v>502.48080225806456</v>
      </c>
      <c r="C172" s="264">
        <f t="shared" si="2"/>
        <v>183.40549282419354</v>
      </c>
    </row>
    <row r="173" spans="1:3" ht="15.5" x14ac:dyDescent="0.35">
      <c r="A173" s="61">
        <v>44287</v>
      </c>
      <c r="B173" s="263">
        <v>499.2506493333334</v>
      </c>
      <c r="C173" s="264">
        <f t="shared" si="2"/>
        <v>182.2264870066667</v>
      </c>
    </row>
    <row r="174" spans="1:3" ht="15.5" x14ac:dyDescent="0.35">
      <c r="A174" s="61">
        <v>44317</v>
      </c>
      <c r="B174" s="263">
        <v>498.36630161290321</v>
      </c>
      <c r="C174" s="264">
        <f t="shared" si="2"/>
        <v>181.90370008870968</v>
      </c>
    </row>
    <row r="175" spans="1:3" ht="15.5" x14ac:dyDescent="0.35">
      <c r="A175" s="61">
        <v>44348</v>
      </c>
      <c r="B175" s="263">
        <v>493.82364700000005</v>
      </c>
      <c r="C175" s="264">
        <f t="shared" si="2"/>
        <v>180.24563115500001</v>
      </c>
    </row>
    <row r="176" spans="1:3" ht="15.5" x14ac:dyDescent="0.35">
      <c r="A176" s="61">
        <v>44378</v>
      </c>
      <c r="B176" s="263">
        <v>492.86884096774196</v>
      </c>
      <c r="C176" s="264">
        <f t="shared" si="2"/>
        <v>179.89712695322581</v>
      </c>
    </row>
    <row r="177" spans="1:3" ht="15.5" x14ac:dyDescent="0.35">
      <c r="A177" s="61">
        <v>44409</v>
      </c>
      <c r="B177" s="263">
        <v>484.85379377419349</v>
      </c>
      <c r="C177" s="264">
        <f t="shared" si="2"/>
        <v>176.97163472758061</v>
      </c>
    </row>
    <row r="178" spans="1:3" ht="15.5" x14ac:dyDescent="0.35">
      <c r="A178" s="61">
        <v>44440</v>
      </c>
      <c r="B178" s="263">
        <v>485.02528833333332</v>
      </c>
      <c r="C178" s="264">
        <f t="shared" si="2"/>
        <v>177.03423024166668</v>
      </c>
    </row>
    <row r="179" spans="1:3" ht="15.5" x14ac:dyDescent="0.35">
      <c r="A179" s="61">
        <v>44470</v>
      </c>
      <c r="B179" s="263">
        <v>481.23117290322585</v>
      </c>
      <c r="C179" s="264">
        <f t="shared" si="2"/>
        <v>175.64937810967743</v>
      </c>
    </row>
    <row r="180" spans="1:3" ht="15.5" x14ac:dyDescent="0.35">
      <c r="A180" s="61">
        <v>44501</v>
      </c>
      <c r="B180" s="263">
        <v>484.92864966666662</v>
      </c>
      <c r="C180" s="264">
        <f t="shared" si="2"/>
        <v>176.9989571283333</v>
      </c>
    </row>
    <row r="181" spans="1:3" ht="15.5" x14ac:dyDescent="0.35">
      <c r="A181" s="61">
        <v>44531</v>
      </c>
      <c r="B181" s="263">
        <v>246.34919193548387</v>
      </c>
      <c r="C181" s="264">
        <f t="shared" si="2"/>
        <v>89.917455056451615</v>
      </c>
    </row>
    <row r="182" spans="1:3" ht="15.5" x14ac:dyDescent="0.35">
      <c r="A182" s="61">
        <v>44562</v>
      </c>
      <c r="B182" s="263">
        <v>455.98969903225822</v>
      </c>
      <c r="C182" s="264">
        <f t="shared" si="2"/>
        <v>166.43624014677425</v>
      </c>
    </row>
    <row r="183" spans="1:3" ht="15.5" x14ac:dyDescent="0.35">
      <c r="A183" s="61">
        <v>44593</v>
      </c>
      <c r="B183" s="263">
        <v>478.36750571428576</v>
      </c>
      <c r="C183" s="264">
        <f t="shared" si="2"/>
        <v>174.60413958571428</v>
      </c>
    </row>
    <row r="184" spans="1:3" ht="15.5" x14ac:dyDescent="0.35">
      <c r="A184" s="61">
        <v>44621</v>
      </c>
      <c r="B184" s="263">
        <v>494.72985258064529</v>
      </c>
      <c r="C184" s="264">
        <f t="shared" si="2"/>
        <v>180.57639619193552</v>
      </c>
    </row>
    <row r="185" spans="1:3" ht="15.5" x14ac:dyDescent="0.35">
      <c r="A185" s="61">
        <v>44652</v>
      </c>
      <c r="B185" s="263">
        <v>497.08436166666678</v>
      </c>
      <c r="C185" s="264">
        <f t="shared" si="2"/>
        <v>181.43579200833338</v>
      </c>
    </row>
    <row r="186" spans="1:3" ht="15.5" x14ac:dyDescent="0.35">
      <c r="A186" s="61">
        <v>44682</v>
      </c>
      <c r="B186" s="263">
        <v>494.94567451612909</v>
      </c>
      <c r="C186" s="264">
        <f t="shared" si="2"/>
        <v>180.65517119838711</v>
      </c>
    </row>
    <row r="187" spans="1:3" ht="15.5" x14ac:dyDescent="0.35">
      <c r="A187" s="61">
        <v>44713</v>
      </c>
      <c r="B187" s="263">
        <v>408.72829633333328</v>
      </c>
      <c r="C187" s="264">
        <f t="shared" si="2"/>
        <v>149.18582816166665</v>
      </c>
    </row>
    <row r="188" spans="1:3" ht="15.5" x14ac:dyDescent="0.35">
      <c r="A188" s="61">
        <v>44743</v>
      </c>
      <c r="B188" s="263">
        <v>482.68200290322585</v>
      </c>
      <c r="C188" s="264">
        <f t="shared" si="2"/>
        <v>176.17893105967744</v>
      </c>
    </row>
    <row r="189" spans="1:3" ht="15.5" x14ac:dyDescent="0.35">
      <c r="A189" s="61">
        <v>44774</v>
      </c>
      <c r="B189" s="263">
        <v>494.39750225806455</v>
      </c>
      <c r="C189" s="264">
        <f t="shared" si="2"/>
        <v>180.45508832419355</v>
      </c>
    </row>
    <row r="190" spans="1:3" ht="15.5" x14ac:dyDescent="0.35">
      <c r="A190" s="61">
        <v>44805</v>
      </c>
      <c r="B190" s="263">
        <v>490.29093500000005</v>
      </c>
      <c r="C190" s="264">
        <f t="shared" si="2"/>
        <v>178.95619127500001</v>
      </c>
    </row>
    <row r="191" spans="1:3" ht="15.5" x14ac:dyDescent="0.35">
      <c r="A191" s="61">
        <v>44835</v>
      </c>
      <c r="B191" s="263">
        <v>493.04406193548385</v>
      </c>
      <c r="C191" s="264">
        <f t="shared" si="2"/>
        <v>179.96108260645161</v>
      </c>
    </row>
    <row r="192" spans="1:3" ht="15.5" x14ac:dyDescent="0.35">
      <c r="A192" s="61">
        <v>44866</v>
      </c>
      <c r="B192" s="263">
        <v>489.19089400000001</v>
      </c>
      <c r="C192" s="264">
        <f t="shared" si="2"/>
        <v>178.55467631000002</v>
      </c>
    </row>
    <row r="193" spans="1:3" ht="15.5" x14ac:dyDescent="0.35">
      <c r="A193" s="61">
        <v>44896</v>
      </c>
      <c r="B193" s="263">
        <v>490.66182709677412</v>
      </c>
      <c r="C193" s="264">
        <f t="shared" si="2"/>
        <v>179.09156689032255</v>
      </c>
    </row>
    <row r="194" spans="1:3" ht="15.5" x14ac:dyDescent="0.35">
      <c r="A194" s="61">
        <v>44927</v>
      </c>
      <c r="B194" s="263">
        <v>489.52001838709685</v>
      </c>
      <c r="C194" s="264">
        <f t="shared" si="2"/>
        <v>178.67480671129036</v>
      </c>
    </row>
    <row r="195" spans="1:3" ht="15.5" x14ac:dyDescent="0.35">
      <c r="A195" s="61">
        <v>44958</v>
      </c>
      <c r="B195" s="263">
        <v>445.57738892857134</v>
      </c>
      <c r="C195" s="264">
        <f t="shared" ref="C195:C215" si="3">B195*365/1000</f>
        <v>162.63574695892854</v>
      </c>
    </row>
    <row r="196" spans="1:3" ht="15.5" x14ac:dyDescent="0.35">
      <c r="A196" s="61">
        <v>44986</v>
      </c>
      <c r="B196" s="263">
        <v>446.55803516129032</v>
      </c>
      <c r="C196" s="264">
        <f t="shared" si="3"/>
        <v>162.99368283387096</v>
      </c>
    </row>
    <row r="197" spans="1:3" ht="15.5" x14ac:dyDescent="0.35">
      <c r="A197" s="61">
        <v>45017</v>
      </c>
      <c r="B197" s="263">
        <v>471.8702146666667</v>
      </c>
      <c r="C197" s="264">
        <f t="shared" si="3"/>
        <v>172.23262835333333</v>
      </c>
    </row>
    <row r="198" spans="1:3" ht="15.5" x14ac:dyDescent="0.35">
      <c r="A198" s="61">
        <v>45047</v>
      </c>
      <c r="B198" s="263">
        <v>473.98302516129036</v>
      </c>
      <c r="C198" s="264">
        <f t="shared" si="3"/>
        <v>173.00380418387098</v>
      </c>
    </row>
    <row r="199" spans="1:3" ht="15.5" x14ac:dyDescent="0.35">
      <c r="A199" s="61">
        <v>45078</v>
      </c>
      <c r="B199" s="263">
        <v>473.34947699999998</v>
      </c>
      <c r="C199" s="264">
        <f t="shared" si="3"/>
        <v>172.772559105</v>
      </c>
    </row>
    <row r="200" spans="1:3" ht="15.5" x14ac:dyDescent="0.35">
      <c r="A200" s="61">
        <v>45108</v>
      </c>
      <c r="B200" s="263">
        <v>477.79884935483864</v>
      </c>
      <c r="C200" s="264">
        <f t="shared" si="3"/>
        <v>174.3965800145161</v>
      </c>
    </row>
    <row r="201" spans="1:3" ht="15.5" x14ac:dyDescent="0.35">
      <c r="A201" s="61">
        <v>45139</v>
      </c>
      <c r="B201" s="263">
        <v>480.92798999999997</v>
      </c>
      <c r="C201" s="264">
        <f t="shared" si="3"/>
        <v>175.53871634999999</v>
      </c>
    </row>
    <row r="202" spans="1:3" ht="15.5" x14ac:dyDescent="0.35">
      <c r="A202" s="61">
        <v>45170</v>
      </c>
      <c r="B202" s="263">
        <v>482.75576400000006</v>
      </c>
      <c r="C202" s="264">
        <f t="shared" si="3"/>
        <v>176.20585386000002</v>
      </c>
    </row>
    <row r="203" spans="1:3" ht="15.5" x14ac:dyDescent="0.35">
      <c r="A203" s="61">
        <v>45200</v>
      </c>
      <c r="B203" s="263">
        <v>482.48397903225811</v>
      </c>
      <c r="C203" s="264">
        <f t="shared" si="3"/>
        <v>176.10665234677421</v>
      </c>
    </row>
    <row r="204" spans="1:3" ht="15.5" x14ac:dyDescent="0.35">
      <c r="A204" s="61">
        <v>45231</v>
      </c>
      <c r="B204" s="263">
        <v>490.06810966666677</v>
      </c>
      <c r="C204" s="264">
        <f t="shared" si="3"/>
        <v>178.87486002833339</v>
      </c>
    </row>
    <row r="205" spans="1:3" ht="15.5" x14ac:dyDescent="0.35">
      <c r="A205" s="61">
        <v>45261</v>
      </c>
      <c r="B205" s="263">
        <v>486.0722627419355</v>
      </c>
      <c r="C205" s="264">
        <f t="shared" si="3"/>
        <v>177.41637590080646</v>
      </c>
    </row>
    <row r="206" spans="1:3" ht="15.5" x14ac:dyDescent="0.35">
      <c r="A206" s="61">
        <v>45292</v>
      </c>
      <c r="B206" s="263">
        <v>490.47198645161291</v>
      </c>
      <c r="C206" s="264">
        <f t="shared" si="3"/>
        <v>179.0222750548387</v>
      </c>
    </row>
    <row r="207" spans="1:3" ht="15.5" x14ac:dyDescent="0.35">
      <c r="A207" s="61">
        <v>45323</v>
      </c>
      <c r="B207" s="263">
        <v>485.67705137931034</v>
      </c>
      <c r="C207" s="264">
        <f t="shared" si="3"/>
        <v>177.27212375344828</v>
      </c>
    </row>
    <row r="208" spans="1:3" ht="15.5" x14ac:dyDescent="0.35">
      <c r="A208" s="61">
        <v>45352</v>
      </c>
      <c r="B208" s="263">
        <v>482.92113935483872</v>
      </c>
      <c r="C208" s="264">
        <f t="shared" si="3"/>
        <v>176.26621586451611</v>
      </c>
    </row>
    <row r="209" spans="1:3" ht="15.5" x14ac:dyDescent="0.35">
      <c r="A209" s="61">
        <v>45383</v>
      </c>
      <c r="B209" s="263">
        <v>482.28995833333335</v>
      </c>
      <c r="C209" s="264">
        <f t="shared" si="3"/>
        <v>176.03583479166667</v>
      </c>
    </row>
    <row r="210" spans="1:3" ht="15.5" x14ac:dyDescent="0.35">
      <c r="A210" s="61">
        <v>45413</v>
      </c>
      <c r="B210" s="263">
        <v>484.49472741935483</v>
      </c>
      <c r="C210" s="264">
        <f t="shared" si="3"/>
        <v>176.84057550806449</v>
      </c>
    </row>
    <row r="211" spans="1:3" ht="15.5" x14ac:dyDescent="0.35">
      <c r="A211" s="61">
        <v>45444</v>
      </c>
      <c r="B211" s="263">
        <v>446.7562006666667</v>
      </c>
      <c r="C211" s="264">
        <f t="shared" si="3"/>
        <v>163.06601324333334</v>
      </c>
    </row>
    <row r="212" spans="1:3" ht="15.5" x14ac:dyDescent="0.35">
      <c r="A212" s="61">
        <v>45474</v>
      </c>
      <c r="B212" s="263">
        <v>464.57696838709671</v>
      </c>
      <c r="C212" s="264">
        <f t="shared" si="3"/>
        <v>169.57059346129029</v>
      </c>
    </row>
    <row r="213" spans="1:3" ht="15.5" x14ac:dyDescent="0.35">
      <c r="A213" s="61">
        <v>45505</v>
      </c>
      <c r="B213" s="263">
        <v>477.12052612903227</v>
      </c>
      <c r="C213" s="264">
        <f t="shared" si="3"/>
        <v>174.14899203709678</v>
      </c>
    </row>
    <row r="214" spans="1:3" ht="15.5" x14ac:dyDescent="0.35">
      <c r="A214" s="61">
        <v>45536</v>
      </c>
      <c r="B214" s="263">
        <v>469.23656099999988</v>
      </c>
      <c r="C214" s="264">
        <f t="shared" si="3"/>
        <v>171.27134476499995</v>
      </c>
    </row>
    <row r="215" spans="1:3" ht="15.5" x14ac:dyDescent="0.35">
      <c r="A215" s="61">
        <v>45566</v>
      </c>
      <c r="B215" s="263">
        <v>471.74557258064505</v>
      </c>
      <c r="C215" s="264">
        <f t="shared" si="3"/>
        <v>172.18713399193544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F9D7-3C29-4699-ADDB-AB8CC5C9558E}">
  <dimension ref="A1:G241"/>
  <sheetViews>
    <sheetView tabSelected="1" topLeftCell="A142" workbookViewId="0">
      <selection activeCell="I159" sqref="I159"/>
    </sheetView>
  </sheetViews>
  <sheetFormatPr defaultRowHeight="14.5" x14ac:dyDescent="0.35"/>
  <cols>
    <col min="2" max="2" width="17" bestFit="1" customWidth="1"/>
    <col min="3" max="3" width="13.81640625" bestFit="1" customWidth="1"/>
    <col min="4" max="4" width="15.54296875" bestFit="1" customWidth="1"/>
    <col min="5" max="5" width="10.08984375" bestFit="1" customWidth="1"/>
  </cols>
  <sheetData>
    <row r="1" spans="1:5" x14ac:dyDescent="0.35">
      <c r="B1" t="s">
        <v>688</v>
      </c>
      <c r="C1" t="s">
        <v>687</v>
      </c>
      <c r="D1" t="s">
        <v>689</v>
      </c>
      <c r="E1" t="s">
        <v>690</v>
      </c>
    </row>
    <row r="2" spans="1:5" x14ac:dyDescent="0.35">
      <c r="A2" s="61">
        <v>39083</v>
      </c>
      <c r="B2" s="264">
        <f>oilprice!B86*oilprod!C2</f>
        <v>7591.0281155031616</v>
      </c>
    </row>
    <row r="3" spans="1:5" x14ac:dyDescent="0.35">
      <c r="A3" s="61">
        <v>39114</v>
      </c>
      <c r="B3" s="264">
        <f>oilprice!B87*oilprod!C3</f>
        <v>8570.0671573231593</v>
      </c>
    </row>
    <row r="4" spans="1:5" x14ac:dyDescent="0.35">
      <c r="A4" s="61">
        <v>39142</v>
      </c>
      <c r="B4" s="264">
        <f>oilprice!B88*oilprod!C4</f>
        <v>8511.1352389390631</v>
      </c>
    </row>
    <row r="5" spans="1:5" x14ac:dyDescent="0.35">
      <c r="A5" s="61">
        <v>39173</v>
      </c>
      <c r="B5" s="264">
        <f>oilprice!B89*oilprod!C5</f>
        <v>9604.1722414547985</v>
      </c>
    </row>
    <row r="6" spans="1:5" x14ac:dyDescent="0.35">
      <c r="A6" s="61">
        <v>39203</v>
      </c>
      <c r="B6" s="264">
        <f>oilprice!B90*oilprod!C6</f>
        <v>10044.323263616741</v>
      </c>
    </row>
    <row r="7" spans="1:5" x14ac:dyDescent="0.35">
      <c r="A7" s="61">
        <v>39234</v>
      </c>
      <c r="B7" s="264">
        <f>oilprice!B91*oilprod!C7</f>
        <v>10695.679500777698</v>
      </c>
    </row>
    <row r="8" spans="1:5" x14ac:dyDescent="0.35">
      <c r="A8" s="61">
        <v>39264</v>
      </c>
      <c r="B8" s="264">
        <f>oilprice!B92*oilprod!C8</f>
        <v>11855.491266858644</v>
      </c>
    </row>
    <row r="9" spans="1:5" x14ac:dyDescent="0.35">
      <c r="A9" s="61">
        <v>39295</v>
      </c>
      <c r="B9" s="264">
        <f>oilprice!B93*oilprod!C9</f>
        <v>11357.367198996999</v>
      </c>
    </row>
    <row r="10" spans="1:5" x14ac:dyDescent="0.35">
      <c r="A10" s="61">
        <v>39326</v>
      </c>
      <c r="B10" s="264">
        <f>oilprice!B94*oilprod!C10</f>
        <v>12202.165092178602</v>
      </c>
    </row>
    <row r="11" spans="1:5" x14ac:dyDescent="0.35">
      <c r="A11" s="61">
        <v>39356</v>
      </c>
      <c r="B11" s="264">
        <f>oilprice!B95*oilprod!C11</f>
        <v>13377.067138183742</v>
      </c>
    </row>
    <row r="12" spans="1:5" x14ac:dyDescent="0.35">
      <c r="A12" s="61">
        <v>39387</v>
      </c>
      <c r="B12" s="264">
        <f>oilprice!B96*oilprod!C12</f>
        <v>15090.896798434382</v>
      </c>
    </row>
    <row r="13" spans="1:5" x14ac:dyDescent="0.35">
      <c r="A13" s="61">
        <v>39417</v>
      </c>
      <c r="B13" s="264">
        <f>oilprice!B97*oilprod!C13</f>
        <v>14984.740938035782</v>
      </c>
      <c r="C13" s="264">
        <f>AVERAGE(B2:B13)</f>
        <v>11157.011162525232</v>
      </c>
      <c r="D13" s="91">
        <v>86.346000000000004</v>
      </c>
      <c r="E13" s="264">
        <f>C13/(D13/100)</f>
        <v>12921.28316601259</v>
      </c>
    </row>
    <row r="14" spans="1:5" x14ac:dyDescent="0.35">
      <c r="A14" s="61">
        <v>39448</v>
      </c>
      <c r="B14" s="264">
        <f>oilprice!B98*oilprod!C14</f>
        <v>14622.443044762904</v>
      </c>
    </row>
    <row r="15" spans="1:5" x14ac:dyDescent="0.35">
      <c r="A15" s="61">
        <v>39479</v>
      </c>
      <c r="B15" s="264">
        <f>oilprice!B99*oilprod!C15</f>
        <v>15209.165710278621</v>
      </c>
    </row>
    <row r="16" spans="1:5" x14ac:dyDescent="0.35">
      <c r="A16" s="61">
        <v>39508</v>
      </c>
      <c r="B16" s="264">
        <f>oilprice!B100*oilprod!C16</f>
        <v>16319.095934483323</v>
      </c>
    </row>
    <row r="17" spans="1:5" x14ac:dyDescent="0.35">
      <c r="A17" s="61">
        <v>39539</v>
      </c>
      <c r="B17" s="264">
        <f>oilprice!B101*oilprod!C17</f>
        <v>17554.174283327502</v>
      </c>
    </row>
    <row r="18" spans="1:5" x14ac:dyDescent="0.35">
      <c r="A18" s="61">
        <v>39569</v>
      </c>
      <c r="B18" s="264">
        <f>oilprice!B102*oilprod!C18</f>
        <v>19427.768683349423</v>
      </c>
    </row>
    <row r="19" spans="1:5" x14ac:dyDescent="0.35">
      <c r="A19" s="61">
        <v>39600</v>
      </c>
      <c r="B19" s="264">
        <f>oilprice!B103*oilprod!C19</f>
        <v>21195.991658059203</v>
      </c>
    </row>
    <row r="20" spans="1:5" x14ac:dyDescent="0.35">
      <c r="A20" s="61">
        <v>39630</v>
      </c>
      <c r="B20" s="264">
        <f>oilprice!B104*oilprod!C20</f>
        <v>20802.546883919425</v>
      </c>
    </row>
    <row r="21" spans="1:5" x14ac:dyDescent="0.35">
      <c r="A21" s="61">
        <v>39661</v>
      </c>
      <c r="B21" s="264">
        <f>oilprice!B105*oilprod!C21</f>
        <v>18302.688420257153</v>
      </c>
    </row>
    <row r="22" spans="1:5" x14ac:dyDescent="0.35">
      <c r="A22" s="61">
        <v>39692</v>
      </c>
      <c r="B22" s="264">
        <f>oilprice!B106*oilprod!C22</f>
        <v>16135.447800945401</v>
      </c>
    </row>
    <row r="23" spans="1:5" x14ac:dyDescent="0.35">
      <c r="A23" s="61">
        <v>39722</v>
      </c>
      <c r="B23" s="264">
        <f>oilprice!B107*oilprod!C23</f>
        <v>11566.87745988958</v>
      </c>
    </row>
    <row r="24" spans="1:5" x14ac:dyDescent="0.35">
      <c r="A24" s="61">
        <v>39753</v>
      </c>
      <c r="B24" s="264">
        <f>oilprice!B108*oilprod!C24</f>
        <v>8064.0193447913998</v>
      </c>
    </row>
    <row r="25" spans="1:5" x14ac:dyDescent="0.35">
      <c r="A25" s="61">
        <v>39783</v>
      </c>
      <c r="B25" s="264">
        <f>oilprice!B109*oilprod!C25</f>
        <v>4834.1999261735818</v>
      </c>
      <c r="C25" s="264">
        <f>AVERAGE(B14:B25)</f>
        <v>15336.201595853125</v>
      </c>
      <c r="D25" s="91">
        <v>88.016000000000005</v>
      </c>
      <c r="E25" s="264">
        <f>C25/(D25/100)</f>
        <v>17424.333752787134</v>
      </c>
    </row>
    <row r="26" spans="1:5" x14ac:dyDescent="0.35">
      <c r="A26" s="61">
        <v>39814</v>
      </c>
      <c r="B26" s="264">
        <f>oilprice!B110*oilprod!C26</f>
        <v>4923.5149091891126</v>
      </c>
    </row>
    <row r="27" spans="1:5" x14ac:dyDescent="0.35">
      <c r="A27" s="61">
        <v>39845</v>
      </c>
      <c r="B27" s="264">
        <f>oilprice!B111*oilprod!C27</f>
        <v>4845.8741305650001</v>
      </c>
    </row>
    <row r="28" spans="1:5" x14ac:dyDescent="0.35">
      <c r="A28" s="61">
        <v>39873</v>
      </c>
      <c r="B28" s="264">
        <f>oilprice!B112*oilprod!C28</f>
        <v>6588.0511673332267</v>
      </c>
    </row>
    <row r="29" spans="1:5" x14ac:dyDescent="0.35">
      <c r="A29" s="61">
        <v>39904</v>
      </c>
      <c r="B29" s="264">
        <f>oilprice!B113*oilprod!C29</f>
        <v>7222.3682910710413</v>
      </c>
    </row>
    <row r="30" spans="1:5" x14ac:dyDescent="0.35">
      <c r="A30" s="61">
        <v>39934</v>
      </c>
      <c r="B30" s="264">
        <f>oilprice!B114*oilprod!C30</f>
        <v>8891.1586841401931</v>
      </c>
    </row>
    <row r="31" spans="1:5" x14ac:dyDescent="0.35">
      <c r="A31" s="61">
        <v>39965</v>
      </c>
      <c r="B31" s="264">
        <f>oilprice!B115*oilprod!C31</f>
        <v>11262.222415681699</v>
      </c>
    </row>
    <row r="32" spans="1:5" x14ac:dyDescent="0.35">
      <c r="A32" s="61">
        <v>39995</v>
      </c>
      <c r="B32" s="264">
        <f>oilprice!B116*oilprod!C32</f>
        <v>9943.2664647514175</v>
      </c>
    </row>
    <row r="33" spans="1:5" x14ac:dyDescent="0.35">
      <c r="A33" s="61">
        <v>40026</v>
      </c>
      <c r="B33" s="264">
        <f>oilprice!B117*oilprod!C33</f>
        <v>11069.964883841951</v>
      </c>
    </row>
    <row r="34" spans="1:5" x14ac:dyDescent="0.35">
      <c r="A34" s="61">
        <v>40057</v>
      </c>
      <c r="B34" s="264">
        <f>oilprice!B118*oilprod!C34</f>
        <v>11118.330086933831</v>
      </c>
    </row>
    <row r="35" spans="1:5" x14ac:dyDescent="0.35">
      <c r="A35" s="61">
        <v>40087</v>
      </c>
      <c r="B35" s="264">
        <f>oilprice!B119*oilprod!C35</f>
        <v>11965.947774841528</v>
      </c>
    </row>
    <row r="36" spans="1:5" x14ac:dyDescent="0.35">
      <c r="A36" s="61">
        <v>40118</v>
      </c>
      <c r="B36" s="264">
        <f>oilprice!B120*oilprod!C36</f>
        <v>12264.267717699749</v>
      </c>
    </row>
    <row r="37" spans="1:5" x14ac:dyDescent="0.35">
      <c r="A37" s="61">
        <v>40148</v>
      </c>
      <c r="B37" s="264">
        <f>oilprice!B121*oilprod!C37</f>
        <v>11633.218012169684</v>
      </c>
      <c r="C37" s="264">
        <f>AVERAGE(B26:B37)</f>
        <v>9310.6820448515373</v>
      </c>
      <c r="D37" s="91">
        <v>88.555000000000007</v>
      </c>
      <c r="E37" s="264">
        <f>C37/(D37/100)</f>
        <v>10514.010552596168</v>
      </c>
    </row>
    <row r="38" spans="1:5" x14ac:dyDescent="0.35">
      <c r="A38" s="61">
        <v>40179</v>
      </c>
      <c r="B38" s="264">
        <f>oilprice!B122*oilprod!C38</f>
        <v>12272.8624366189</v>
      </c>
    </row>
    <row r="39" spans="1:5" x14ac:dyDescent="0.35">
      <c r="A39" s="61">
        <v>40210</v>
      </c>
      <c r="B39" s="264">
        <f>oilprice!B123*oilprod!C39</f>
        <v>11962.7269915875</v>
      </c>
    </row>
    <row r="40" spans="1:5" x14ac:dyDescent="0.35">
      <c r="A40" s="61">
        <v>40238</v>
      </c>
      <c r="B40" s="264">
        <f>oilprice!B124*oilprod!C40</f>
        <v>12768.512391153292</v>
      </c>
    </row>
    <row r="41" spans="1:5" x14ac:dyDescent="0.35">
      <c r="A41" s="61">
        <v>40269</v>
      </c>
      <c r="B41" s="264">
        <f>oilprice!B125*oilprod!C41</f>
        <v>13183.0675366004</v>
      </c>
    </row>
    <row r="42" spans="1:5" x14ac:dyDescent="0.35">
      <c r="A42" s="61">
        <v>40299</v>
      </c>
      <c r="B42" s="264">
        <f>oilprice!B126*oilprod!C42</f>
        <v>11385.19722646129</v>
      </c>
    </row>
    <row r="43" spans="1:5" x14ac:dyDescent="0.35">
      <c r="A43" s="61">
        <v>40330</v>
      </c>
      <c r="B43" s="264">
        <f>oilprice!B127*oilprod!C43</f>
        <v>11990.216925737919</v>
      </c>
    </row>
    <row r="44" spans="1:5" x14ac:dyDescent="0.35">
      <c r="A44" s="61">
        <v>40360</v>
      </c>
      <c r="B44" s="264">
        <f>oilprice!B128*oilprod!C44</f>
        <v>12383.155405296822</v>
      </c>
    </row>
    <row r="45" spans="1:5" x14ac:dyDescent="0.35">
      <c r="A45" s="61">
        <v>40391</v>
      </c>
      <c r="B45" s="264">
        <f>oilprice!B129*oilprod!C45</f>
        <v>12230.472142192741</v>
      </c>
    </row>
    <row r="46" spans="1:5" x14ac:dyDescent="0.35">
      <c r="A46" s="61">
        <v>40422</v>
      </c>
      <c r="B46" s="264">
        <f>oilprice!B130*oilprod!C46</f>
        <v>12019.252978330198</v>
      </c>
    </row>
    <row r="47" spans="1:5" x14ac:dyDescent="0.35">
      <c r="A47" s="61">
        <v>40452</v>
      </c>
      <c r="B47" s="264">
        <f>oilprice!B131*oilprod!C47</f>
        <v>13542.209614111836</v>
      </c>
    </row>
    <row r="48" spans="1:5" x14ac:dyDescent="0.35">
      <c r="A48" s="61">
        <v>40483</v>
      </c>
      <c r="B48" s="264">
        <f>oilprice!B132*oilprod!C48</f>
        <v>14329.327801327339</v>
      </c>
    </row>
    <row r="49" spans="1:5" x14ac:dyDescent="0.35">
      <c r="A49" s="61">
        <v>40513</v>
      </c>
      <c r="B49" s="264">
        <f>oilprice!B133*oilprod!C49</f>
        <v>14857.565386011236</v>
      </c>
      <c r="C49" s="264">
        <f>AVERAGE(B38:B49)</f>
        <v>12743.713902952457</v>
      </c>
      <c r="D49" s="91">
        <v>89.629000000000005</v>
      </c>
      <c r="E49" s="264">
        <f>C49/(D49/100)</f>
        <v>14218.293078080149</v>
      </c>
    </row>
    <row r="50" spans="1:5" x14ac:dyDescent="0.35">
      <c r="A50" s="61">
        <v>40544</v>
      </c>
      <c r="B50" s="264">
        <f>oilprice!B134*oilprod!C50</f>
        <v>15142.118061551519</v>
      </c>
    </row>
    <row r="51" spans="1:5" x14ac:dyDescent="0.35">
      <c r="A51" s="61">
        <v>40575</v>
      </c>
      <c r="B51" s="264">
        <f>oilprice!B135*oilprod!C51</f>
        <v>15520.220887858819</v>
      </c>
    </row>
    <row r="52" spans="1:5" x14ac:dyDescent="0.35">
      <c r="A52" s="61">
        <v>40603</v>
      </c>
      <c r="B52" s="264">
        <f>oilprice!B136*oilprod!C52</f>
        <v>18226.468987262342</v>
      </c>
    </row>
    <row r="53" spans="1:5" x14ac:dyDescent="0.35">
      <c r="A53" s="61">
        <v>40634</v>
      </c>
      <c r="B53" s="264">
        <f>oilprice!B137*oilprod!C53</f>
        <v>20240.578325290051</v>
      </c>
    </row>
    <row r="54" spans="1:5" x14ac:dyDescent="0.35">
      <c r="A54" s="61">
        <v>40664</v>
      </c>
      <c r="B54" s="264">
        <f>oilprice!B138*oilprod!C54</f>
        <v>18637.576903606598</v>
      </c>
    </row>
    <row r="55" spans="1:5" x14ac:dyDescent="0.35">
      <c r="A55" s="61">
        <v>40695</v>
      </c>
      <c r="B55" s="264">
        <f>oilprice!B139*oilprod!C55</f>
        <v>17563.394256441868</v>
      </c>
    </row>
    <row r="56" spans="1:5" x14ac:dyDescent="0.35">
      <c r="A56" s="61">
        <v>40725</v>
      </c>
      <c r="B56" s="264">
        <f>oilprice!B140*oilprod!C56</f>
        <v>17538.118068089032</v>
      </c>
    </row>
    <row r="57" spans="1:5" x14ac:dyDescent="0.35">
      <c r="A57" s="61">
        <v>40756</v>
      </c>
      <c r="B57" s="264">
        <f>oilprice!B141*oilprod!C57</f>
        <v>16009.059865584677</v>
      </c>
    </row>
    <row r="58" spans="1:5" x14ac:dyDescent="0.35">
      <c r="A58" s="61">
        <v>40787</v>
      </c>
      <c r="B58" s="264">
        <f>oilprice!B142*oilprod!C58</f>
        <v>17022.639909270601</v>
      </c>
    </row>
    <row r="59" spans="1:5" x14ac:dyDescent="0.35">
      <c r="A59" s="61">
        <v>40817</v>
      </c>
      <c r="B59" s="264">
        <f>oilprice!B143*oilprod!C59</f>
        <v>18565.492067544968</v>
      </c>
    </row>
    <row r="60" spans="1:5" x14ac:dyDescent="0.35">
      <c r="A60" s="61">
        <v>40848</v>
      </c>
      <c r="B60" s="264">
        <f>oilprice!B144*oilprod!C60</f>
        <v>20585.013062922008</v>
      </c>
    </row>
    <row r="61" spans="1:5" x14ac:dyDescent="0.35">
      <c r="A61" s="61">
        <v>40878</v>
      </c>
      <c r="B61" s="264">
        <f>oilprice!B145*oilprod!C61</f>
        <v>19245.842125067418</v>
      </c>
      <c r="C61" s="264">
        <f>AVERAGE(B50:B61)</f>
        <v>17858.043543374155</v>
      </c>
      <c r="D61" s="91">
        <v>91.477999999999994</v>
      </c>
      <c r="E61" s="264">
        <f>C61/(D61/100)</f>
        <v>19521.681216657729</v>
      </c>
    </row>
    <row r="62" spans="1:5" x14ac:dyDescent="0.35">
      <c r="A62" s="61">
        <v>40909</v>
      </c>
      <c r="B62" s="264">
        <f>oilprice!B146*oilprod!C62</f>
        <v>18349.789616642935</v>
      </c>
    </row>
    <row r="63" spans="1:5" x14ac:dyDescent="0.35">
      <c r="A63" s="61">
        <v>40940</v>
      </c>
      <c r="B63" s="264">
        <f>oilprice!B147*oilprod!C63</f>
        <v>19124.765458121208</v>
      </c>
    </row>
    <row r="64" spans="1:5" x14ac:dyDescent="0.35">
      <c r="A64" s="61">
        <v>40969</v>
      </c>
      <c r="B64" s="264">
        <f>oilprice!B148*oilprod!C64</f>
        <v>20495.270144427421</v>
      </c>
    </row>
    <row r="65" spans="1:5" x14ac:dyDescent="0.35">
      <c r="A65" s="61">
        <v>41000</v>
      </c>
      <c r="B65" s="264">
        <f>oilprice!B149*oilprod!C65</f>
        <v>20439.012661583693</v>
      </c>
    </row>
    <row r="66" spans="1:5" x14ac:dyDescent="0.35">
      <c r="A66" s="61">
        <v>41030</v>
      </c>
      <c r="B66" s="264">
        <f>oilprice!B150*oilprod!C66</f>
        <v>18438.234702484016</v>
      </c>
    </row>
    <row r="67" spans="1:5" x14ac:dyDescent="0.35">
      <c r="A67" s="61">
        <v>41061</v>
      </c>
      <c r="B67" s="264">
        <f>oilprice!B151*oilprod!C67</f>
        <v>15839.167677978336</v>
      </c>
    </row>
    <row r="68" spans="1:5" x14ac:dyDescent="0.35">
      <c r="A68" s="61">
        <v>41091</v>
      </c>
      <c r="B68" s="264">
        <f>oilprice!B152*oilprod!C68</f>
        <v>16765.929503372321</v>
      </c>
    </row>
    <row r="69" spans="1:5" x14ac:dyDescent="0.35">
      <c r="A69" s="61">
        <v>41122</v>
      </c>
      <c r="B69" s="264">
        <f>oilprice!B153*oilprod!C69</f>
        <v>17894.424339661367</v>
      </c>
    </row>
    <row r="70" spans="1:5" x14ac:dyDescent="0.35">
      <c r="A70" s="61">
        <v>41153</v>
      </c>
      <c r="B70" s="264">
        <f>oilprice!B154*oilprod!C70</f>
        <v>18439.085742358751</v>
      </c>
    </row>
    <row r="71" spans="1:5" x14ac:dyDescent="0.35">
      <c r="A71" s="61">
        <v>41183</v>
      </c>
      <c r="B71" s="264">
        <f>oilprice!B155*oilprod!C71</f>
        <v>17379.935892552741</v>
      </c>
    </row>
    <row r="72" spans="1:5" x14ac:dyDescent="0.35">
      <c r="A72" s="61">
        <v>41214</v>
      </c>
      <c r="B72" s="264">
        <f>oilprice!B156*oilprod!C72</f>
        <v>16836.127452956811</v>
      </c>
    </row>
    <row r="73" spans="1:5" x14ac:dyDescent="0.35">
      <c r="A73" s="61">
        <v>41244</v>
      </c>
      <c r="B73" s="264">
        <f>oilprice!B157*oilprod!C73</f>
        <v>17090.629795617551</v>
      </c>
      <c r="C73" s="264">
        <f>AVERAGE(B62:B73)</f>
        <v>18091.031082313093</v>
      </c>
      <c r="D73" s="91">
        <v>93.183999999999997</v>
      </c>
      <c r="E73" s="264">
        <f>C73/(D73/100)</f>
        <v>19414.310484968548</v>
      </c>
    </row>
    <row r="74" spans="1:5" x14ac:dyDescent="0.35">
      <c r="A74" s="61">
        <v>41275</v>
      </c>
      <c r="B74" s="264">
        <f>oilprice!B158*oilprod!C74</f>
        <v>18518.966559634093</v>
      </c>
    </row>
    <row r="75" spans="1:5" x14ac:dyDescent="0.35">
      <c r="A75" s="61">
        <v>41306</v>
      </c>
      <c r="B75" s="264">
        <f>oilprice!B159*oilprod!C75</f>
        <v>18668.302260598983</v>
      </c>
    </row>
    <row r="76" spans="1:5" x14ac:dyDescent="0.35">
      <c r="A76" s="61">
        <v>41334</v>
      </c>
      <c r="B76" s="264">
        <f>oilprice!B160*oilprod!C76</f>
        <v>18008.658363504997</v>
      </c>
    </row>
    <row r="77" spans="1:5" x14ac:dyDescent="0.35">
      <c r="A77" s="61">
        <v>41365</v>
      </c>
      <c r="B77" s="264">
        <f>oilprice!B161*oilprod!C77</f>
        <v>18052.239928488503</v>
      </c>
    </row>
    <row r="78" spans="1:5" x14ac:dyDescent="0.35">
      <c r="A78" s="61">
        <v>41395</v>
      </c>
      <c r="B78" s="264">
        <f>oilprice!B162*oilprod!C78</f>
        <v>18399.425160162482</v>
      </c>
    </row>
    <row r="79" spans="1:5" x14ac:dyDescent="0.35">
      <c r="A79" s="61">
        <v>41426</v>
      </c>
      <c r="B79" s="264">
        <f>oilprice!B163*oilprod!C79</f>
        <v>18144.409323090298</v>
      </c>
    </row>
    <row r="80" spans="1:5" x14ac:dyDescent="0.35">
      <c r="A80" s="61">
        <v>41456</v>
      </c>
      <c r="B80" s="264">
        <f>oilprice!B164*oilprod!C80</f>
        <v>19649.880370046198</v>
      </c>
    </row>
    <row r="81" spans="1:5" x14ac:dyDescent="0.35">
      <c r="A81" s="61">
        <v>41487</v>
      </c>
      <c r="B81" s="264">
        <f>oilprice!B165*oilprod!C81</f>
        <v>19189.721561514289</v>
      </c>
    </row>
    <row r="82" spans="1:5" x14ac:dyDescent="0.35">
      <c r="A82" s="61">
        <v>41518</v>
      </c>
      <c r="B82" s="264">
        <f>oilprice!B166*oilprod!C82</f>
        <v>19058.849879447695</v>
      </c>
    </row>
    <row r="83" spans="1:5" x14ac:dyDescent="0.35">
      <c r="A83" s="61">
        <v>41548</v>
      </c>
      <c r="B83" s="264">
        <f>oilprice!B167*oilprod!C83</f>
        <v>18167.373116376584</v>
      </c>
    </row>
    <row r="84" spans="1:5" x14ac:dyDescent="0.35">
      <c r="A84" s="61">
        <v>41579</v>
      </c>
      <c r="B84" s="264">
        <f>oilprice!B168*oilprod!C84</f>
        <v>16834.729614671152</v>
      </c>
    </row>
    <row r="85" spans="1:5" x14ac:dyDescent="0.35">
      <c r="A85" s="61">
        <v>41609</v>
      </c>
      <c r="B85" s="264">
        <f>oilprice!B169*oilprod!C85</f>
        <v>18155.524579599936</v>
      </c>
      <c r="C85" s="264">
        <f>AVERAGE(B74:B85)</f>
        <v>18404.006726427931</v>
      </c>
      <c r="D85" s="91">
        <v>94.766999999999996</v>
      </c>
      <c r="E85" s="264">
        <f>C85/(D85/100)</f>
        <v>19420.269425462378</v>
      </c>
    </row>
    <row r="86" spans="1:5" x14ac:dyDescent="0.35">
      <c r="A86" s="61">
        <v>41640</v>
      </c>
      <c r="B86" s="264">
        <f>oilprice!B170*oilprod!C86</f>
        <v>18399.365414268548</v>
      </c>
    </row>
    <row r="87" spans="1:5" x14ac:dyDescent="0.35">
      <c r="A87" s="61">
        <v>41671</v>
      </c>
      <c r="B87" s="264">
        <f>oilprice!B171*oilprod!C87</f>
        <v>19774.203819046495</v>
      </c>
    </row>
    <row r="88" spans="1:5" x14ac:dyDescent="0.35">
      <c r="A88" s="61">
        <v>41699</v>
      </c>
      <c r="B88" s="264">
        <f>oilprice!B172*oilprod!C88</f>
        <v>19617.530281638195</v>
      </c>
    </row>
    <row r="89" spans="1:5" x14ac:dyDescent="0.35">
      <c r="A89" s="61">
        <v>41730</v>
      </c>
      <c r="B89" s="264">
        <f>oilprice!B173*oilprod!C89</f>
        <v>20087.012802950929</v>
      </c>
    </row>
    <row r="90" spans="1:5" x14ac:dyDescent="0.35">
      <c r="A90" s="61">
        <v>41760</v>
      </c>
      <c r="B90" s="264">
        <f>oilprice!B174*oilprod!C90</f>
        <v>19416.050323272917</v>
      </c>
    </row>
    <row r="91" spans="1:5" x14ac:dyDescent="0.35">
      <c r="A91" s="61">
        <v>41791</v>
      </c>
      <c r="B91" s="264">
        <f>oilprice!B175*oilprod!C91</f>
        <v>20111.410855808252</v>
      </c>
    </row>
    <row r="92" spans="1:5" x14ac:dyDescent="0.35">
      <c r="A92" s="61">
        <v>41821</v>
      </c>
      <c r="B92" s="264">
        <f>oilprice!B176*oilprod!C92</f>
        <v>18563.335315955399</v>
      </c>
    </row>
    <row r="93" spans="1:5" x14ac:dyDescent="0.35">
      <c r="A93" s="61">
        <v>41852</v>
      </c>
      <c r="B93" s="264">
        <f>oilprice!B177*oilprod!C93</f>
        <v>17583.558290885823</v>
      </c>
    </row>
    <row r="94" spans="1:5" x14ac:dyDescent="0.35">
      <c r="A94" s="61">
        <v>41883</v>
      </c>
      <c r="B94" s="264">
        <f>oilprice!B178*oilprod!C94</f>
        <v>16790.607357870835</v>
      </c>
    </row>
    <row r="95" spans="1:5" x14ac:dyDescent="0.35">
      <c r="A95" s="61">
        <v>41913</v>
      </c>
      <c r="B95" s="264">
        <f>oilprice!B179*oilprod!C95</f>
        <v>14898.294284239515</v>
      </c>
    </row>
    <row r="96" spans="1:5" x14ac:dyDescent="0.35">
      <c r="A96" s="61">
        <v>41944</v>
      </c>
      <c r="B96" s="264">
        <f>oilprice!B180*oilprod!C96</f>
        <v>12623.756126182085</v>
      </c>
    </row>
    <row r="97" spans="1:5" x14ac:dyDescent="0.35">
      <c r="A97" s="61">
        <v>41974</v>
      </c>
      <c r="B97" s="264">
        <f>oilprice!B181*oilprod!C97</f>
        <v>9226.2708057712898</v>
      </c>
      <c r="C97" s="264">
        <f>AVERAGE(B86:B97)</f>
        <v>17257.616306490858</v>
      </c>
      <c r="D97" s="91">
        <v>96.417000000000002</v>
      </c>
      <c r="E97" s="264">
        <f>C97/(D97/100)</f>
        <v>17898.935153023696</v>
      </c>
    </row>
    <row r="98" spans="1:5" x14ac:dyDescent="0.35">
      <c r="A98" s="61">
        <v>42005</v>
      </c>
      <c r="B98" s="264">
        <f>oilprice!B182*oilprod!C98</f>
        <v>8427.2820104661569</v>
      </c>
    </row>
    <row r="99" spans="1:5" x14ac:dyDescent="0.35">
      <c r="A99" s="61">
        <v>42036</v>
      </c>
      <c r="B99" s="264">
        <f>oilprice!B183*oilprod!C99</f>
        <v>8286.6062782636527</v>
      </c>
    </row>
    <row r="100" spans="1:5" x14ac:dyDescent="0.35">
      <c r="A100" s="61">
        <v>42064</v>
      </c>
      <c r="B100" s="264">
        <f>oilprice!B184*oilprod!C100</f>
        <v>8627.08789647298</v>
      </c>
    </row>
    <row r="101" spans="1:5" x14ac:dyDescent="0.35">
      <c r="A101" s="61">
        <v>42095</v>
      </c>
      <c r="B101" s="264">
        <f>oilprice!B185*oilprod!C101</f>
        <v>10966.264191806527</v>
      </c>
    </row>
    <row r="102" spans="1:5" x14ac:dyDescent="0.35">
      <c r="A102" s="61">
        <v>42125</v>
      </c>
      <c r="B102" s="264">
        <f>oilprice!B186*oilprod!C102</f>
        <v>11209.827391336867</v>
      </c>
    </row>
    <row r="103" spans="1:5" x14ac:dyDescent="0.35">
      <c r="A103" s="61">
        <v>42156</v>
      </c>
      <c r="B103" s="264">
        <f>oilprice!B187*oilprod!C103</f>
        <v>10502.323931188906</v>
      </c>
    </row>
    <row r="104" spans="1:5" x14ac:dyDescent="0.35">
      <c r="A104" s="61">
        <v>42186</v>
      </c>
      <c r="B104" s="264">
        <f>oilprice!B188*oilprod!C104</f>
        <v>8142.6864727768425</v>
      </c>
    </row>
    <row r="105" spans="1:5" x14ac:dyDescent="0.35">
      <c r="A105" s="61">
        <v>42217</v>
      </c>
      <c r="B105" s="264">
        <f>oilprice!B189*oilprod!C105</f>
        <v>7206.2906649908</v>
      </c>
    </row>
    <row r="106" spans="1:5" x14ac:dyDescent="0.35">
      <c r="A106" s="61">
        <v>42248</v>
      </c>
      <c r="B106" s="264">
        <f>oilprice!B190*oilprod!C106</f>
        <v>7892.277367952548</v>
      </c>
    </row>
    <row r="107" spans="1:5" x14ac:dyDescent="0.35">
      <c r="A107" s="61">
        <v>42278</v>
      </c>
      <c r="B107" s="264">
        <f>oilprice!B191*oilprod!C107</f>
        <v>7433.1255418477394</v>
      </c>
    </row>
    <row r="108" spans="1:5" x14ac:dyDescent="0.35">
      <c r="A108" s="61">
        <v>42309</v>
      </c>
      <c r="B108" s="264">
        <f>oilprice!B192*oilprod!C108</f>
        <v>6103.9461538722007</v>
      </c>
    </row>
    <row r="109" spans="1:5" x14ac:dyDescent="0.35">
      <c r="A109" s="61">
        <v>42339</v>
      </c>
      <c r="B109" s="264">
        <f>oilprice!B193*oilprod!C109</f>
        <v>5268.8613610003913</v>
      </c>
      <c r="C109" s="264">
        <f>AVERAGE(B98:B109)</f>
        <v>8338.8816051646336</v>
      </c>
      <c r="D109" s="91">
        <v>97.314999999999998</v>
      </c>
      <c r="E109" s="264">
        <f>C109/(D109/100)</f>
        <v>8568.9581309814876</v>
      </c>
    </row>
    <row r="110" spans="1:5" x14ac:dyDescent="0.35">
      <c r="A110" s="61">
        <v>42370</v>
      </c>
      <c r="B110" s="264">
        <f>oilprice!B194*oilprod!C110</f>
        <v>4239.8375103174367</v>
      </c>
    </row>
    <row r="111" spans="1:5" x14ac:dyDescent="0.35">
      <c r="A111" s="61">
        <v>42401</v>
      </c>
      <c r="B111" s="264">
        <f>oilprice!B195*oilprod!C111</f>
        <v>4427.3506324902601</v>
      </c>
    </row>
    <row r="112" spans="1:5" x14ac:dyDescent="0.35">
      <c r="A112" s="61">
        <v>42430</v>
      </c>
      <c r="B112" s="264">
        <f>oilprice!B196*oilprod!C112</f>
        <v>5726.0687102759348</v>
      </c>
    </row>
    <row r="113" spans="1:5" x14ac:dyDescent="0.35">
      <c r="A113" s="61">
        <v>42461</v>
      </c>
      <c r="B113" s="264">
        <f>oilprice!B197*oilprod!C113</f>
        <v>6949.1285663073004</v>
      </c>
    </row>
    <row r="114" spans="1:5" x14ac:dyDescent="0.35">
      <c r="A114" s="61">
        <v>42491</v>
      </c>
      <c r="B114" s="264">
        <f>oilprice!B198*oilprod!C114</f>
        <v>7624.9066970859058</v>
      </c>
    </row>
    <row r="115" spans="1:5" x14ac:dyDescent="0.35">
      <c r="A115" s="61">
        <v>42522</v>
      </c>
      <c r="B115" s="264">
        <f>oilprice!B199*oilprod!C115</f>
        <v>8015.3987782682452</v>
      </c>
    </row>
    <row r="116" spans="1:5" x14ac:dyDescent="0.35">
      <c r="A116" s="61">
        <v>42552</v>
      </c>
      <c r="B116" s="264">
        <f>oilprice!B200*oilprod!C116</f>
        <v>7017.3582919170176</v>
      </c>
    </row>
    <row r="117" spans="1:5" x14ac:dyDescent="0.35">
      <c r="A117" s="61">
        <v>42583</v>
      </c>
      <c r="B117" s="264">
        <f>oilprice!B201*oilprod!C117</f>
        <v>7385.6007090282601</v>
      </c>
    </row>
    <row r="118" spans="1:5" x14ac:dyDescent="0.35">
      <c r="A118" s="61">
        <v>42614</v>
      </c>
      <c r="B118" s="264">
        <f>oilprice!B202*oilprod!C118</f>
        <v>7930.2944567767736</v>
      </c>
    </row>
    <row r="119" spans="1:5" x14ac:dyDescent="0.35">
      <c r="A119" s="61">
        <v>42644</v>
      </c>
      <c r="B119" s="264">
        <f>oilprice!B203*oilprod!C119</f>
        <v>8252.2920084601428</v>
      </c>
    </row>
    <row r="120" spans="1:5" x14ac:dyDescent="0.35">
      <c r="A120" s="61">
        <v>42675</v>
      </c>
      <c r="B120" s="264">
        <f>oilprice!B204*oilprod!C120</f>
        <v>7694.1446661662312</v>
      </c>
    </row>
    <row r="121" spans="1:5" x14ac:dyDescent="0.35">
      <c r="A121" s="61">
        <v>42705</v>
      </c>
      <c r="B121" s="264">
        <f>oilprice!B205*oilprod!C121</f>
        <v>8781.8708747707751</v>
      </c>
      <c r="C121" s="264">
        <f>AVERAGE(B110:B121)</f>
        <v>7003.6876584886913</v>
      </c>
      <c r="D121" s="91">
        <v>98.238</v>
      </c>
      <c r="E121" s="264">
        <f>C121/(D121/100)</f>
        <v>7129.3060307505148</v>
      </c>
    </row>
    <row r="122" spans="1:5" x14ac:dyDescent="0.35">
      <c r="A122" s="61">
        <v>42736</v>
      </c>
      <c r="B122" s="264">
        <f>oilprice!B206*oilprod!C122</f>
        <v>8761.7929486557769</v>
      </c>
    </row>
    <row r="123" spans="1:5" x14ac:dyDescent="0.35">
      <c r="A123" s="61">
        <v>42767</v>
      </c>
      <c r="B123" s="264">
        <f>oilprice!B207*oilprod!C123</f>
        <v>8659.3030882029561</v>
      </c>
    </row>
    <row r="124" spans="1:5" x14ac:dyDescent="0.35">
      <c r="A124" s="61">
        <v>42795</v>
      </c>
      <c r="B124" s="264">
        <f>oilprice!B208*oilprod!C124</f>
        <v>8273.7081948672003</v>
      </c>
    </row>
    <row r="125" spans="1:5" x14ac:dyDescent="0.35">
      <c r="A125" s="61">
        <v>42826</v>
      </c>
      <c r="B125" s="264">
        <f>oilprice!B209*oilprod!C125</f>
        <v>8615.1147229434082</v>
      </c>
    </row>
    <row r="126" spans="1:5" x14ac:dyDescent="0.35">
      <c r="A126" s="61">
        <v>42856</v>
      </c>
      <c r="B126" s="264">
        <f>oilprice!B210*oilprod!C126</f>
        <v>8063.1105527126238</v>
      </c>
    </row>
    <row r="127" spans="1:5" x14ac:dyDescent="0.35">
      <c r="A127" s="61">
        <v>42887</v>
      </c>
      <c r="B127" s="264">
        <f>oilprice!B211*oilprod!C127</f>
        <v>7927.5770258653074</v>
      </c>
    </row>
    <row r="128" spans="1:5" x14ac:dyDescent="0.35">
      <c r="A128" s="61">
        <v>42917</v>
      </c>
      <c r="B128" s="264">
        <f>oilprice!B212*oilprod!C128</f>
        <v>8049.5639466383918</v>
      </c>
    </row>
    <row r="129" spans="1:5" x14ac:dyDescent="0.35">
      <c r="A129" s="61">
        <v>42948</v>
      </c>
      <c r="B129" s="264">
        <f>oilprice!B213*oilprod!C129</f>
        <v>8418.1807991249188</v>
      </c>
    </row>
    <row r="130" spans="1:5" x14ac:dyDescent="0.35">
      <c r="A130" s="61">
        <v>42979</v>
      </c>
      <c r="B130" s="264">
        <f>oilprice!B214*oilprod!C130</f>
        <v>9021.7311368049013</v>
      </c>
    </row>
    <row r="131" spans="1:5" x14ac:dyDescent="0.35">
      <c r="A131" s="61">
        <v>43009</v>
      </c>
      <c r="B131" s="264">
        <f>oilprice!B215*oilprod!C131</f>
        <v>9676.6711140919451</v>
      </c>
    </row>
    <row r="132" spans="1:5" x14ac:dyDescent="0.35">
      <c r="A132" s="61">
        <v>43040</v>
      </c>
      <c r="B132" s="264">
        <f>oilprice!B216*oilprod!C132</f>
        <v>10386.130164712877</v>
      </c>
    </row>
    <row r="133" spans="1:5" x14ac:dyDescent="0.35">
      <c r="A133" s="61">
        <v>43070</v>
      </c>
      <c r="B133" s="264">
        <f>oilprice!B217*oilprod!C133</f>
        <v>10706.860960185941</v>
      </c>
      <c r="C133" s="264">
        <f>AVERAGE(B122:B133)</f>
        <v>8879.9787212338524</v>
      </c>
      <c r="D133" s="91">
        <v>99.995000000000005</v>
      </c>
      <c r="E133" s="264">
        <f>C133/(D133/100)</f>
        <v>8880.4227423709708</v>
      </c>
    </row>
    <row r="134" spans="1:5" x14ac:dyDescent="0.35">
      <c r="A134" s="61">
        <v>43101</v>
      </c>
      <c r="B134" s="264">
        <f>oilprice!B218*oilprod!C134</f>
        <v>11298.49645612223</v>
      </c>
    </row>
    <row r="135" spans="1:5" x14ac:dyDescent="0.35">
      <c r="A135" s="61">
        <v>43132</v>
      </c>
      <c r="B135" s="264">
        <f>oilprice!B219*oilprod!C135</f>
        <v>10773.788602867651</v>
      </c>
    </row>
    <row r="136" spans="1:5" x14ac:dyDescent="0.35">
      <c r="A136" s="61">
        <v>43160</v>
      </c>
      <c r="B136" s="264">
        <f>oilprice!B220*oilprod!C136</f>
        <v>10639.115936067423</v>
      </c>
    </row>
    <row r="137" spans="1:5" x14ac:dyDescent="0.35">
      <c r="A137" s="61">
        <v>43191</v>
      </c>
      <c r="B137" s="264">
        <f>oilprice!B221*oilprod!C137</f>
        <v>11373.97239136831</v>
      </c>
    </row>
    <row r="138" spans="1:5" x14ac:dyDescent="0.35">
      <c r="A138" s="61">
        <v>43221</v>
      </c>
      <c r="B138" s="264">
        <f>oilprice!B222*oilprod!C138</f>
        <v>11955.113482508981</v>
      </c>
    </row>
    <row r="139" spans="1:5" x14ac:dyDescent="0.35">
      <c r="A139" s="61">
        <v>43252</v>
      </c>
      <c r="B139" s="264">
        <f>oilprice!B223*oilprod!C139</f>
        <v>11683.317722633137</v>
      </c>
    </row>
    <row r="140" spans="1:5" x14ac:dyDescent="0.35">
      <c r="A140" s="61">
        <v>43282</v>
      </c>
      <c r="B140" s="264">
        <f>oilprice!B224*oilprod!C140</f>
        <v>12826.640147943925</v>
      </c>
    </row>
    <row r="141" spans="1:5" x14ac:dyDescent="0.35">
      <c r="A141" s="61">
        <v>43313</v>
      </c>
      <c r="B141" s="264">
        <f>oilprice!B225*oilprod!C141</f>
        <v>11839.068517470789</v>
      </c>
    </row>
    <row r="142" spans="1:5" x14ac:dyDescent="0.35">
      <c r="A142" s="61">
        <v>43344</v>
      </c>
      <c r="B142" s="264">
        <f>oilprice!B226*oilprod!C142</f>
        <v>12546.035448461447</v>
      </c>
    </row>
    <row r="143" spans="1:5" x14ac:dyDescent="0.35">
      <c r="A143" s="61">
        <v>43374</v>
      </c>
      <c r="B143" s="264">
        <f>oilprice!B227*oilprod!C143</f>
        <v>12790.753563993872</v>
      </c>
    </row>
    <row r="144" spans="1:5" x14ac:dyDescent="0.35">
      <c r="A144" s="61">
        <v>43405</v>
      </c>
      <c r="B144" s="264">
        <f>oilprice!B228*oilprod!C144</f>
        <v>10377.709482829354</v>
      </c>
    </row>
    <row r="145" spans="1:7" x14ac:dyDescent="0.35">
      <c r="A145" s="61">
        <v>43435</v>
      </c>
      <c r="B145" s="264">
        <f>oilprice!B229*oilprod!C145</f>
        <v>8820.5885887747245</v>
      </c>
      <c r="C145" s="264">
        <f>AVERAGE(B134:B145)</f>
        <v>11410.383361753486</v>
      </c>
      <c r="D145" s="91">
        <v>102.288</v>
      </c>
      <c r="E145" s="264">
        <f>C145/(D145/100)</f>
        <v>11155.1534507992</v>
      </c>
    </row>
    <row r="146" spans="1:7" x14ac:dyDescent="0.35">
      <c r="A146" s="61">
        <v>43466</v>
      </c>
      <c r="B146" s="264">
        <f>oilprice!B230*oilprod!C146</f>
        <v>9335.384203183934</v>
      </c>
    </row>
    <row r="147" spans="1:7" x14ac:dyDescent="0.35">
      <c r="A147" s="61">
        <v>43497</v>
      </c>
      <c r="B147" s="264">
        <f>oilprice!B231*oilprod!C147</f>
        <v>10445.994630433184</v>
      </c>
    </row>
    <row r="148" spans="1:7" x14ac:dyDescent="0.35">
      <c r="A148" s="61">
        <v>43525</v>
      </c>
      <c r="B148" s="264">
        <f>oilprice!B232*oilprod!C148</f>
        <v>11281.211116336868</v>
      </c>
    </row>
    <row r="149" spans="1:7" x14ac:dyDescent="0.35">
      <c r="A149" s="61">
        <v>43556</v>
      </c>
      <c r="B149" s="264">
        <f>oilprice!B233*oilprod!C149</f>
        <v>12499.722285548811</v>
      </c>
    </row>
    <row r="150" spans="1:7" x14ac:dyDescent="0.35">
      <c r="A150" s="61">
        <v>43586</v>
      </c>
      <c r="B150" s="264">
        <f>oilprice!B234*oilprod!C150</f>
        <v>11731.584145357341</v>
      </c>
    </row>
    <row r="151" spans="1:7" x14ac:dyDescent="0.35">
      <c r="A151" s="61">
        <v>43617</v>
      </c>
      <c r="B151" s="264">
        <f>oilprice!B235*oilprod!C151</f>
        <v>10668.83500140005</v>
      </c>
    </row>
    <row r="152" spans="1:7" x14ac:dyDescent="0.35">
      <c r="A152" s="61">
        <v>43647</v>
      </c>
      <c r="B152" s="264">
        <f>oilprice!B236*oilprod!C152</f>
        <v>11308.296414636136</v>
      </c>
    </row>
    <row r="153" spans="1:7" x14ac:dyDescent="0.35">
      <c r="A153" s="61">
        <v>43678</v>
      </c>
      <c r="B153" s="264">
        <f>oilprice!B237*oilprod!C153</f>
        <v>10849.215711129782</v>
      </c>
    </row>
    <row r="154" spans="1:7" x14ac:dyDescent="0.35">
      <c r="A154" s="61">
        <v>43709</v>
      </c>
      <c r="B154" s="264">
        <f>oilprice!B238*oilprod!C154</f>
        <v>10727.529980335266</v>
      </c>
    </row>
    <row r="155" spans="1:7" x14ac:dyDescent="0.35">
      <c r="A155" s="61">
        <v>43739</v>
      </c>
      <c r="B155" s="264">
        <f>oilprice!B239*oilprod!C155</f>
        <v>8569.2853993924127</v>
      </c>
    </row>
    <row r="156" spans="1:7" x14ac:dyDescent="0.35">
      <c r="A156" s="61">
        <v>43770</v>
      </c>
      <c r="B156" s="264">
        <f>oilprice!B240*oilprod!C156</f>
        <v>10374.711005424326</v>
      </c>
    </row>
    <row r="157" spans="1:7" x14ac:dyDescent="0.35">
      <c r="A157" s="61">
        <v>43800</v>
      </c>
      <c r="B157" s="264">
        <f>oilprice!B241*oilprod!C157</f>
        <v>10687.25994638568</v>
      </c>
      <c r="C157" s="264">
        <f>AVERAGE(B146:B157)</f>
        <v>10706.585819963648</v>
      </c>
      <c r="D157" s="91">
        <v>103.97499999999999</v>
      </c>
      <c r="E157" s="264">
        <f>C157/(D157/100)</f>
        <v>10297.26936279264</v>
      </c>
    </row>
    <row r="158" spans="1:7" x14ac:dyDescent="0.35">
      <c r="A158" s="61"/>
      <c r="B158" s="264"/>
      <c r="F158" t="s">
        <v>691</v>
      </c>
      <c r="G158">
        <f>_xlfn.STDEV.S(E2:E157)</f>
        <v>4587.4574005696832</v>
      </c>
    </row>
    <row r="159" spans="1:7" x14ac:dyDescent="0.35">
      <c r="A159" s="61"/>
      <c r="B159" s="264"/>
      <c r="F159" t="s">
        <v>692</v>
      </c>
      <c r="G159">
        <f>G158/4</f>
        <v>1146.8643501424208</v>
      </c>
    </row>
    <row r="160" spans="1:7" x14ac:dyDescent="0.35">
      <c r="A160" s="61"/>
      <c r="B160" s="264"/>
    </row>
    <row r="161" spans="1:2" x14ac:dyDescent="0.35">
      <c r="A161" s="61"/>
      <c r="B161" s="264"/>
    </row>
    <row r="162" spans="1:2" x14ac:dyDescent="0.35">
      <c r="A162" s="61"/>
      <c r="B162" s="264"/>
    </row>
    <row r="163" spans="1:2" x14ac:dyDescent="0.35">
      <c r="A163" s="61"/>
      <c r="B163" s="264"/>
    </row>
    <row r="164" spans="1:2" x14ac:dyDescent="0.35">
      <c r="A164" s="61"/>
      <c r="B164" s="264"/>
    </row>
    <row r="165" spans="1:2" x14ac:dyDescent="0.35">
      <c r="A165" s="61"/>
      <c r="B165" s="264"/>
    </row>
    <row r="166" spans="1:2" x14ac:dyDescent="0.35">
      <c r="A166" s="61"/>
      <c r="B166" s="264"/>
    </row>
    <row r="167" spans="1:2" x14ac:dyDescent="0.35">
      <c r="A167" s="61"/>
      <c r="B167" s="264"/>
    </row>
    <row r="168" spans="1:2" x14ac:dyDescent="0.35">
      <c r="A168" s="61"/>
      <c r="B168" s="264"/>
    </row>
    <row r="169" spans="1:2" x14ac:dyDescent="0.35">
      <c r="A169" s="61"/>
      <c r="B169" s="264"/>
    </row>
    <row r="170" spans="1:2" x14ac:dyDescent="0.35">
      <c r="A170" s="61"/>
      <c r="B170" s="264"/>
    </row>
    <row r="171" spans="1:2" x14ac:dyDescent="0.35">
      <c r="A171" s="61"/>
      <c r="B171" s="264"/>
    </row>
    <row r="172" spans="1:2" x14ac:dyDescent="0.35">
      <c r="A172" s="61"/>
      <c r="B172" s="264"/>
    </row>
    <row r="173" spans="1:2" x14ac:dyDescent="0.35">
      <c r="A173" s="61"/>
      <c r="B173" s="264"/>
    </row>
    <row r="174" spans="1:2" x14ac:dyDescent="0.35">
      <c r="A174" s="61"/>
      <c r="B174" s="264"/>
    </row>
    <row r="175" spans="1:2" x14ac:dyDescent="0.35">
      <c r="A175" s="61"/>
      <c r="B175" s="264"/>
    </row>
    <row r="176" spans="1:2" x14ac:dyDescent="0.35">
      <c r="A176" s="61"/>
      <c r="B176" s="264"/>
    </row>
    <row r="177" spans="1:2" x14ac:dyDescent="0.35">
      <c r="A177" s="61"/>
      <c r="B177" s="264"/>
    </row>
    <row r="178" spans="1:2" x14ac:dyDescent="0.35">
      <c r="A178" s="61"/>
      <c r="B178" s="264"/>
    </row>
    <row r="179" spans="1:2" x14ac:dyDescent="0.35">
      <c r="A179" s="61"/>
      <c r="B179" s="264"/>
    </row>
    <row r="180" spans="1:2" x14ac:dyDescent="0.35">
      <c r="A180" s="61"/>
      <c r="B180" s="264"/>
    </row>
    <row r="181" spans="1:2" x14ac:dyDescent="0.35">
      <c r="A181" s="61"/>
      <c r="B181" s="264"/>
    </row>
    <row r="182" spans="1:2" x14ac:dyDescent="0.35">
      <c r="A182" s="61"/>
      <c r="B182" s="264"/>
    </row>
    <row r="183" spans="1:2" x14ac:dyDescent="0.35">
      <c r="A183" s="61"/>
      <c r="B183" s="264"/>
    </row>
    <row r="184" spans="1:2" x14ac:dyDescent="0.35">
      <c r="A184" s="61"/>
      <c r="B184" s="264"/>
    </row>
    <row r="185" spans="1:2" x14ac:dyDescent="0.35">
      <c r="A185" s="61"/>
      <c r="B185" s="264"/>
    </row>
    <row r="186" spans="1:2" x14ac:dyDescent="0.35">
      <c r="A186" s="61"/>
      <c r="B186" s="264"/>
    </row>
    <row r="187" spans="1:2" x14ac:dyDescent="0.35">
      <c r="A187" s="61"/>
      <c r="B187" s="264"/>
    </row>
    <row r="188" spans="1:2" x14ac:dyDescent="0.35">
      <c r="A188" s="61"/>
      <c r="B188" s="264"/>
    </row>
    <row r="189" spans="1:2" x14ac:dyDescent="0.35">
      <c r="A189" s="61"/>
      <c r="B189" s="264"/>
    </row>
    <row r="190" spans="1:2" x14ac:dyDescent="0.35">
      <c r="A190" s="61"/>
      <c r="B190" s="264"/>
    </row>
    <row r="191" spans="1:2" x14ac:dyDescent="0.35">
      <c r="A191" s="61"/>
      <c r="B191" s="264"/>
    </row>
    <row r="192" spans="1:2" x14ac:dyDescent="0.35">
      <c r="A192" s="61"/>
      <c r="B192" s="264"/>
    </row>
    <row r="193" spans="1:2" x14ac:dyDescent="0.35">
      <c r="A193" s="61"/>
      <c r="B193" s="264"/>
    </row>
    <row r="194" spans="1:2" x14ac:dyDescent="0.35">
      <c r="A194" s="61"/>
      <c r="B194" s="264"/>
    </row>
    <row r="195" spans="1:2" x14ac:dyDescent="0.35">
      <c r="A195" s="61"/>
      <c r="B195" s="264"/>
    </row>
    <row r="196" spans="1:2" x14ac:dyDescent="0.35">
      <c r="A196" s="61"/>
      <c r="B196" s="264"/>
    </row>
    <row r="197" spans="1:2" x14ac:dyDescent="0.35">
      <c r="A197" s="61"/>
      <c r="B197" s="264"/>
    </row>
    <row r="198" spans="1:2" x14ac:dyDescent="0.35">
      <c r="A198" s="61"/>
      <c r="B198" s="264"/>
    </row>
    <row r="199" spans="1:2" x14ac:dyDescent="0.35">
      <c r="A199" s="61"/>
      <c r="B199" s="264"/>
    </row>
    <row r="200" spans="1:2" x14ac:dyDescent="0.35">
      <c r="A200" s="61"/>
      <c r="B200" s="264"/>
    </row>
    <row r="201" spans="1:2" x14ac:dyDescent="0.35">
      <c r="A201" s="61"/>
      <c r="B201" s="264"/>
    </row>
    <row r="202" spans="1:2" x14ac:dyDescent="0.35">
      <c r="A202" s="61"/>
      <c r="B202" s="264"/>
    </row>
    <row r="203" spans="1:2" x14ac:dyDescent="0.35">
      <c r="A203" s="61"/>
      <c r="B203" s="264"/>
    </row>
    <row r="204" spans="1:2" x14ac:dyDescent="0.35">
      <c r="A204" s="61"/>
      <c r="B204" s="264"/>
    </row>
    <row r="205" spans="1:2" x14ac:dyDescent="0.35">
      <c r="A205" s="61"/>
      <c r="B205" s="264"/>
    </row>
    <row r="206" spans="1:2" x14ac:dyDescent="0.35">
      <c r="A206" s="61"/>
      <c r="B206" s="264"/>
    </row>
    <row r="207" spans="1:2" x14ac:dyDescent="0.35">
      <c r="A207" s="61"/>
      <c r="B207" s="264"/>
    </row>
    <row r="208" spans="1:2" x14ac:dyDescent="0.35">
      <c r="A208" s="61"/>
      <c r="B208" s="264"/>
    </row>
    <row r="209" spans="1:2" x14ac:dyDescent="0.35">
      <c r="A209" s="61"/>
      <c r="B209" s="264"/>
    </row>
    <row r="210" spans="1:2" x14ac:dyDescent="0.35">
      <c r="A210" s="61"/>
      <c r="B210" s="264"/>
    </row>
    <row r="211" spans="1:2" x14ac:dyDescent="0.35">
      <c r="A211" s="61"/>
      <c r="B211" s="264"/>
    </row>
    <row r="212" spans="1:2" x14ac:dyDescent="0.35">
      <c r="A212" s="61"/>
      <c r="B212" s="264"/>
    </row>
    <row r="213" spans="1:2" x14ac:dyDescent="0.35">
      <c r="A213" s="61"/>
      <c r="B213" s="264"/>
    </row>
    <row r="214" spans="1:2" x14ac:dyDescent="0.35">
      <c r="A214" s="61"/>
      <c r="B214" s="264"/>
    </row>
    <row r="215" spans="1:2" x14ac:dyDescent="0.35">
      <c r="A215" s="61"/>
      <c r="B215" s="264"/>
    </row>
    <row r="216" spans="1:2" x14ac:dyDescent="0.35">
      <c r="A216" s="61"/>
      <c r="B216" s="264"/>
    </row>
    <row r="217" spans="1:2" x14ac:dyDescent="0.35">
      <c r="A217" s="61"/>
      <c r="B217" s="264"/>
    </row>
    <row r="218" spans="1:2" x14ac:dyDescent="0.35">
      <c r="A218" s="61"/>
      <c r="B218" s="264"/>
    </row>
    <row r="219" spans="1:2" x14ac:dyDescent="0.35">
      <c r="A219" s="61"/>
      <c r="B219" s="264"/>
    </row>
    <row r="220" spans="1:2" x14ac:dyDescent="0.35">
      <c r="A220" s="61"/>
      <c r="B220" s="264"/>
    </row>
    <row r="221" spans="1:2" x14ac:dyDescent="0.35">
      <c r="A221" s="61"/>
      <c r="B221" s="264"/>
    </row>
    <row r="222" spans="1:2" x14ac:dyDescent="0.35">
      <c r="A222" s="61"/>
      <c r="B222" s="264"/>
    </row>
    <row r="223" spans="1:2" x14ac:dyDescent="0.35">
      <c r="A223" s="61"/>
      <c r="B223" s="264"/>
    </row>
    <row r="224" spans="1:2" x14ac:dyDescent="0.35">
      <c r="A224" s="61"/>
      <c r="B224" s="264"/>
    </row>
    <row r="225" spans="1:2" x14ac:dyDescent="0.35">
      <c r="A225" s="61"/>
      <c r="B225" s="264"/>
    </row>
    <row r="226" spans="1:2" x14ac:dyDescent="0.35">
      <c r="A226" s="61"/>
      <c r="B226" s="264"/>
    </row>
    <row r="227" spans="1:2" x14ac:dyDescent="0.35">
      <c r="A227" s="61"/>
      <c r="B227" s="264"/>
    </row>
    <row r="228" spans="1:2" x14ac:dyDescent="0.35">
      <c r="A228" s="61"/>
      <c r="B228" s="264"/>
    </row>
    <row r="229" spans="1:2" x14ac:dyDescent="0.35">
      <c r="A229" s="61"/>
      <c r="B229" s="264"/>
    </row>
    <row r="230" spans="1:2" x14ac:dyDescent="0.35">
      <c r="A230" s="61"/>
      <c r="B230" s="264"/>
    </row>
    <row r="231" spans="1:2" x14ac:dyDescent="0.35">
      <c r="A231" s="61"/>
      <c r="B231" s="264"/>
    </row>
    <row r="232" spans="1:2" x14ac:dyDescent="0.35">
      <c r="A232" s="61"/>
      <c r="B232" s="264"/>
    </row>
    <row r="233" spans="1:2" x14ac:dyDescent="0.35">
      <c r="A233" s="61"/>
      <c r="B233" s="264"/>
    </row>
    <row r="234" spans="1:2" x14ac:dyDescent="0.35">
      <c r="A234" s="61"/>
      <c r="B234" s="264"/>
    </row>
    <row r="235" spans="1:2" x14ac:dyDescent="0.35">
      <c r="A235" s="61"/>
      <c r="B235" s="264"/>
    </row>
    <row r="236" spans="1:2" x14ac:dyDescent="0.35">
      <c r="A236" s="61"/>
      <c r="B236" s="264"/>
    </row>
    <row r="237" spans="1:2" x14ac:dyDescent="0.35">
      <c r="A237" s="61"/>
      <c r="B237" s="264"/>
    </row>
    <row r="238" spans="1:2" x14ac:dyDescent="0.35">
      <c r="A238" s="61"/>
      <c r="B238" s="264"/>
    </row>
    <row r="239" spans="1:2" x14ac:dyDescent="0.35">
      <c r="A239" s="61"/>
      <c r="B239" s="264"/>
    </row>
    <row r="240" spans="1:2" x14ac:dyDescent="0.35">
      <c r="A240" s="61"/>
      <c r="B240" s="264"/>
    </row>
    <row r="241" spans="1:2" x14ac:dyDescent="0.35">
      <c r="A241" s="61"/>
      <c r="B241" s="26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44"/>
  <sheetViews>
    <sheetView workbookViewId="0">
      <selection activeCell="B2" sqref="B2:B241"/>
    </sheetView>
  </sheetViews>
  <sheetFormatPr defaultRowHeight="14.5" x14ac:dyDescent="0.35"/>
  <sheetData>
    <row r="1" spans="1:2" x14ac:dyDescent="0.35">
      <c r="B1" t="s">
        <v>510</v>
      </c>
    </row>
    <row r="2" spans="1:2" x14ac:dyDescent="0.35">
      <c r="A2" s="61">
        <v>36526</v>
      </c>
      <c r="B2">
        <v>3672.8</v>
      </c>
    </row>
    <row r="3" spans="1:2" x14ac:dyDescent="0.35">
      <c r="A3" s="61">
        <v>36557</v>
      </c>
      <c r="B3">
        <v>4043.05</v>
      </c>
    </row>
    <row r="4" spans="1:2" x14ac:dyDescent="0.35">
      <c r="A4" s="61">
        <v>36586</v>
      </c>
      <c r="B4">
        <v>3115.2173913043398</v>
      </c>
    </row>
    <row r="5" spans="1:2" x14ac:dyDescent="0.35">
      <c r="A5" s="61">
        <v>36617</v>
      </c>
      <c r="B5">
        <v>3372.0526315789398</v>
      </c>
    </row>
    <row r="6" spans="1:2" x14ac:dyDescent="0.35">
      <c r="A6" s="61">
        <v>36647</v>
      </c>
      <c r="B6">
        <v>3971.7272727272698</v>
      </c>
    </row>
    <row r="7" spans="1:2" x14ac:dyDescent="0.35">
      <c r="A7" s="61">
        <v>36678</v>
      </c>
      <c r="B7">
        <v>4416.2272727272702</v>
      </c>
    </row>
    <row r="8" spans="1:2" x14ac:dyDescent="0.35">
      <c r="A8" s="61">
        <v>36708</v>
      </c>
      <c r="B8">
        <v>3795.75</v>
      </c>
    </row>
    <row r="9" spans="1:2" x14ac:dyDescent="0.35">
      <c r="A9" s="61">
        <v>36739</v>
      </c>
      <c r="B9">
        <v>2574.6956521739098</v>
      </c>
    </row>
    <row r="10" spans="1:2" x14ac:dyDescent="0.35">
      <c r="A10" s="61">
        <v>36770</v>
      </c>
      <c r="B10">
        <v>1297.05</v>
      </c>
    </row>
    <row r="11" spans="1:2" x14ac:dyDescent="0.35">
      <c r="A11" s="61">
        <v>36800</v>
      </c>
      <c r="B11">
        <v>1300.6666666666599</v>
      </c>
    </row>
    <row r="12" spans="1:2" x14ac:dyDescent="0.35">
      <c r="A12" s="61">
        <v>36831</v>
      </c>
      <c r="B12">
        <v>1352.5238095238101</v>
      </c>
    </row>
    <row r="13" spans="1:2" x14ac:dyDescent="0.35">
      <c r="A13" s="61">
        <v>36861</v>
      </c>
      <c r="B13">
        <v>1451.1</v>
      </c>
    </row>
    <row r="14" spans="1:2" x14ac:dyDescent="0.35">
      <c r="A14" s="61">
        <v>36892</v>
      </c>
      <c r="B14">
        <v>1322.1428571428501</v>
      </c>
    </row>
    <row r="15" spans="1:2" x14ac:dyDescent="0.35">
      <c r="A15" s="61">
        <v>36923</v>
      </c>
      <c r="B15">
        <v>1246.3684210526301</v>
      </c>
    </row>
    <row r="16" spans="1:2" x14ac:dyDescent="0.35">
      <c r="A16" s="61">
        <v>36951</v>
      </c>
      <c r="B16">
        <v>1326.4090909090901</v>
      </c>
    </row>
    <row r="17" spans="1:2" x14ac:dyDescent="0.35">
      <c r="A17" s="61">
        <v>36982</v>
      </c>
      <c r="B17">
        <v>1474.7</v>
      </c>
    </row>
    <row r="18" spans="1:2" x14ac:dyDescent="0.35">
      <c r="A18" s="61">
        <v>37012</v>
      </c>
      <c r="B18">
        <v>1366.3636363636299</v>
      </c>
    </row>
    <row r="19" spans="1:2" x14ac:dyDescent="0.35">
      <c r="A19" s="61">
        <v>37043</v>
      </c>
      <c r="B19">
        <v>1302.57142857142</v>
      </c>
    </row>
    <row r="20" spans="1:2" x14ac:dyDescent="0.35">
      <c r="A20" s="61">
        <v>37073</v>
      </c>
      <c r="B20">
        <v>1387.57142857142</v>
      </c>
    </row>
    <row r="21" spans="1:2" x14ac:dyDescent="0.35">
      <c r="A21" s="61">
        <v>37104</v>
      </c>
      <c r="B21">
        <v>1470.1739130434701</v>
      </c>
    </row>
    <row r="22" spans="1:2" x14ac:dyDescent="0.35">
      <c r="A22" s="61">
        <v>37135</v>
      </c>
      <c r="B22">
        <v>1485.5294117646999</v>
      </c>
    </row>
    <row r="23" spans="1:2" x14ac:dyDescent="0.35">
      <c r="A23" s="61">
        <v>37165</v>
      </c>
      <c r="B23">
        <v>1539.27272727272</v>
      </c>
    </row>
    <row r="24" spans="1:2" x14ac:dyDescent="0.35">
      <c r="A24" s="61">
        <v>37196</v>
      </c>
      <c r="B24">
        <v>1410.15</v>
      </c>
    </row>
    <row r="25" spans="1:2" x14ac:dyDescent="0.35">
      <c r="A25" s="61">
        <v>37226</v>
      </c>
      <c r="B25">
        <v>1254.75</v>
      </c>
    </row>
    <row r="26" spans="1:2" x14ac:dyDescent="0.35">
      <c r="A26" s="61">
        <v>37257</v>
      </c>
      <c r="B26">
        <v>1144.7619047619</v>
      </c>
    </row>
    <row r="27" spans="1:2" x14ac:dyDescent="0.35">
      <c r="A27" s="61">
        <v>37288</v>
      </c>
      <c r="B27">
        <v>1151.78947368421</v>
      </c>
    </row>
    <row r="28" spans="1:2" x14ac:dyDescent="0.35">
      <c r="A28" s="61">
        <v>37316</v>
      </c>
      <c r="B28">
        <v>1089.45</v>
      </c>
    </row>
    <row r="29" spans="1:2" x14ac:dyDescent="0.35">
      <c r="A29" s="61">
        <v>37347</v>
      </c>
      <c r="B29">
        <v>1001.22727272727</v>
      </c>
    </row>
    <row r="30" spans="1:2" x14ac:dyDescent="0.35">
      <c r="A30" s="61">
        <v>37377</v>
      </c>
      <c r="B30">
        <v>1115.4090909090901</v>
      </c>
    </row>
    <row r="31" spans="1:2" x14ac:dyDescent="0.35">
      <c r="A31" s="61">
        <v>37408</v>
      </c>
      <c r="B31">
        <v>1312.15</v>
      </c>
    </row>
    <row r="32" spans="1:2" x14ac:dyDescent="0.35">
      <c r="A32" s="61">
        <v>37438</v>
      </c>
      <c r="B32">
        <v>1390.1818181818101</v>
      </c>
    </row>
    <row r="33" spans="1:2" x14ac:dyDescent="0.35">
      <c r="A33" s="61">
        <v>37469</v>
      </c>
      <c r="B33">
        <v>1744.0909090908999</v>
      </c>
    </row>
    <row r="34" spans="1:2" x14ac:dyDescent="0.35">
      <c r="A34" s="61">
        <v>37500</v>
      </c>
      <c r="B34">
        <v>1779.35</v>
      </c>
    </row>
    <row r="35" spans="1:2" x14ac:dyDescent="0.35">
      <c r="A35" s="61">
        <v>37530</v>
      </c>
      <c r="B35">
        <v>2001.0909090908999</v>
      </c>
    </row>
    <row r="36" spans="1:2" x14ac:dyDescent="0.35">
      <c r="A36" s="61">
        <v>37561</v>
      </c>
      <c r="B36">
        <v>1786.94736842105</v>
      </c>
    </row>
    <row r="37" spans="1:2" x14ac:dyDescent="0.35">
      <c r="A37" s="61">
        <v>37591</v>
      </c>
      <c r="B37">
        <v>1795.23809523809</v>
      </c>
    </row>
    <row r="38" spans="1:2" x14ac:dyDescent="0.35">
      <c r="A38" s="61">
        <v>37622</v>
      </c>
      <c r="B38">
        <v>1607.80952380952</v>
      </c>
    </row>
    <row r="39" spans="1:2" x14ac:dyDescent="0.35">
      <c r="A39" s="61">
        <v>37653</v>
      </c>
      <c r="B39">
        <v>1525.3157894736801</v>
      </c>
    </row>
    <row r="40" spans="1:2" x14ac:dyDescent="0.35">
      <c r="A40" s="61">
        <v>37681</v>
      </c>
      <c r="B40">
        <v>1450.19047619047</v>
      </c>
    </row>
    <row r="41" spans="1:2" x14ac:dyDescent="0.35">
      <c r="A41" s="61">
        <v>37712</v>
      </c>
      <c r="B41">
        <v>1225.38095238095</v>
      </c>
    </row>
    <row r="42" spans="1:2" x14ac:dyDescent="0.35">
      <c r="A42" s="61">
        <v>37742</v>
      </c>
      <c r="B42">
        <v>1108.4761904761899</v>
      </c>
    </row>
    <row r="43" spans="1:2" x14ac:dyDescent="0.35">
      <c r="A43" s="61">
        <v>37773</v>
      </c>
      <c r="B43">
        <v>1105.0952380952299</v>
      </c>
    </row>
    <row r="44" spans="1:2" x14ac:dyDescent="0.35">
      <c r="A44" s="61">
        <v>37803</v>
      </c>
      <c r="B44">
        <v>1172.27272727272</v>
      </c>
    </row>
    <row r="45" spans="1:2" x14ac:dyDescent="0.35">
      <c r="A45" s="61">
        <v>37834</v>
      </c>
      <c r="B45">
        <v>1162.25</v>
      </c>
    </row>
    <row r="46" spans="1:2" x14ac:dyDescent="0.35">
      <c r="A46" s="61">
        <v>37865</v>
      </c>
      <c r="B46">
        <v>1105.8571428571399</v>
      </c>
    </row>
    <row r="47" spans="1:2" x14ac:dyDescent="0.35">
      <c r="A47" s="61">
        <v>37895</v>
      </c>
      <c r="B47">
        <v>1030.5</v>
      </c>
    </row>
    <row r="48" spans="1:2" x14ac:dyDescent="0.35">
      <c r="A48" s="61">
        <v>37926</v>
      </c>
      <c r="B48">
        <v>941.77777777777703</v>
      </c>
    </row>
    <row r="49" spans="1:2" x14ac:dyDescent="0.35">
      <c r="A49" s="61">
        <v>37956</v>
      </c>
      <c r="B49">
        <v>840.36363636363603</v>
      </c>
    </row>
    <row r="50" spans="1:2" x14ac:dyDescent="0.35">
      <c r="A50" s="61">
        <v>37987</v>
      </c>
      <c r="B50">
        <v>724.36842105263099</v>
      </c>
    </row>
    <row r="51" spans="1:2" x14ac:dyDescent="0.35">
      <c r="A51" s="61">
        <v>38018</v>
      </c>
      <c r="B51">
        <v>746</v>
      </c>
    </row>
    <row r="52" spans="1:2" x14ac:dyDescent="0.35">
      <c r="A52" s="61">
        <v>38047</v>
      </c>
      <c r="B52">
        <v>723.59090909090901</v>
      </c>
    </row>
    <row r="53" spans="1:2" x14ac:dyDescent="0.35">
      <c r="A53" s="61">
        <v>38078</v>
      </c>
      <c r="B53">
        <v>762.95238095238096</v>
      </c>
    </row>
    <row r="54" spans="1:2" x14ac:dyDescent="0.35">
      <c r="A54" s="61">
        <v>38108</v>
      </c>
      <c r="B54">
        <v>920.5</v>
      </c>
    </row>
    <row r="55" spans="1:2" x14ac:dyDescent="0.35">
      <c r="A55" s="61">
        <v>38139</v>
      </c>
      <c r="B55">
        <v>886.09090909090901</v>
      </c>
    </row>
    <row r="56" spans="1:2" x14ac:dyDescent="0.35">
      <c r="A56" s="61">
        <v>38169</v>
      </c>
      <c r="B56">
        <v>921.61904761904702</v>
      </c>
    </row>
    <row r="57" spans="1:2" x14ac:dyDescent="0.35">
      <c r="A57" s="61">
        <v>38200</v>
      </c>
      <c r="B57">
        <v>836.13636363636294</v>
      </c>
    </row>
    <row r="58" spans="1:2" x14ac:dyDescent="0.35">
      <c r="A58" s="61">
        <v>38231</v>
      </c>
      <c r="B58">
        <v>801.76190476190402</v>
      </c>
    </row>
    <row r="59" spans="1:2" x14ac:dyDescent="0.35">
      <c r="A59" s="61">
        <v>38261</v>
      </c>
      <c r="B59">
        <v>731.05</v>
      </c>
    </row>
    <row r="60" spans="1:2" x14ac:dyDescent="0.35">
      <c r="A60" s="61">
        <v>38292</v>
      </c>
      <c r="B60">
        <v>721.95</v>
      </c>
    </row>
    <row r="61" spans="1:2" x14ac:dyDescent="0.35">
      <c r="A61" s="61">
        <v>38322</v>
      </c>
      <c r="B61">
        <v>710.59090909090901</v>
      </c>
    </row>
    <row r="62" spans="1:2" x14ac:dyDescent="0.35">
      <c r="A62" s="61">
        <v>38353</v>
      </c>
      <c r="B62">
        <v>682.3</v>
      </c>
    </row>
    <row r="63" spans="1:2" x14ac:dyDescent="0.35">
      <c r="A63" s="61">
        <v>38384</v>
      </c>
      <c r="B63">
        <v>638.36842105263099</v>
      </c>
    </row>
    <row r="64" spans="1:2" x14ac:dyDescent="0.35">
      <c r="A64" s="61">
        <v>38412</v>
      </c>
      <c r="B64">
        <v>632.5</v>
      </c>
    </row>
    <row r="65" spans="1:2" x14ac:dyDescent="0.35">
      <c r="A65" s="61">
        <v>38443</v>
      </c>
      <c r="B65">
        <v>737.85714285714198</v>
      </c>
    </row>
    <row r="66" spans="1:2" x14ac:dyDescent="0.35">
      <c r="A66" s="61">
        <v>38473</v>
      </c>
      <c r="B66">
        <v>835.33333333333303</v>
      </c>
    </row>
    <row r="67" spans="1:2" x14ac:dyDescent="0.35">
      <c r="A67" s="61">
        <v>38504</v>
      </c>
      <c r="B67">
        <v>819.09090909090901</v>
      </c>
    </row>
    <row r="68" spans="1:2" x14ac:dyDescent="0.35">
      <c r="A68" s="61">
        <v>38534</v>
      </c>
      <c r="B68">
        <v>759</v>
      </c>
    </row>
    <row r="69" spans="1:2" x14ac:dyDescent="0.35">
      <c r="A69" s="61">
        <v>38565</v>
      </c>
      <c r="B69">
        <v>714.13043478260795</v>
      </c>
    </row>
    <row r="70" spans="1:2" x14ac:dyDescent="0.35">
      <c r="A70" s="61">
        <v>38596</v>
      </c>
      <c r="B70">
        <v>682.23809523809496</v>
      </c>
    </row>
    <row r="71" spans="1:2" x14ac:dyDescent="0.35">
      <c r="A71" s="61">
        <v>38626</v>
      </c>
      <c r="B71">
        <v>682.6</v>
      </c>
    </row>
    <row r="72" spans="1:2" x14ac:dyDescent="0.35">
      <c r="A72" s="61">
        <v>38657</v>
      </c>
      <c r="B72">
        <v>651.04999999999995</v>
      </c>
    </row>
    <row r="73" spans="1:2" x14ac:dyDescent="0.35">
      <c r="A73" s="61">
        <v>38687</v>
      </c>
      <c r="B73">
        <v>645.45454545454504</v>
      </c>
    </row>
    <row r="74" spans="1:2" x14ac:dyDescent="0.35">
      <c r="A74" s="61">
        <v>38718</v>
      </c>
      <c r="B74">
        <v>623.22727272727195</v>
      </c>
    </row>
    <row r="75" spans="1:2" x14ac:dyDescent="0.35">
      <c r="A75" s="61">
        <v>38749</v>
      </c>
      <c r="B75">
        <v>568.52631578947296</v>
      </c>
    </row>
    <row r="76" spans="1:2" x14ac:dyDescent="0.35">
      <c r="A76" s="61">
        <v>38777</v>
      </c>
      <c r="B76">
        <v>560.17391304347802</v>
      </c>
    </row>
    <row r="77" spans="1:2" x14ac:dyDescent="0.35">
      <c r="A77" s="61">
        <v>38808</v>
      </c>
      <c r="B77">
        <v>513.4</v>
      </c>
    </row>
    <row r="78" spans="1:2" x14ac:dyDescent="0.35">
      <c r="A78" s="61">
        <v>38838</v>
      </c>
      <c r="B78">
        <v>489</v>
      </c>
    </row>
    <row r="79" spans="1:2" x14ac:dyDescent="0.35">
      <c r="A79" s="61">
        <v>38869</v>
      </c>
      <c r="B79">
        <v>517.27272727272702</v>
      </c>
    </row>
    <row r="80" spans="1:2" x14ac:dyDescent="0.35">
      <c r="A80" s="61">
        <v>38899</v>
      </c>
      <c r="B80">
        <v>503.47619047619003</v>
      </c>
    </row>
    <row r="81" spans="1:2" x14ac:dyDescent="0.35">
      <c r="A81" s="61">
        <v>38930</v>
      </c>
      <c r="B81">
        <v>494.39130434782601</v>
      </c>
    </row>
    <row r="82" spans="1:2" x14ac:dyDescent="0.35">
      <c r="A82" s="61">
        <v>38961</v>
      </c>
      <c r="B82">
        <v>577.90476190476102</v>
      </c>
    </row>
    <row r="83" spans="1:2" x14ac:dyDescent="0.35">
      <c r="A83" s="61">
        <v>38991</v>
      </c>
      <c r="B83">
        <v>562.36363636363603</v>
      </c>
    </row>
    <row r="84" spans="1:2" x14ac:dyDescent="0.35">
      <c r="A84" s="61">
        <v>39022</v>
      </c>
      <c r="B84">
        <v>528.625</v>
      </c>
    </row>
    <row r="85" spans="1:2" x14ac:dyDescent="0.35">
      <c r="A85" s="61">
        <v>39052</v>
      </c>
      <c r="B85">
        <v>730.28571428571399</v>
      </c>
    </row>
    <row r="86" spans="1:2" x14ac:dyDescent="0.35">
      <c r="A86" s="61">
        <v>39083</v>
      </c>
      <c r="B86">
        <v>900.63636363636294</v>
      </c>
    </row>
    <row r="87" spans="1:2" x14ac:dyDescent="0.35">
      <c r="A87" s="61">
        <v>39114</v>
      </c>
      <c r="B87">
        <v>744.65</v>
      </c>
    </row>
    <row r="88" spans="1:2" x14ac:dyDescent="0.35">
      <c r="A88" s="61">
        <v>39142</v>
      </c>
      <c r="B88">
        <v>695.04545454545405</v>
      </c>
    </row>
    <row r="89" spans="1:2" x14ac:dyDescent="0.35">
      <c r="A89" s="61">
        <v>39173</v>
      </c>
      <c r="B89">
        <v>612.142857142857</v>
      </c>
    </row>
    <row r="90" spans="1:2" x14ac:dyDescent="0.35">
      <c r="A90" s="61">
        <v>39203</v>
      </c>
      <c r="B90">
        <v>624.56521739130403</v>
      </c>
    </row>
    <row r="91" spans="1:2" x14ac:dyDescent="0.35">
      <c r="A91" s="61">
        <v>39234</v>
      </c>
      <c r="B91">
        <v>629.85714285714198</v>
      </c>
    </row>
    <row r="92" spans="1:2" x14ac:dyDescent="0.35">
      <c r="A92" s="61">
        <v>39264</v>
      </c>
      <c r="B92">
        <v>714</v>
      </c>
    </row>
    <row r="93" spans="1:2" x14ac:dyDescent="0.35">
      <c r="A93" s="61">
        <v>39295</v>
      </c>
      <c r="B93">
        <v>701.78260869565202</v>
      </c>
    </row>
    <row r="94" spans="1:2" x14ac:dyDescent="0.35">
      <c r="A94" s="61">
        <v>39326</v>
      </c>
      <c r="B94">
        <v>659.95</v>
      </c>
    </row>
    <row r="95" spans="1:2" x14ac:dyDescent="0.35">
      <c r="A95" s="61">
        <v>39356</v>
      </c>
      <c r="B95">
        <v>599.08695652173901</v>
      </c>
    </row>
    <row r="96" spans="1:2" x14ac:dyDescent="0.35">
      <c r="A96" s="61">
        <v>39387</v>
      </c>
      <c r="B96">
        <v>618.18181818181802</v>
      </c>
    </row>
    <row r="97" spans="1:2" x14ac:dyDescent="0.35">
      <c r="A97" s="61">
        <v>39417</v>
      </c>
      <c r="B97">
        <v>604.90476190476102</v>
      </c>
    </row>
    <row r="98" spans="1:2" x14ac:dyDescent="0.35">
      <c r="A98" s="61">
        <v>39448</v>
      </c>
      <c r="B98">
        <v>633.95652173913004</v>
      </c>
    </row>
    <row r="99" spans="1:2" x14ac:dyDescent="0.35">
      <c r="A99" s="61">
        <v>39479</v>
      </c>
      <c r="B99">
        <v>640.04761904761904</v>
      </c>
    </row>
    <row r="100" spans="1:2" x14ac:dyDescent="0.35">
      <c r="A100" s="61">
        <v>39508</v>
      </c>
      <c r="B100">
        <v>668.52380952380895</v>
      </c>
    </row>
    <row r="101" spans="1:2" x14ac:dyDescent="0.35">
      <c r="A101" s="61">
        <v>39539</v>
      </c>
      <c r="B101">
        <v>601.86363636363603</v>
      </c>
    </row>
    <row r="102" spans="1:2" x14ac:dyDescent="0.35">
      <c r="A102" s="61">
        <v>39569</v>
      </c>
      <c r="B102">
        <v>561.72727272727195</v>
      </c>
    </row>
    <row r="103" spans="1:2" x14ac:dyDescent="0.35">
      <c r="A103" s="61">
        <v>39600</v>
      </c>
      <c r="B103">
        <v>566.95238095238096</v>
      </c>
    </row>
    <row r="104" spans="1:2" x14ac:dyDescent="0.35">
      <c r="A104" s="61">
        <v>39630</v>
      </c>
      <c r="B104">
        <v>662.65217391304304</v>
      </c>
    </row>
    <row r="105" spans="1:2" x14ac:dyDescent="0.35">
      <c r="A105" s="61">
        <v>39661</v>
      </c>
      <c r="B105">
        <v>699.85714285714198</v>
      </c>
    </row>
    <row r="106" spans="1:2" x14ac:dyDescent="0.35">
      <c r="A106" s="61">
        <v>39692</v>
      </c>
      <c r="B106">
        <v>880.09090909090901</v>
      </c>
    </row>
    <row r="107" spans="1:2" x14ac:dyDescent="0.35">
      <c r="A107" s="61">
        <v>39722</v>
      </c>
      <c r="B107">
        <v>1966.6521739130401</v>
      </c>
    </row>
    <row r="108" spans="1:2" x14ac:dyDescent="0.35">
      <c r="A108" s="61">
        <v>39753</v>
      </c>
      <c r="B108">
        <v>3703.7</v>
      </c>
    </row>
    <row r="109" spans="1:2" x14ac:dyDescent="0.35">
      <c r="A109" s="61">
        <v>39783</v>
      </c>
      <c r="B109">
        <v>4259.5217391304304</v>
      </c>
    </row>
    <row r="110" spans="1:2" x14ac:dyDescent="0.35">
      <c r="A110" s="61">
        <v>39814</v>
      </c>
      <c r="B110">
        <v>3931.3636363636301</v>
      </c>
    </row>
    <row r="111" spans="1:2" x14ac:dyDescent="0.35">
      <c r="A111" s="61">
        <v>39845</v>
      </c>
      <c r="B111">
        <v>3624.95</v>
      </c>
    </row>
    <row r="112" spans="1:2" x14ac:dyDescent="0.35">
      <c r="A112" s="61">
        <v>39873</v>
      </c>
      <c r="B112">
        <v>3534.4090909090901</v>
      </c>
    </row>
    <row r="113" spans="1:2" x14ac:dyDescent="0.35">
      <c r="A113" s="61">
        <v>39904</v>
      </c>
      <c r="B113">
        <v>3417.1363636363599</v>
      </c>
    </row>
    <row r="114" spans="1:2" x14ac:dyDescent="0.35">
      <c r="A114" s="61">
        <v>39934</v>
      </c>
      <c r="B114">
        <v>3335.482</v>
      </c>
    </row>
    <row r="115" spans="1:2" x14ac:dyDescent="0.35">
      <c r="A115" s="61">
        <v>39965</v>
      </c>
      <c r="B115">
        <v>2727.4090909090901</v>
      </c>
    </row>
    <row r="116" spans="1:2" x14ac:dyDescent="0.35">
      <c r="A116" s="61">
        <v>39995</v>
      </c>
      <c r="B116">
        <v>1263.8181818181799</v>
      </c>
    </row>
    <row r="117" spans="1:2" x14ac:dyDescent="0.35">
      <c r="A117" s="61">
        <v>40026</v>
      </c>
      <c r="B117">
        <v>1130.80952380952</v>
      </c>
    </row>
    <row r="118" spans="1:2" x14ac:dyDescent="0.35">
      <c r="A118" s="61">
        <v>40057</v>
      </c>
      <c r="B118">
        <v>1019.9523809523801</v>
      </c>
    </row>
    <row r="119" spans="1:2" x14ac:dyDescent="0.35">
      <c r="A119" s="61">
        <v>40087</v>
      </c>
      <c r="B119">
        <v>853.19047619047603</v>
      </c>
    </row>
    <row r="120" spans="1:2" x14ac:dyDescent="0.35">
      <c r="A120" s="61">
        <v>40118</v>
      </c>
      <c r="B120">
        <v>821.89473684210498</v>
      </c>
    </row>
    <row r="121" spans="1:2" x14ac:dyDescent="0.35">
      <c r="A121" s="61">
        <v>40148</v>
      </c>
      <c r="B121">
        <v>819.95454545454504</v>
      </c>
    </row>
    <row r="122" spans="1:2" x14ac:dyDescent="0.35">
      <c r="A122" s="61">
        <v>40179</v>
      </c>
      <c r="B122">
        <v>757.1</v>
      </c>
    </row>
    <row r="123" spans="1:2" x14ac:dyDescent="0.35">
      <c r="A123" s="61">
        <v>40210</v>
      </c>
      <c r="B123">
        <v>811.65</v>
      </c>
    </row>
    <row r="124" spans="1:2" x14ac:dyDescent="0.35">
      <c r="A124" s="61">
        <v>40238</v>
      </c>
      <c r="B124">
        <v>822.04347826086905</v>
      </c>
    </row>
    <row r="125" spans="1:2" x14ac:dyDescent="0.35">
      <c r="A125" s="61">
        <v>40269</v>
      </c>
      <c r="B125">
        <v>815.68181818181802</v>
      </c>
    </row>
    <row r="126" spans="1:2" x14ac:dyDescent="0.35">
      <c r="A126" s="61">
        <v>40299</v>
      </c>
      <c r="B126">
        <v>901.38095238095195</v>
      </c>
    </row>
    <row r="127" spans="1:2" x14ac:dyDescent="0.35">
      <c r="A127" s="61">
        <v>40330</v>
      </c>
      <c r="B127">
        <v>964.68181818181802</v>
      </c>
    </row>
    <row r="128" spans="1:2" x14ac:dyDescent="0.35">
      <c r="A128" s="61">
        <v>40360</v>
      </c>
      <c r="B128">
        <v>1014.45454545454</v>
      </c>
    </row>
    <row r="129" spans="1:2" x14ac:dyDescent="0.35">
      <c r="A129" s="61">
        <v>40391</v>
      </c>
      <c r="B129">
        <v>1036.1363636363601</v>
      </c>
    </row>
    <row r="130" spans="1:2" x14ac:dyDescent="0.35">
      <c r="A130" s="61">
        <v>40422</v>
      </c>
      <c r="B130">
        <v>1035.95454545454</v>
      </c>
    </row>
    <row r="131" spans="1:2" x14ac:dyDescent="0.35">
      <c r="A131" s="61">
        <v>40452</v>
      </c>
      <c r="B131">
        <v>1016.42857142857</v>
      </c>
    </row>
    <row r="132" spans="1:2" x14ac:dyDescent="0.35">
      <c r="A132" s="61">
        <v>40483</v>
      </c>
      <c r="B132">
        <v>996.68181818181802</v>
      </c>
    </row>
    <row r="133" spans="1:2" x14ac:dyDescent="0.35">
      <c r="A133" s="61">
        <v>40513</v>
      </c>
      <c r="B133">
        <v>927.47826086956502</v>
      </c>
    </row>
    <row r="134" spans="1:2" x14ac:dyDescent="0.35">
      <c r="A134" s="61">
        <v>40544</v>
      </c>
      <c r="B134">
        <v>864.95</v>
      </c>
    </row>
    <row r="135" spans="1:2" x14ac:dyDescent="0.35">
      <c r="A135" s="61">
        <v>40575</v>
      </c>
      <c r="B135">
        <v>763.21052631578902</v>
      </c>
    </row>
    <row r="136" spans="1:2" x14ac:dyDescent="0.35">
      <c r="A136" s="61">
        <v>40603</v>
      </c>
      <c r="B136">
        <v>781.04347826086905</v>
      </c>
    </row>
    <row r="137" spans="1:2" x14ac:dyDescent="0.35">
      <c r="A137" s="61">
        <v>40634</v>
      </c>
      <c r="B137">
        <v>760.6</v>
      </c>
    </row>
    <row r="138" spans="1:2" x14ac:dyDescent="0.35">
      <c r="A138" s="61">
        <v>40664</v>
      </c>
      <c r="B138">
        <v>786.142857142857</v>
      </c>
    </row>
    <row r="139" spans="1:2" x14ac:dyDescent="0.35">
      <c r="A139" s="61">
        <v>40695</v>
      </c>
      <c r="B139">
        <v>799.40909090908997</v>
      </c>
    </row>
    <row r="140" spans="1:2" x14ac:dyDescent="0.35">
      <c r="A140" s="61">
        <v>40725</v>
      </c>
      <c r="B140">
        <v>783.45</v>
      </c>
    </row>
    <row r="141" spans="1:2" x14ac:dyDescent="0.35">
      <c r="A141" s="61">
        <v>40756</v>
      </c>
      <c r="B141">
        <v>863.78260869565202</v>
      </c>
    </row>
    <row r="142" spans="1:2" x14ac:dyDescent="0.35">
      <c r="A142" s="61">
        <v>40787</v>
      </c>
      <c r="B142">
        <v>880.57142857142799</v>
      </c>
    </row>
    <row r="143" spans="1:2" x14ac:dyDescent="0.35">
      <c r="A143" s="61">
        <v>40817</v>
      </c>
      <c r="B143">
        <v>888.3</v>
      </c>
    </row>
    <row r="144" spans="1:2" x14ac:dyDescent="0.35">
      <c r="A144" s="61">
        <v>40848</v>
      </c>
      <c r="B144">
        <v>868.31578947368405</v>
      </c>
    </row>
    <row r="145" spans="1:2" x14ac:dyDescent="0.35">
      <c r="A145" s="61">
        <v>40878</v>
      </c>
      <c r="B145">
        <v>842</v>
      </c>
    </row>
    <row r="146" spans="1:2" x14ac:dyDescent="0.35">
      <c r="A146" s="61">
        <v>40909</v>
      </c>
      <c r="B146">
        <v>808.03225806451599</v>
      </c>
    </row>
    <row r="147" spans="1:2" x14ac:dyDescent="0.35">
      <c r="A147" s="61">
        <v>40940</v>
      </c>
      <c r="B147">
        <v>789.62068965517199</v>
      </c>
    </row>
    <row r="148" spans="1:2" x14ac:dyDescent="0.35">
      <c r="A148" s="61">
        <v>40969</v>
      </c>
      <c r="B148">
        <v>802.19354838709603</v>
      </c>
    </row>
    <row r="149" spans="1:2" x14ac:dyDescent="0.35">
      <c r="A149" s="61">
        <v>41000</v>
      </c>
      <c r="B149">
        <v>806.56666666666604</v>
      </c>
    </row>
    <row r="150" spans="1:2" x14ac:dyDescent="0.35">
      <c r="A150" s="61">
        <v>41030</v>
      </c>
      <c r="B150">
        <v>850</v>
      </c>
    </row>
    <row r="151" spans="1:2" x14ac:dyDescent="0.35">
      <c r="A151" s="61">
        <v>41061</v>
      </c>
      <c r="B151">
        <v>892.3</v>
      </c>
    </row>
    <row r="152" spans="1:2" x14ac:dyDescent="0.35">
      <c r="A152" s="61">
        <v>41091</v>
      </c>
      <c r="B152">
        <v>856.35483870967698</v>
      </c>
    </row>
    <row r="153" spans="1:2" x14ac:dyDescent="0.35">
      <c r="A153" s="61">
        <v>41122</v>
      </c>
      <c r="B153">
        <v>805.09677419354796</v>
      </c>
    </row>
    <row r="154" spans="1:2" x14ac:dyDescent="0.35">
      <c r="A154" s="61">
        <v>41153</v>
      </c>
      <c r="B154">
        <v>752.66666666666595</v>
      </c>
    </row>
    <row r="155" spans="1:2" x14ac:dyDescent="0.35">
      <c r="A155" s="61">
        <v>41183</v>
      </c>
      <c r="B155">
        <v>766.322580645161</v>
      </c>
    </row>
    <row r="156" spans="1:2" x14ac:dyDescent="0.35">
      <c r="A156" s="61">
        <v>41214</v>
      </c>
      <c r="B156">
        <v>814.5</v>
      </c>
    </row>
    <row r="157" spans="1:2" x14ac:dyDescent="0.35">
      <c r="A157" s="61">
        <v>41244</v>
      </c>
      <c r="B157">
        <v>826.77419354838696</v>
      </c>
    </row>
    <row r="158" spans="1:2" x14ac:dyDescent="0.35">
      <c r="A158" s="61">
        <v>41275</v>
      </c>
      <c r="B158">
        <v>731.29032258064501</v>
      </c>
    </row>
    <row r="159" spans="1:2" x14ac:dyDescent="0.35">
      <c r="A159" s="61">
        <v>41306</v>
      </c>
      <c r="B159">
        <v>704.46428571428498</v>
      </c>
    </row>
    <row r="160" spans="1:2" x14ac:dyDescent="0.35">
      <c r="A160" s="61">
        <v>41334</v>
      </c>
      <c r="B160">
        <v>699.74193548387098</v>
      </c>
    </row>
    <row r="161" spans="1:2" x14ac:dyDescent="0.35">
      <c r="A161" s="61">
        <v>41365</v>
      </c>
      <c r="B161">
        <v>678.03333333333296</v>
      </c>
    </row>
    <row r="162" spans="1:2" x14ac:dyDescent="0.35">
      <c r="A162" s="61">
        <v>41395</v>
      </c>
      <c r="B162">
        <v>637.80645161290295</v>
      </c>
    </row>
    <row r="163" spans="1:2" x14ac:dyDescent="0.35">
      <c r="A163" s="61">
        <v>41426</v>
      </c>
      <c r="B163">
        <v>643.1</v>
      </c>
    </row>
    <row r="164" spans="1:2" x14ac:dyDescent="0.35">
      <c r="A164" s="61">
        <v>41456</v>
      </c>
      <c r="B164">
        <v>643.70967741935397</v>
      </c>
    </row>
    <row r="165" spans="1:2" x14ac:dyDescent="0.35">
      <c r="A165" s="61">
        <v>41487</v>
      </c>
      <c r="B165">
        <v>629.83870967741905</v>
      </c>
    </row>
    <row r="166" spans="1:2" x14ac:dyDescent="0.35">
      <c r="A166" s="61">
        <v>41518</v>
      </c>
      <c r="B166">
        <v>644.29999999999995</v>
      </c>
    </row>
    <row r="167" spans="1:2" x14ac:dyDescent="0.35">
      <c r="A167" s="61">
        <v>41548</v>
      </c>
      <c r="B167">
        <v>568.48387096774195</v>
      </c>
    </row>
    <row r="168" spans="1:2" x14ac:dyDescent="0.35">
      <c r="A168" s="61">
        <v>41579</v>
      </c>
      <c r="B168">
        <v>529.63333333333298</v>
      </c>
    </row>
    <row r="169" spans="1:2" x14ac:dyDescent="0.35">
      <c r="A169" s="61">
        <v>41609</v>
      </c>
      <c r="B169">
        <v>531.45161290322505</v>
      </c>
    </row>
    <row r="170" spans="1:2" x14ac:dyDescent="0.35">
      <c r="A170" s="61">
        <v>41640</v>
      </c>
      <c r="B170">
        <v>567.322580645161</v>
      </c>
    </row>
    <row r="171" spans="1:2" x14ac:dyDescent="0.35">
      <c r="A171" s="61">
        <v>41671</v>
      </c>
      <c r="B171">
        <v>609.96428571428498</v>
      </c>
    </row>
    <row r="172" spans="1:2" x14ac:dyDescent="0.35">
      <c r="A172" s="61">
        <v>41699</v>
      </c>
      <c r="B172">
        <v>550.51612903225805</v>
      </c>
    </row>
    <row r="173" spans="1:2" x14ac:dyDescent="0.35">
      <c r="A173" s="61">
        <v>41730</v>
      </c>
      <c r="B173">
        <v>453</v>
      </c>
    </row>
    <row r="174" spans="1:2" x14ac:dyDescent="0.35">
      <c r="A174" s="61">
        <v>41760</v>
      </c>
      <c r="B174">
        <v>354.77419354838702</v>
      </c>
    </row>
    <row r="175" spans="1:2" x14ac:dyDescent="0.35">
      <c r="A175" s="61">
        <v>41791</v>
      </c>
      <c r="B175">
        <v>370.46666666666601</v>
      </c>
    </row>
    <row r="176" spans="1:2" x14ac:dyDescent="0.35">
      <c r="A176" s="61">
        <v>41821</v>
      </c>
      <c r="B176">
        <v>423.61290322580601</v>
      </c>
    </row>
    <row r="177" spans="1:2" x14ac:dyDescent="0.35">
      <c r="A177" s="61">
        <v>41852</v>
      </c>
      <c r="B177">
        <v>475.96774193548299</v>
      </c>
    </row>
    <row r="178" spans="1:2" x14ac:dyDescent="0.35">
      <c r="A178" s="61">
        <v>41883</v>
      </c>
      <c r="B178">
        <v>426.63333333333298</v>
      </c>
    </row>
    <row r="179" spans="1:2" x14ac:dyDescent="0.35">
      <c r="A179" s="61">
        <v>41913</v>
      </c>
      <c r="B179">
        <v>519.22580645161304</v>
      </c>
    </row>
    <row r="180" spans="1:2" x14ac:dyDescent="0.35">
      <c r="A180" s="61">
        <v>41944</v>
      </c>
      <c r="B180">
        <v>546.63333333333298</v>
      </c>
    </row>
    <row r="181" spans="1:2" x14ac:dyDescent="0.35">
      <c r="A181" s="61">
        <v>41974</v>
      </c>
      <c r="B181">
        <v>823.74193548387098</v>
      </c>
    </row>
    <row r="182" spans="1:2" x14ac:dyDescent="0.35">
      <c r="A182" s="61">
        <v>42005</v>
      </c>
      <c r="B182">
        <v>933.90322580645102</v>
      </c>
    </row>
    <row r="183" spans="1:2" x14ac:dyDescent="0.35">
      <c r="A183" s="61">
        <v>42036</v>
      </c>
      <c r="B183">
        <v>778.03571428571399</v>
      </c>
    </row>
    <row r="184" spans="1:2" x14ac:dyDescent="0.35">
      <c r="A184" s="61">
        <v>42064</v>
      </c>
      <c r="B184">
        <v>799.51612903225805</v>
      </c>
    </row>
    <row r="185" spans="1:2" x14ac:dyDescent="0.35">
      <c r="A185" s="61">
        <v>42095</v>
      </c>
      <c r="B185">
        <v>782.73333333333301</v>
      </c>
    </row>
    <row r="186" spans="1:2" x14ac:dyDescent="0.35">
      <c r="A186" s="61">
        <v>42125</v>
      </c>
      <c r="B186">
        <v>670.54838709677404</v>
      </c>
    </row>
    <row r="187" spans="1:2" x14ac:dyDescent="0.35">
      <c r="A187" s="61">
        <v>42156</v>
      </c>
      <c r="B187">
        <v>776.53333333333296</v>
      </c>
    </row>
    <row r="188" spans="1:2" x14ac:dyDescent="0.35">
      <c r="A188" s="61">
        <v>42186</v>
      </c>
      <c r="B188">
        <v>899.90322580645102</v>
      </c>
    </row>
    <row r="189" spans="1:2" x14ac:dyDescent="0.35">
      <c r="A189" s="61">
        <v>42217</v>
      </c>
      <c r="B189">
        <v>1163.8064516129</v>
      </c>
    </row>
    <row r="190" spans="1:2" x14ac:dyDescent="0.35">
      <c r="A190" s="61">
        <v>42248</v>
      </c>
      <c r="B190">
        <v>1342.3</v>
      </c>
    </row>
    <row r="191" spans="1:2" x14ac:dyDescent="0.35">
      <c r="A191" s="61">
        <v>42278</v>
      </c>
      <c r="B191">
        <v>1334.19354838709</v>
      </c>
    </row>
    <row r="192" spans="1:2" x14ac:dyDescent="0.35">
      <c r="A192" s="61">
        <v>42309</v>
      </c>
      <c r="B192">
        <v>1212.5999999999999</v>
      </c>
    </row>
    <row r="193" spans="1:2" x14ac:dyDescent="0.35">
      <c r="A193" s="61">
        <v>42339</v>
      </c>
      <c r="B193">
        <v>1234.83870967741</v>
      </c>
    </row>
    <row r="194" spans="1:2" ht="15.5" x14ac:dyDescent="0.35">
      <c r="A194" s="61">
        <v>42370</v>
      </c>
      <c r="B194" s="83">
        <v>1518.258064516129</v>
      </c>
    </row>
    <row r="195" spans="1:2" ht="15.5" x14ac:dyDescent="0.35">
      <c r="A195" s="61">
        <v>42401</v>
      </c>
      <c r="B195" s="83">
        <v>1568.5172413793102</v>
      </c>
    </row>
    <row r="196" spans="1:2" ht="15.5" x14ac:dyDescent="0.35">
      <c r="A196" s="61">
        <v>42430</v>
      </c>
      <c r="B196" s="83">
        <v>1186.9354838709678</v>
      </c>
    </row>
    <row r="197" spans="1:2" ht="15.5" x14ac:dyDescent="0.35">
      <c r="A197" s="61">
        <v>42461</v>
      </c>
      <c r="B197" s="83">
        <v>1076.5999999999999</v>
      </c>
    </row>
    <row r="198" spans="1:2" ht="15.5" x14ac:dyDescent="0.35">
      <c r="A198" s="61">
        <v>42491</v>
      </c>
      <c r="B198" s="83">
        <v>910.54838709677415</v>
      </c>
    </row>
    <row r="199" spans="1:2" ht="15.5" x14ac:dyDescent="0.35">
      <c r="A199" s="61">
        <v>42522</v>
      </c>
      <c r="B199" s="83">
        <v>893.36666666666667</v>
      </c>
    </row>
    <row r="200" spans="1:2" ht="15.5" x14ac:dyDescent="0.35">
      <c r="A200" s="61">
        <v>42552</v>
      </c>
      <c r="B200" s="83">
        <v>880.12903225806451</v>
      </c>
    </row>
    <row r="201" spans="1:2" ht="15.5" x14ac:dyDescent="0.35">
      <c r="A201" s="61">
        <v>42583</v>
      </c>
      <c r="B201" s="83">
        <v>865.32258064516134</v>
      </c>
    </row>
    <row r="202" spans="1:2" ht="15.5" x14ac:dyDescent="0.35">
      <c r="A202" s="61">
        <v>42614</v>
      </c>
      <c r="B202" s="83">
        <v>856.9666666666667</v>
      </c>
    </row>
    <row r="203" spans="1:2" ht="15.5" x14ac:dyDescent="0.35">
      <c r="A203" s="61">
        <v>42644</v>
      </c>
      <c r="B203" s="83">
        <v>773.0322580645161</v>
      </c>
    </row>
    <row r="204" spans="1:2" ht="15.5" x14ac:dyDescent="0.35">
      <c r="A204" s="61">
        <v>42675</v>
      </c>
      <c r="B204" s="83">
        <v>763.56666666666672</v>
      </c>
    </row>
    <row r="205" spans="1:2" ht="15.5" x14ac:dyDescent="0.35">
      <c r="A205" s="61">
        <v>42705</v>
      </c>
      <c r="B205" s="83">
        <v>670.58064516129036</v>
      </c>
    </row>
    <row r="206" spans="1:2" ht="15.5" x14ac:dyDescent="0.35">
      <c r="A206" s="61">
        <v>42736</v>
      </c>
      <c r="B206" s="83">
        <v>611.54838709677415</v>
      </c>
    </row>
    <row r="207" spans="1:2" ht="15.5" x14ac:dyDescent="0.35">
      <c r="A207" s="61">
        <v>42767</v>
      </c>
      <c r="B207" s="83">
        <v>609.28571428571433</v>
      </c>
    </row>
    <row r="208" spans="1:2" ht="15.5" x14ac:dyDescent="0.35">
      <c r="A208" s="61">
        <v>42795</v>
      </c>
      <c r="B208" s="83">
        <v>613.90322580645159</v>
      </c>
    </row>
    <row r="209" spans="1:2" ht="15.5" x14ac:dyDescent="0.35">
      <c r="A209" s="61">
        <v>42826</v>
      </c>
      <c r="B209" s="83">
        <v>704.7</v>
      </c>
    </row>
    <row r="210" spans="1:2" ht="15.5" x14ac:dyDescent="0.35">
      <c r="A210" s="61">
        <v>42856</v>
      </c>
      <c r="B210" s="83">
        <v>665.38709677419354</v>
      </c>
    </row>
    <row r="211" spans="1:2" ht="15.5" x14ac:dyDescent="0.35">
      <c r="A211" s="61">
        <v>42887</v>
      </c>
      <c r="B211" s="83">
        <v>711.3</v>
      </c>
    </row>
    <row r="212" spans="1:2" ht="15.5" x14ac:dyDescent="0.35">
      <c r="A212" s="61">
        <v>42917</v>
      </c>
      <c r="B212" s="83">
        <v>689</v>
      </c>
    </row>
    <row r="213" spans="1:2" ht="15.5" x14ac:dyDescent="0.35">
      <c r="A213" s="61">
        <v>42948</v>
      </c>
      <c r="B213" s="83">
        <v>641.06451612903231</v>
      </c>
    </row>
    <row r="214" spans="1:2" ht="15.5" x14ac:dyDescent="0.35">
      <c r="A214" s="61">
        <v>42979</v>
      </c>
      <c r="B214" s="83">
        <v>628.5333333333333</v>
      </c>
    </row>
    <row r="215" spans="1:2" ht="15.5" x14ac:dyDescent="0.35">
      <c r="A215" s="61">
        <v>43009</v>
      </c>
      <c r="B215" s="83">
        <v>572.51612903225805</v>
      </c>
    </row>
    <row r="216" spans="1:2" ht="15.5" x14ac:dyDescent="0.35">
      <c r="A216" s="61">
        <v>43040</v>
      </c>
      <c r="B216" s="83">
        <v>540.73333333333335</v>
      </c>
    </row>
    <row r="217" spans="1:2" ht="15.5" x14ac:dyDescent="0.35">
      <c r="A217" s="61">
        <v>43070</v>
      </c>
      <c r="B217" s="83">
        <v>469.90322580645159</v>
      </c>
    </row>
    <row r="218" spans="1:2" ht="15.5" x14ac:dyDescent="0.35">
      <c r="A218" s="61">
        <v>43101</v>
      </c>
      <c r="B218" s="84">
        <v>452.06451612903226</v>
      </c>
    </row>
    <row r="219" spans="1:2" ht="15.5" x14ac:dyDescent="0.35">
      <c r="A219" s="61">
        <v>43132</v>
      </c>
      <c r="B219" s="84">
        <v>493.57142857142856</v>
      </c>
    </row>
    <row r="220" spans="1:2" ht="15.5" x14ac:dyDescent="0.35">
      <c r="A220" s="61">
        <v>43160</v>
      </c>
      <c r="B220" s="84">
        <v>546</v>
      </c>
    </row>
    <row r="221" spans="1:2" ht="15.5" x14ac:dyDescent="0.35">
      <c r="A221" s="61">
        <v>43191</v>
      </c>
      <c r="B221" s="84">
        <v>594</v>
      </c>
    </row>
    <row r="222" spans="1:2" ht="15.5" x14ac:dyDescent="0.35">
      <c r="A222" s="61">
        <v>43221</v>
      </c>
      <c r="B222" s="84">
        <v>685.35483870967744</v>
      </c>
    </row>
    <row r="223" spans="1:2" ht="15.5" x14ac:dyDescent="0.35">
      <c r="A223" s="61">
        <v>43252</v>
      </c>
      <c r="B223" s="84">
        <v>712</v>
      </c>
    </row>
    <row r="224" spans="1:2" ht="15.5" x14ac:dyDescent="0.35">
      <c r="A224" s="61">
        <v>43282</v>
      </c>
      <c r="B224" s="84">
        <v>653</v>
      </c>
    </row>
    <row r="225" spans="1:2" ht="15.5" x14ac:dyDescent="0.35">
      <c r="A225" s="61">
        <v>43313</v>
      </c>
      <c r="B225" s="84">
        <v>678.9677419354839</v>
      </c>
    </row>
    <row r="226" spans="1:2" ht="15.5" x14ac:dyDescent="0.35">
      <c r="A226" s="61">
        <v>43344</v>
      </c>
      <c r="B226" s="84">
        <v>689</v>
      </c>
    </row>
    <row r="227" spans="1:2" ht="15.5" x14ac:dyDescent="0.35">
      <c r="A227" s="61">
        <v>43374</v>
      </c>
      <c r="B227" s="84">
        <v>671.70967741935488</v>
      </c>
    </row>
    <row r="228" spans="1:2" ht="15.5" x14ac:dyDescent="0.35">
      <c r="A228" s="61">
        <v>43405</v>
      </c>
      <c r="B228" s="84">
        <v>745.5333333333333</v>
      </c>
    </row>
    <row r="229" spans="1:2" ht="15.5" x14ac:dyDescent="0.35">
      <c r="A229" s="61">
        <v>43435</v>
      </c>
      <c r="B229" s="84">
        <v>766</v>
      </c>
    </row>
    <row r="230" spans="1:2" ht="15.5" x14ac:dyDescent="0.35">
      <c r="A230" s="61">
        <v>43466</v>
      </c>
      <c r="B230" s="84">
        <v>712</v>
      </c>
    </row>
    <row r="231" spans="1:2" ht="15.5" x14ac:dyDescent="0.35">
      <c r="A231" s="61">
        <v>43497</v>
      </c>
      <c r="B231" s="84">
        <v>658.89285714285711</v>
      </c>
    </row>
    <row r="232" spans="1:2" ht="15.5" x14ac:dyDescent="0.35">
      <c r="A232" s="61">
        <v>43525</v>
      </c>
      <c r="B232" s="84">
        <v>611.80645161290317</v>
      </c>
    </row>
    <row r="233" spans="1:2" ht="15.5" x14ac:dyDescent="0.35">
      <c r="A233" s="61">
        <v>43556</v>
      </c>
      <c r="B233" s="84">
        <v>551.63333333333333</v>
      </c>
    </row>
    <row r="234" spans="1:2" ht="15.5" x14ac:dyDescent="0.35">
      <c r="A234" s="61">
        <v>43586</v>
      </c>
      <c r="B234" s="84">
        <v>573.45161290322585</v>
      </c>
    </row>
    <row r="235" spans="1:2" ht="15.5" x14ac:dyDescent="0.35">
      <c r="A235" s="61">
        <v>43617</v>
      </c>
      <c r="B235" s="84">
        <v>590</v>
      </c>
    </row>
    <row r="236" spans="1:2" ht="15.5" x14ac:dyDescent="0.35">
      <c r="A236" s="61">
        <v>43647</v>
      </c>
      <c r="B236" s="84">
        <v>577.77419354838707</v>
      </c>
    </row>
    <row r="237" spans="1:2" ht="15.5" x14ac:dyDescent="0.35">
      <c r="A237" s="61">
        <v>43678</v>
      </c>
      <c r="B237" s="84">
        <v>702.29032258064512</v>
      </c>
    </row>
    <row r="238" spans="1:2" ht="15.5" x14ac:dyDescent="0.35">
      <c r="A238" s="61">
        <v>43709</v>
      </c>
      <c r="B238" s="84">
        <v>648.23333333333335</v>
      </c>
    </row>
    <row r="239" spans="1:2" ht="15.5" x14ac:dyDescent="0.35">
      <c r="A239" s="61">
        <v>43739</v>
      </c>
      <c r="B239" s="84">
        <v>762.77419354838707</v>
      </c>
    </row>
    <row r="240" spans="1:2" ht="15.5" x14ac:dyDescent="0.35">
      <c r="A240" s="61">
        <v>43770</v>
      </c>
      <c r="B240" s="84">
        <v>978.9</v>
      </c>
    </row>
    <row r="241" spans="1:2" ht="15.5" x14ac:dyDescent="0.35">
      <c r="A241" s="61">
        <v>43800</v>
      </c>
      <c r="B241" s="84">
        <v>937.87096774193549</v>
      </c>
    </row>
    <row r="242" spans="1:2" ht="15.5" x14ac:dyDescent="0.35">
      <c r="A242" s="61"/>
      <c r="B242" s="84"/>
    </row>
    <row r="243" spans="1:2" ht="15.5" x14ac:dyDescent="0.35">
      <c r="A243" s="61"/>
      <c r="B243" s="83"/>
    </row>
    <row r="244" spans="1:2" ht="15.5" x14ac:dyDescent="0.35">
      <c r="A244" s="61"/>
      <c r="B244" s="83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I124"/>
  <sheetViews>
    <sheetView topLeftCell="A76" workbookViewId="0">
      <selection activeCell="K92" sqref="K92:Q93"/>
    </sheetView>
  </sheetViews>
  <sheetFormatPr defaultColWidth="11.453125" defaultRowHeight="14.5" x14ac:dyDescent="0.35"/>
  <cols>
    <col min="1" max="1" width="50.90625" style="67" customWidth="1"/>
    <col min="2" max="168" width="9.6328125" style="67" customWidth="1"/>
    <col min="169" max="169" width="10.54296875" style="67" customWidth="1"/>
    <col min="170" max="170" width="9.6328125" style="67" customWidth="1"/>
    <col min="171" max="173" width="10.54296875" style="67" customWidth="1"/>
    <col min="174" max="176" width="10.08984375" style="67" customWidth="1"/>
    <col min="177" max="180" width="10.54296875" style="67" customWidth="1"/>
    <col min="181" max="181" width="11.08984375" style="67" customWidth="1"/>
    <col min="182" max="184" width="10.08984375" style="67" customWidth="1"/>
    <col min="185" max="185" width="10.54296875" style="67" customWidth="1"/>
    <col min="186" max="186" width="10.08984375" style="67" customWidth="1"/>
    <col min="187" max="188" width="10.54296875" style="67" customWidth="1"/>
    <col min="189" max="190" width="10.08984375" style="67" customWidth="1"/>
    <col min="191" max="194" width="9.6328125" style="67" customWidth="1"/>
    <col min="195" max="200" width="10.08984375" style="67" customWidth="1"/>
    <col min="201" max="201" width="10.54296875" style="67" customWidth="1"/>
    <col min="202" max="202" width="9.08984375" style="67" customWidth="1"/>
    <col min="203" max="203" width="9.36328125" style="67" bestFit="1" customWidth="1"/>
    <col min="204" max="204" width="9.90625" style="67" customWidth="1"/>
    <col min="205" max="205" width="9.54296875" style="67" customWidth="1"/>
    <col min="206" max="217" width="11.453125" style="67" customWidth="1"/>
    <col min="218" max="16384" width="11.453125" style="67"/>
  </cols>
  <sheetData>
    <row r="1" spans="1:217" x14ac:dyDescent="0.35">
      <c r="B1" s="159" t="s">
        <v>575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</row>
    <row r="2" spans="1:217" x14ac:dyDescent="0.35">
      <c r="B2" s="160" t="s">
        <v>473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A2" s="76"/>
      <c r="FB2" s="76"/>
      <c r="FC2" s="76"/>
      <c r="FD2" s="76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  <c r="FU2" s="76"/>
      <c r="FV2" s="76"/>
      <c r="FW2" s="76"/>
      <c r="FX2" s="76"/>
      <c r="FY2" s="76"/>
      <c r="FZ2" s="76"/>
      <c r="GA2" s="76"/>
      <c r="GB2" s="76"/>
      <c r="GC2" s="76"/>
      <c r="GD2" s="76"/>
      <c r="GE2" s="76"/>
      <c r="GF2" s="76"/>
      <c r="GG2" s="76"/>
      <c r="GH2" s="76"/>
      <c r="GI2" s="76"/>
      <c r="GJ2" s="76"/>
      <c r="GK2" s="76"/>
      <c r="GL2" s="76"/>
      <c r="GM2" s="76"/>
      <c r="GN2" s="76"/>
      <c r="GO2" s="76"/>
      <c r="GP2" s="76"/>
      <c r="GQ2" s="76"/>
      <c r="GR2" s="76"/>
      <c r="GS2" s="76"/>
      <c r="GT2" s="76"/>
      <c r="GU2" s="76"/>
      <c r="GV2" s="76"/>
      <c r="GW2" s="76"/>
    </row>
    <row r="3" spans="1:217" x14ac:dyDescent="0.35">
      <c r="A3" s="161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</row>
    <row r="4" spans="1:217" ht="44.25" customHeight="1" x14ac:dyDescent="0.35">
      <c r="A4" s="68" t="s">
        <v>474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</row>
    <row r="5" spans="1:217" x14ac:dyDescent="0.35">
      <c r="A5" s="256" t="s">
        <v>475</v>
      </c>
      <c r="B5" s="253">
        <v>2000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5"/>
      <c r="N5" s="253">
        <v>2001</v>
      </c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5"/>
      <c r="Z5" s="253">
        <v>2002</v>
      </c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5"/>
      <c r="AL5" s="253">
        <v>2003</v>
      </c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5"/>
      <c r="AX5" s="253">
        <v>2004</v>
      </c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5"/>
      <c r="BJ5" s="253">
        <v>2005</v>
      </c>
      <c r="BK5" s="254"/>
      <c r="BL5" s="254"/>
      <c r="BM5" s="254"/>
      <c r="BN5" s="254"/>
      <c r="BO5" s="254"/>
      <c r="BP5" s="254"/>
      <c r="BQ5" s="254"/>
      <c r="BR5" s="254"/>
      <c r="BS5" s="254"/>
      <c r="BT5" s="254"/>
      <c r="BU5" s="255"/>
      <c r="BV5" s="253">
        <v>2006</v>
      </c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5"/>
      <c r="CH5" s="253">
        <v>2007</v>
      </c>
      <c r="CI5" s="254"/>
      <c r="CJ5" s="254"/>
      <c r="CK5" s="254"/>
      <c r="CL5" s="254"/>
      <c r="CM5" s="254"/>
      <c r="CN5" s="254"/>
      <c r="CO5" s="254"/>
      <c r="CP5" s="254"/>
      <c r="CQ5" s="254"/>
      <c r="CR5" s="254"/>
      <c r="CS5" s="255"/>
      <c r="CT5" s="249" t="s">
        <v>476</v>
      </c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1"/>
      <c r="DF5" s="249" t="s">
        <v>477</v>
      </c>
      <c r="DG5" s="250"/>
      <c r="DH5" s="250"/>
      <c r="DI5" s="250"/>
      <c r="DJ5" s="250"/>
      <c r="DK5" s="250"/>
      <c r="DL5" s="250"/>
      <c r="DM5" s="250"/>
      <c r="DN5" s="250"/>
      <c r="DO5" s="250"/>
      <c r="DP5" s="250"/>
      <c r="DQ5" s="251"/>
      <c r="DR5" s="249" t="s">
        <v>576</v>
      </c>
      <c r="DS5" s="250"/>
      <c r="DT5" s="250"/>
      <c r="DU5" s="250"/>
      <c r="DV5" s="250"/>
      <c r="DW5" s="250"/>
      <c r="DX5" s="250"/>
      <c r="DY5" s="250"/>
      <c r="DZ5" s="250"/>
      <c r="EA5" s="250"/>
      <c r="EB5" s="250"/>
      <c r="EC5" s="251"/>
      <c r="ED5" s="249" t="s">
        <v>478</v>
      </c>
      <c r="EE5" s="250"/>
      <c r="EF5" s="250"/>
      <c r="EG5" s="250"/>
      <c r="EH5" s="250"/>
      <c r="EI5" s="250"/>
      <c r="EJ5" s="250"/>
      <c r="EK5" s="250"/>
      <c r="EL5" s="250"/>
      <c r="EM5" s="250"/>
      <c r="EN5" s="250"/>
      <c r="EO5" s="251"/>
      <c r="EP5" s="249" t="s">
        <v>479</v>
      </c>
      <c r="EQ5" s="250"/>
      <c r="ER5" s="250"/>
      <c r="ES5" s="250"/>
      <c r="ET5" s="250"/>
      <c r="EU5" s="250"/>
      <c r="EV5" s="250"/>
      <c r="EW5" s="250"/>
      <c r="EX5" s="250"/>
      <c r="EY5" s="250"/>
      <c r="EZ5" s="250"/>
      <c r="FA5" s="251"/>
      <c r="FB5" s="249" t="s">
        <v>480</v>
      </c>
      <c r="FC5" s="250"/>
      <c r="FD5" s="250"/>
      <c r="FE5" s="250"/>
      <c r="FF5" s="250"/>
      <c r="FG5" s="250"/>
      <c r="FH5" s="250"/>
      <c r="FI5" s="250"/>
      <c r="FJ5" s="250"/>
      <c r="FK5" s="250"/>
      <c r="FL5" s="250"/>
      <c r="FM5" s="251"/>
      <c r="FN5" s="249" t="s">
        <v>481</v>
      </c>
      <c r="FO5" s="250"/>
      <c r="FP5" s="250"/>
      <c r="FQ5" s="250"/>
      <c r="FR5" s="250"/>
      <c r="FS5" s="250"/>
      <c r="FT5" s="250"/>
      <c r="FU5" s="250"/>
      <c r="FV5" s="250"/>
      <c r="FW5" s="250"/>
      <c r="FX5" s="250"/>
      <c r="FY5" s="251"/>
      <c r="FZ5" s="249" t="s">
        <v>482</v>
      </c>
      <c r="GA5" s="250"/>
      <c r="GB5" s="250"/>
      <c r="GC5" s="250"/>
      <c r="GD5" s="250"/>
      <c r="GE5" s="250"/>
      <c r="GF5" s="250"/>
      <c r="GG5" s="250"/>
      <c r="GH5" s="250"/>
      <c r="GI5" s="250"/>
      <c r="GJ5" s="250"/>
      <c r="GK5" s="251"/>
      <c r="GL5" s="252" t="s">
        <v>483</v>
      </c>
      <c r="GM5" s="252"/>
      <c r="GN5" s="252"/>
      <c r="GO5" s="252"/>
      <c r="GP5" s="252"/>
      <c r="GQ5" s="252"/>
      <c r="GR5" s="252"/>
      <c r="GS5" s="252"/>
      <c r="GT5" s="252"/>
      <c r="GU5" s="252"/>
      <c r="GV5" s="252"/>
      <c r="GW5" s="252"/>
      <c r="GX5" s="246" t="s">
        <v>484</v>
      </c>
      <c r="GY5" s="247"/>
      <c r="GZ5" s="247"/>
      <c r="HA5" s="247"/>
      <c r="HB5" s="247"/>
      <c r="HC5" s="247"/>
      <c r="HD5" s="247"/>
      <c r="HE5" s="247"/>
      <c r="HF5" s="247"/>
      <c r="HG5" s="247"/>
      <c r="HH5" s="247"/>
      <c r="HI5" s="248"/>
    </row>
    <row r="6" spans="1:217" x14ac:dyDescent="0.35">
      <c r="A6" s="257"/>
      <c r="B6" s="162" t="s">
        <v>485</v>
      </c>
      <c r="C6" s="163" t="s">
        <v>486</v>
      </c>
      <c r="D6" s="163" t="s">
        <v>487</v>
      </c>
      <c r="E6" s="163" t="s">
        <v>488</v>
      </c>
      <c r="F6" s="163" t="s">
        <v>489</v>
      </c>
      <c r="G6" s="163" t="s">
        <v>490</v>
      </c>
      <c r="H6" s="163" t="s">
        <v>491</v>
      </c>
      <c r="I6" s="163" t="s">
        <v>492</v>
      </c>
      <c r="J6" s="163" t="s">
        <v>493</v>
      </c>
      <c r="K6" s="163" t="s">
        <v>494</v>
      </c>
      <c r="L6" s="163" t="s">
        <v>495</v>
      </c>
      <c r="M6" s="163" t="s">
        <v>496</v>
      </c>
      <c r="N6" s="163" t="s">
        <v>485</v>
      </c>
      <c r="O6" s="163" t="s">
        <v>486</v>
      </c>
      <c r="P6" s="163" t="s">
        <v>487</v>
      </c>
      <c r="Q6" s="163" t="s">
        <v>488</v>
      </c>
      <c r="R6" s="163" t="s">
        <v>489</v>
      </c>
      <c r="S6" s="163" t="s">
        <v>490</v>
      </c>
      <c r="T6" s="163" t="s">
        <v>491</v>
      </c>
      <c r="U6" s="163" t="s">
        <v>492</v>
      </c>
      <c r="V6" s="163" t="s">
        <v>493</v>
      </c>
      <c r="W6" s="163" t="s">
        <v>494</v>
      </c>
      <c r="X6" s="163" t="s">
        <v>495</v>
      </c>
      <c r="Y6" s="163" t="s">
        <v>496</v>
      </c>
      <c r="Z6" s="163" t="s">
        <v>485</v>
      </c>
      <c r="AA6" s="163" t="s">
        <v>486</v>
      </c>
      <c r="AB6" s="163" t="s">
        <v>487</v>
      </c>
      <c r="AC6" s="163" t="s">
        <v>488</v>
      </c>
      <c r="AD6" s="163" t="s">
        <v>489</v>
      </c>
      <c r="AE6" s="163" t="s">
        <v>490</v>
      </c>
      <c r="AF6" s="163" t="s">
        <v>491</v>
      </c>
      <c r="AG6" s="163" t="s">
        <v>492</v>
      </c>
      <c r="AH6" s="163" t="s">
        <v>493</v>
      </c>
      <c r="AI6" s="163" t="s">
        <v>494</v>
      </c>
      <c r="AJ6" s="163" t="s">
        <v>495</v>
      </c>
      <c r="AK6" s="163" t="s">
        <v>496</v>
      </c>
      <c r="AL6" s="163" t="s">
        <v>485</v>
      </c>
      <c r="AM6" s="163" t="s">
        <v>486</v>
      </c>
      <c r="AN6" s="163" t="s">
        <v>487</v>
      </c>
      <c r="AO6" s="163" t="s">
        <v>488</v>
      </c>
      <c r="AP6" s="163" t="s">
        <v>489</v>
      </c>
      <c r="AQ6" s="163" t="s">
        <v>490</v>
      </c>
      <c r="AR6" s="163" t="s">
        <v>491</v>
      </c>
      <c r="AS6" s="163" t="s">
        <v>492</v>
      </c>
      <c r="AT6" s="163" t="s">
        <v>493</v>
      </c>
      <c r="AU6" s="163" t="s">
        <v>494</v>
      </c>
      <c r="AV6" s="163" t="s">
        <v>495</v>
      </c>
      <c r="AW6" s="163" t="s">
        <v>496</v>
      </c>
      <c r="AX6" s="163" t="s">
        <v>485</v>
      </c>
      <c r="AY6" s="163" t="s">
        <v>486</v>
      </c>
      <c r="AZ6" s="163" t="s">
        <v>487</v>
      </c>
      <c r="BA6" s="163" t="s">
        <v>488</v>
      </c>
      <c r="BB6" s="163" t="s">
        <v>489</v>
      </c>
      <c r="BC6" s="163" t="s">
        <v>490</v>
      </c>
      <c r="BD6" s="163" t="s">
        <v>491</v>
      </c>
      <c r="BE6" s="163" t="s">
        <v>492</v>
      </c>
      <c r="BF6" s="163" t="s">
        <v>493</v>
      </c>
      <c r="BG6" s="163" t="s">
        <v>494</v>
      </c>
      <c r="BH6" s="163" t="s">
        <v>495</v>
      </c>
      <c r="BI6" s="163" t="s">
        <v>496</v>
      </c>
      <c r="BJ6" s="163" t="s">
        <v>485</v>
      </c>
      <c r="BK6" s="163" t="s">
        <v>486</v>
      </c>
      <c r="BL6" s="163" t="s">
        <v>487</v>
      </c>
      <c r="BM6" s="163" t="s">
        <v>488</v>
      </c>
      <c r="BN6" s="163" t="s">
        <v>489</v>
      </c>
      <c r="BO6" s="163" t="s">
        <v>490</v>
      </c>
      <c r="BP6" s="163" t="s">
        <v>491</v>
      </c>
      <c r="BQ6" s="163" t="s">
        <v>492</v>
      </c>
      <c r="BR6" s="163" t="s">
        <v>493</v>
      </c>
      <c r="BS6" s="163" t="s">
        <v>494</v>
      </c>
      <c r="BT6" s="163" t="s">
        <v>495</v>
      </c>
      <c r="BU6" s="163" t="s">
        <v>496</v>
      </c>
      <c r="BV6" s="163" t="s">
        <v>485</v>
      </c>
      <c r="BW6" s="163" t="s">
        <v>486</v>
      </c>
      <c r="BX6" s="163" t="s">
        <v>487</v>
      </c>
      <c r="BY6" s="163" t="s">
        <v>488</v>
      </c>
      <c r="BZ6" s="163" t="s">
        <v>489</v>
      </c>
      <c r="CA6" s="163" t="s">
        <v>490</v>
      </c>
      <c r="CB6" s="163" t="s">
        <v>491</v>
      </c>
      <c r="CC6" s="163" t="s">
        <v>492</v>
      </c>
      <c r="CD6" s="163" t="s">
        <v>493</v>
      </c>
      <c r="CE6" s="163" t="s">
        <v>494</v>
      </c>
      <c r="CF6" s="163" t="s">
        <v>495</v>
      </c>
      <c r="CG6" s="163" t="s">
        <v>496</v>
      </c>
      <c r="CH6" s="163" t="s">
        <v>485</v>
      </c>
      <c r="CI6" s="163" t="s">
        <v>486</v>
      </c>
      <c r="CJ6" s="163" t="s">
        <v>487</v>
      </c>
      <c r="CK6" s="163" t="s">
        <v>488</v>
      </c>
      <c r="CL6" s="163" t="s">
        <v>489</v>
      </c>
      <c r="CM6" s="163" t="s">
        <v>490</v>
      </c>
      <c r="CN6" s="163" t="s">
        <v>491</v>
      </c>
      <c r="CO6" s="163" t="s">
        <v>492</v>
      </c>
      <c r="CP6" s="163" t="s">
        <v>493</v>
      </c>
      <c r="CQ6" s="163" t="s">
        <v>494</v>
      </c>
      <c r="CR6" s="163" t="s">
        <v>495</v>
      </c>
      <c r="CS6" s="163" t="s">
        <v>496</v>
      </c>
      <c r="CT6" s="163" t="s">
        <v>485</v>
      </c>
      <c r="CU6" s="163" t="s">
        <v>486</v>
      </c>
      <c r="CV6" s="163" t="s">
        <v>487</v>
      </c>
      <c r="CW6" s="163" t="s">
        <v>488</v>
      </c>
      <c r="CX6" s="163" t="s">
        <v>489</v>
      </c>
      <c r="CY6" s="163" t="s">
        <v>490</v>
      </c>
      <c r="CZ6" s="163" t="s">
        <v>491</v>
      </c>
      <c r="DA6" s="163" t="s">
        <v>492</v>
      </c>
      <c r="DB6" s="163" t="s">
        <v>493</v>
      </c>
      <c r="DC6" s="163" t="s">
        <v>494</v>
      </c>
      <c r="DD6" s="163" t="s">
        <v>495</v>
      </c>
      <c r="DE6" s="163" t="s">
        <v>496</v>
      </c>
      <c r="DF6" s="163" t="s">
        <v>485</v>
      </c>
      <c r="DG6" s="163" t="s">
        <v>486</v>
      </c>
      <c r="DH6" s="163" t="s">
        <v>487</v>
      </c>
      <c r="DI6" s="163" t="s">
        <v>488</v>
      </c>
      <c r="DJ6" s="163" t="s">
        <v>489</v>
      </c>
      <c r="DK6" s="163" t="s">
        <v>490</v>
      </c>
      <c r="DL6" s="163" t="s">
        <v>491</v>
      </c>
      <c r="DM6" s="163" t="s">
        <v>492</v>
      </c>
      <c r="DN6" s="163" t="s">
        <v>493</v>
      </c>
      <c r="DO6" s="163" t="s">
        <v>494</v>
      </c>
      <c r="DP6" s="163" t="s">
        <v>495</v>
      </c>
      <c r="DQ6" s="163" t="s">
        <v>496</v>
      </c>
      <c r="DR6" s="163" t="s">
        <v>485</v>
      </c>
      <c r="DS6" s="163" t="s">
        <v>486</v>
      </c>
      <c r="DT6" s="163" t="s">
        <v>487</v>
      </c>
      <c r="DU6" s="163" t="s">
        <v>488</v>
      </c>
      <c r="DV6" s="163" t="s">
        <v>489</v>
      </c>
      <c r="DW6" s="163" t="s">
        <v>490</v>
      </c>
      <c r="DX6" s="163" t="s">
        <v>491</v>
      </c>
      <c r="DY6" s="163" t="s">
        <v>492</v>
      </c>
      <c r="DZ6" s="163" t="s">
        <v>493</v>
      </c>
      <c r="EA6" s="163" t="s">
        <v>494</v>
      </c>
      <c r="EB6" s="163" t="s">
        <v>495</v>
      </c>
      <c r="EC6" s="163" t="s">
        <v>496</v>
      </c>
      <c r="ED6" s="163" t="s">
        <v>485</v>
      </c>
      <c r="EE6" s="163" t="s">
        <v>486</v>
      </c>
      <c r="EF6" s="163" t="s">
        <v>487</v>
      </c>
      <c r="EG6" s="163" t="s">
        <v>488</v>
      </c>
      <c r="EH6" s="163" t="s">
        <v>489</v>
      </c>
      <c r="EI6" s="163" t="s">
        <v>490</v>
      </c>
      <c r="EJ6" s="163" t="s">
        <v>491</v>
      </c>
      <c r="EK6" s="163" t="s">
        <v>492</v>
      </c>
      <c r="EL6" s="163" t="s">
        <v>493</v>
      </c>
      <c r="EM6" s="163" t="s">
        <v>494</v>
      </c>
      <c r="EN6" s="163" t="s">
        <v>495</v>
      </c>
      <c r="EO6" s="163" t="s">
        <v>496</v>
      </c>
      <c r="EP6" s="163" t="s">
        <v>485</v>
      </c>
      <c r="EQ6" s="163" t="s">
        <v>486</v>
      </c>
      <c r="ER6" s="163" t="s">
        <v>487</v>
      </c>
      <c r="ES6" s="163" t="s">
        <v>488</v>
      </c>
      <c r="ET6" s="163" t="s">
        <v>489</v>
      </c>
      <c r="EU6" s="163" t="s">
        <v>490</v>
      </c>
      <c r="EV6" s="163" t="s">
        <v>491</v>
      </c>
      <c r="EW6" s="163" t="s">
        <v>492</v>
      </c>
      <c r="EX6" s="163" t="s">
        <v>493</v>
      </c>
      <c r="EY6" s="163" t="s">
        <v>494</v>
      </c>
      <c r="EZ6" s="163" t="s">
        <v>495</v>
      </c>
      <c r="FA6" s="163" t="s">
        <v>496</v>
      </c>
      <c r="FB6" s="163" t="s">
        <v>485</v>
      </c>
      <c r="FC6" s="163" t="s">
        <v>486</v>
      </c>
      <c r="FD6" s="163" t="s">
        <v>487</v>
      </c>
      <c r="FE6" s="163" t="s">
        <v>488</v>
      </c>
      <c r="FF6" s="163" t="s">
        <v>489</v>
      </c>
      <c r="FG6" s="163" t="s">
        <v>490</v>
      </c>
      <c r="FH6" s="163" t="s">
        <v>491</v>
      </c>
      <c r="FI6" s="163" t="s">
        <v>492</v>
      </c>
      <c r="FJ6" s="163" t="s">
        <v>493</v>
      </c>
      <c r="FK6" s="163" t="s">
        <v>494</v>
      </c>
      <c r="FL6" s="163" t="s">
        <v>495</v>
      </c>
      <c r="FM6" s="163" t="s">
        <v>496</v>
      </c>
      <c r="FN6" s="163" t="s">
        <v>485</v>
      </c>
      <c r="FO6" s="163" t="s">
        <v>486</v>
      </c>
      <c r="FP6" s="163" t="s">
        <v>487</v>
      </c>
      <c r="FQ6" s="163" t="s">
        <v>488</v>
      </c>
      <c r="FR6" s="163" t="s">
        <v>489</v>
      </c>
      <c r="FS6" s="163" t="s">
        <v>490</v>
      </c>
      <c r="FT6" s="163" t="s">
        <v>491</v>
      </c>
      <c r="FU6" s="163" t="s">
        <v>492</v>
      </c>
      <c r="FV6" s="163" t="s">
        <v>493</v>
      </c>
      <c r="FW6" s="163" t="s">
        <v>494</v>
      </c>
      <c r="FX6" s="163" t="s">
        <v>495</v>
      </c>
      <c r="FY6" s="163" t="s">
        <v>496</v>
      </c>
      <c r="FZ6" s="163" t="s">
        <v>485</v>
      </c>
      <c r="GA6" s="163" t="s">
        <v>486</v>
      </c>
      <c r="GB6" s="163" t="s">
        <v>487</v>
      </c>
      <c r="GC6" s="163" t="s">
        <v>488</v>
      </c>
      <c r="GD6" s="163" t="s">
        <v>489</v>
      </c>
      <c r="GE6" s="163" t="s">
        <v>490</v>
      </c>
      <c r="GF6" s="163" t="s">
        <v>491</v>
      </c>
      <c r="GG6" s="163" t="s">
        <v>492</v>
      </c>
      <c r="GH6" s="163" t="s">
        <v>493</v>
      </c>
      <c r="GI6" s="163" t="s">
        <v>494</v>
      </c>
      <c r="GJ6" s="163" t="s">
        <v>495</v>
      </c>
      <c r="GK6" s="163" t="s">
        <v>496</v>
      </c>
      <c r="GL6" s="164" t="s">
        <v>485</v>
      </c>
      <c r="GM6" s="164" t="s">
        <v>486</v>
      </c>
      <c r="GN6" s="164" t="s">
        <v>487</v>
      </c>
      <c r="GO6" s="164" t="s">
        <v>488</v>
      </c>
      <c r="GP6" s="164" t="s">
        <v>489</v>
      </c>
      <c r="GQ6" s="164" t="s">
        <v>490</v>
      </c>
      <c r="GR6" s="164" t="s">
        <v>491</v>
      </c>
      <c r="GS6" s="164" t="s">
        <v>492</v>
      </c>
      <c r="GT6" s="164" t="s">
        <v>493</v>
      </c>
      <c r="GU6" s="164" t="s">
        <v>494</v>
      </c>
      <c r="GV6" s="164" t="s">
        <v>495</v>
      </c>
      <c r="GW6" s="164" t="s">
        <v>496</v>
      </c>
      <c r="GX6" s="165" t="s">
        <v>485</v>
      </c>
      <c r="GY6" s="165" t="s">
        <v>486</v>
      </c>
      <c r="GZ6" s="165" t="s">
        <v>487</v>
      </c>
      <c r="HA6" s="165" t="s">
        <v>488</v>
      </c>
      <c r="HB6" s="165" t="s">
        <v>489</v>
      </c>
      <c r="HC6" s="165" t="s">
        <v>490</v>
      </c>
      <c r="HD6" s="165" t="s">
        <v>491</v>
      </c>
      <c r="HE6" s="165" t="s">
        <v>492</v>
      </c>
      <c r="HF6" s="165" t="s">
        <v>493</v>
      </c>
      <c r="HG6" s="165" t="s">
        <v>494</v>
      </c>
      <c r="HH6" s="165" t="s">
        <v>495</v>
      </c>
      <c r="HI6" s="165" t="s">
        <v>496</v>
      </c>
    </row>
    <row r="7" spans="1:217" x14ac:dyDescent="0.35">
      <c r="A7" s="16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167"/>
      <c r="GV7" s="167"/>
      <c r="GW7" s="167"/>
      <c r="GX7" s="168"/>
      <c r="GY7" s="168"/>
      <c r="GZ7" s="168"/>
    </row>
    <row r="8" spans="1:217" s="69" customFormat="1" ht="15.5" x14ac:dyDescent="0.35">
      <c r="A8" s="169" t="s">
        <v>577</v>
      </c>
      <c r="B8" s="74">
        <v>242.75826259926293</v>
      </c>
      <c r="C8" s="74">
        <v>267.39158353030706</v>
      </c>
      <c r="D8" s="74">
        <v>281.86340248961159</v>
      </c>
      <c r="E8" s="74">
        <v>302.18364641465564</v>
      </c>
      <c r="F8" s="74">
        <v>290.22926119074509</v>
      </c>
      <c r="G8" s="74">
        <v>372.12608613920668</v>
      </c>
      <c r="H8" s="74">
        <v>360.22563343237755</v>
      </c>
      <c r="I8" s="74">
        <v>412.28130945940455</v>
      </c>
      <c r="J8" s="74">
        <v>417.95036343237746</v>
      </c>
      <c r="K8" s="74">
        <v>416.08129814702232</v>
      </c>
      <c r="L8" s="74">
        <v>396.04891702555636</v>
      </c>
      <c r="M8" s="74">
        <v>375.86742897054728</v>
      </c>
      <c r="N8" s="74">
        <v>398.51057726851968</v>
      </c>
      <c r="O8" s="74">
        <v>393.0138949308319</v>
      </c>
      <c r="P8" s="74">
        <v>382.61056456903088</v>
      </c>
      <c r="Q8" s="74">
        <v>535.72429133409412</v>
      </c>
      <c r="R8" s="74">
        <v>406.57534382857762</v>
      </c>
      <c r="S8" s="74">
        <v>406.52862215500005</v>
      </c>
      <c r="T8" s="74">
        <v>396.75899623280003</v>
      </c>
      <c r="U8" s="74">
        <v>476.76593644966658</v>
      </c>
      <c r="V8" s="74">
        <v>410.89350495600002</v>
      </c>
      <c r="W8" s="74">
        <v>396.56072949900005</v>
      </c>
      <c r="X8" s="74">
        <v>392.70706958477024</v>
      </c>
      <c r="Y8" s="74">
        <v>357.9548687326</v>
      </c>
      <c r="Z8" s="74">
        <v>502.41350152328687</v>
      </c>
      <c r="AA8" s="74">
        <v>490.38181399490031</v>
      </c>
      <c r="AB8" s="74">
        <v>443.48845330743779</v>
      </c>
      <c r="AC8" s="74">
        <v>640.62464523181711</v>
      </c>
      <c r="AD8" s="74">
        <v>531.4769797608684</v>
      </c>
      <c r="AE8" s="74">
        <v>522.95648169662149</v>
      </c>
      <c r="AF8" s="74">
        <v>543.79836332226921</v>
      </c>
      <c r="AG8" s="74">
        <v>482.49788409322173</v>
      </c>
      <c r="AH8" s="74">
        <v>621.46728569405616</v>
      </c>
      <c r="AI8" s="74">
        <v>607.48555881431616</v>
      </c>
      <c r="AJ8" s="74">
        <v>482.82309212494221</v>
      </c>
      <c r="AK8" s="74">
        <v>491.4623155044759</v>
      </c>
      <c r="AL8" s="74">
        <v>585.31699241671947</v>
      </c>
      <c r="AM8" s="74">
        <v>467.41172006631172</v>
      </c>
      <c r="AN8" s="74">
        <v>552.87224246028427</v>
      </c>
      <c r="AO8" s="74">
        <v>649.63277042846482</v>
      </c>
      <c r="AP8" s="74">
        <v>497.51758520401086</v>
      </c>
      <c r="AQ8" s="74">
        <v>582.32201484033965</v>
      </c>
      <c r="AR8" s="74">
        <v>631.63956572187146</v>
      </c>
      <c r="AS8" s="74">
        <v>553.98721044601871</v>
      </c>
      <c r="AT8" s="74">
        <v>636.22056479284151</v>
      </c>
      <c r="AU8" s="74">
        <v>627.87550566264338</v>
      </c>
      <c r="AV8" s="74">
        <v>481.53595898672029</v>
      </c>
      <c r="AW8" s="74">
        <v>643.91073717668144</v>
      </c>
      <c r="AX8" s="74">
        <v>632.7438168291601</v>
      </c>
      <c r="AY8" s="74">
        <v>521.38171620575486</v>
      </c>
      <c r="AZ8" s="74">
        <v>688.42303448685959</v>
      </c>
      <c r="BA8" s="74">
        <v>717.01714872726541</v>
      </c>
      <c r="BB8" s="74">
        <v>683.61809897243484</v>
      </c>
      <c r="BC8" s="74">
        <v>646.21448521747004</v>
      </c>
      <c r="BD8" s="74">
        <v>675.5433345719506</v>
      </c>
      <c r="BE8" s="74">
        <v>724.21677161279001</v>
      </c>
      <c r="BF8" s="74">
        <v>768.0668204696625</v>
      </c>
      <c r="BG8" s="74">
        <v>745.77128121763667</v>
      </c>
      <c r="BH8" s="74">
        <v>713.26587399008451</v>
      </c>
      <c r="BI8" s="74">
        <v>660.21418905576513</v>
      </c>
      <c r="BJ8" s="74">
        <v>701.35056904780561</v>
      </c>
      <c r="BK8" s="74">
        <v>639.09930483549954</v>
      </c>
      <c r="BL8" s="74">
        <v>672.14153209802237</v>
      </c>
      <c r="BM8" s="74">
        <v>998.63134547925915</v>
      </c>
      <c r="BN8" s="74">
        <v>737.90325316300448</v>
      </c>
      <c r="BO8" s="74">
        <v>691.54310515721204</v>
      </c>
      <c r="BP8" s="74">
        <v>856.67139133080752</v>
      </c>
      <c r="BQ8" s="74">
        <v>773.05299056403908</v>
      </c>
      <c r="BR8" s="74">
        <v>749.33315893220765</v>
      </c>
      <c r="BS8" s="74">
        <v>760.33608969403076</v>
      </c>
      <c r="BT8" s="74">
        <v>761.15081392363845</v>
      </c>
      <c r="BU8" s="74">
        <v>804.53001965858653</v>
      </c>
      <c r="BV8" s="74">
        <v>965.68623090820108</v>
      </c>
      <c r="BW8" s="74">
        <v>631.8814171961634</v>
      </c>
      <c r="BX8" s="74">
        <v>944.37881094686315</v>
      </c>
      <c r="BY8" s="74">
        <v>1131.540305002457</v>
      </c>
      <c r="BZ8" s="74">
        <v>1100.0515876911784</v>
      </c>
      <c r="CA8" s="74">
        <v>867.04725089390877</v>
      </c>
      <c r="CB8" s="74">
        <v>902.15689553267362</v>
      </c>
      <c r="CC8" s="74">
        <v>758.1666133821094</v>
      </c>
      <c r="CD8" s="74">
        <v>794.35046036442395</v>
      </c>
      <c r="CE8" s="74">
        <v>1318.2641365405138</v>
      </c>
      <c r="CF8" s="74">
        <v>993.08067074886151</v>
      </c>
      <c r="CG8" s="74">
        <v>856.11425929715983</v>
      </c>
      <c r="CH8" s="74">
        <v>1019.232829161117</v>
      </c>
      <c r="CI8" s="74">
        <v>831.52408040219302</v>
      </c>
      <c r="CJ8" s="74">
        <v>877.99764893851875</v>
      </c>
      <c r="CK8" s="74">
        <v>1375.9955791050147</v>
      </c>
      <c r="CL8" s="74">
        <v>986.97419693283337</v>
      </c>
      <c r="CM8" s="74">
        <v>937.975862093042</v>
      </c>
      <c r="CN8" s="74">
        <v>1238.1443395436959</v>
      </c>
      <c r="CO8" s="74">
        <v>1317.7952725958007</v>
      </c>
      <c r="CP8" s="74">
        <v>1258.873776634251</v>
      </c>
      <c r="CQ8" s="74">
        <v>1233.6912133749281</v>
      </c>
      <c r="CR8" s="74">
        <v>1268.5912086564063</v>
      </c>
      <c r="CS8" s="74">
        <v>1283.7965596180666</v>
      </c>
      <c r="CT8" s="74">
        <v>1432.3735037410413</v>
      </c>
      <c r="CU8" s="74">
        <v>1771.4708567809366</v>
      </c>
      <c r="CV8" s="74">
        <v>1717.3492100626158</v>
      </c>
      <c r="CW8" s="74">
        <v>2052.9382363167442</v>
      </c>
      <c r="CX8" s="74">
        <v>2049.7222870626056</v>
      </c>
      <c r="CY8" s="74">
        <v>1781.3366930128504</v>
      </c>
      <c r="CZ8" s="74">
        <v>2146.4793368186442</v>
      </c>
      <c r="DA8" s="74">
        <v>2319.5285795630575</v>
      </c>
      <c r="DB8" s="74">
        <v>1789.654860146894</v>
      </c>
      <c r="DC8" s="74">
        <v>2058.70978647427</v>
      </c>
      <c r="DD8" s="74">
        <v>1507.9556233094449</v>
      </c>
      <c r="DE8" s="74">
        <v>1480.856085063072</v>
      </c>
      <c r="DF8" s="74">
        <v>1214.0227855517076</v>
      </c>
      <c r="DG8" s="74">
        <v>989.83274357061987</v>
      </c>
      <c r="DH8" s="74">
        <v>1242.3095145581869</v>
      </c>
      <c r="DI8" s="74">
        <v>1934.0359251971097</v>
      </c>
      <c r="DJ8" s="74">
        <v>1415.3083374032904</v>
      </c>
      <c r="DK8" s="74">
        <v>1432.5910397815637</v>
      </c>
      <c r="DL8" s="74">
        <v>1518.0217014327741</v>
      </c>
      <c r="DM8" s="74">
        <v>1314.2620802876959</v>
      </c>
      <c r="DN8" s="74">
        <v>1989.2161587125624</v>
      </c>
      <c r="DO8" s="74">
        <v>1679.8887847314397</v>
      </c>
      <c r="DP8" s="74">
        <v>2068.6899696434248</v>
      </c>
      <c r="DQ8" s="74">
        <v>1580.2339064491337</v>
      </c>
      <c r="DR8" s="74">
        <v>1974.9008454524269</v>
      </c>
      <c r="DS8" s="74">
        <v>1576.7587099291172</v>
      </c>
      <c r="DT8" s="74">
        <v>2257.0031331715186</v>
      </c>
      <c r="DU8" s="74">
        <v>2200.7419579472544</v>
      </c>
      <c r="DV8" s="74">
        <v>1991.403428163293</v>
      </c>
      <c r="DW8" s="74">
        <v>1682.5123594664426</v>
      </c>
      <c r="DX8" s="74">
        <v>1953.3373370286827</v>
      </c>
      <c r="DY8" s="74">
        <v>1754.7547005227627</v>
      </c>
      <c r="DZ8" s="74">
        <v>1772.5638724685498</v>
      </c>
      <c r="EA8" s="74">
        <v>1981.401184519993</v>
      </c>
      <c r="EB8" s="74">
        <v>1909.5160881587817</v>
      </c>
      <c r="EC8" s="74">
        <v>2123.508199332271</v>
      </c>
      <c r="ED8" s="74">
        <v>2353.2267687221333</v>
      </c>
      <c r="EE8" s="74">
        <v>2139.8584616343674</v>
      </c>
      <c r="EF8" s="74">
        <v>2497.6567266338448</v>
      </c>
      <c r="EG8" s="74">
        <v>2906.6329440469276</v>
      </c>
      <c r="EH8" s="74">
        <v>2370.7732292363235</v>
      </c>
      <c r="EI8" s="74">
        <v>2933.5932842185998</v>
      </c>
      <c r="EJ8" s="74">
        <v>2528.6789723516608</v>
      </c>
      <c r="EK8" s="74">
        <v>2578.9365959402521</v>
      </c>
      <c r="EL8" s="74">
        <v>2784.1152315363493</v>
      </c>
      <c r="EM8" s="74">
        <v>2505.7207573608398</v>
      </c>
      <c r="EN8" s="74">
        <v>2346.1657887994606</v>
      </c>
      <c r="EO8" s="74">
        <v>3244.4142561141703</v>
      </c>
      <c r="EP8" s="74">
        <v>2848.4994738078053</v>
      </c>
      <c r="EQ8" s="74">
        <v>2743.6755915204135</v>
      </c>
      <c r="ER8" s="74">
        <v>2962.6431389694126</v>
      </c>
      <c r="ES8" s="74">
        <v>3535.527497484597</v>
      </c>
      <c r="ET8" s="74">
        <v>2944.4107374807977</v>
      </c>
      <c r="EU8" s="74">
        <v>2739.7510042966296</v>
      </c>
      <c r="EV8" s="74">
        <v>2889.7993282342513</v>
      </c>
      <c r="EW8" s="74">
        <v>2751.1133109892849</v>
      </c>
      <c r="EX8" s="74">
        <v>2974.6688621251487</v>
      </c>
      <c r="EY8" s="74">
        <v>2803.5549008168828</v>
      </c>
      <c r="EZ8" s="74">
        <v>2663.5039086498577</v>
      </c>
      <c r="FA8" s="74">
        <v>2712.4400557732447</v>
      </c>
      <c r="FB8" s="74">
        <v>3228.9132870236576</v>
      </c>
      <c r="FC8" s="74">
        <v>2505.9366357945605</v>
      </c>
      <c r="FD8" s="74">
        <v>3058.8741557869239</v>
      </c>
      <c r="FE8" s="74">
        <v>3777.4828221410316</v>
      </c>
      <c r="FF8" s="74">
        <v>3084.4171326271226</v>
      </c>
      <c r="FG8" s="74">
        <v>2667.6387626378828</v>
      </c>
      <c r="FH8" s="74">
        <v>3577.8606592662136</v>
      </c>
      <c r="FI8" s="74">
        <v>3044.7998524339628</v>
      </c>
      <c r="FJ8" s="74">
        <v>3093.4515012691531</v>
      </c>
      <c r="FK8" s="74">
        <v>3268.3003341792128</v>
      </c>
      <c r="FL8" s="74">
        <v>3031.1971904741745</v>
      </c>
      <c r="FM8" s="74">
        <v>2920.8824416762313</v>
      </c>
      <c r="FN8" s="74">
        <v>3348.5439061246129</v>
      </c>
      <c r="FO8" s="74">
        <v>2616.2871031132913</v>
      </c>
      <c r="FP8" s="74">
        <v>3270.4762595619736</v>
      </c>
      <c r="FQ8" s="74">
        <v>4089.1045524740393</v>
      </c>
      <c r="FR8" s="74">
        <v>3193.6411727944369</v>
      </c>
      <c r="FS8" s="74">
        <v>3498.3321770033003</v>
      </c>
      <c r="FT8" s="74">
        <v>3349.571538290817</v>
      </c>
      <c r="FU8" s="74">
        <v>2827.1989135148651</v>
      </c>
      <c r="FV8" s="74">
        <v>3238.1989920535098</v>
      </c>
      <c r="FW8" s="74">
        <v>3215.9853513850539</v>
      </c>
      <c r="FX8" s="74">
        <v>3307.502751954285</v>
      </c>
      <c r="FY8" s="74">
        <v>3077.2070884841696</v>
      </c>
      <c r="FZ8" s="74">
        <v>2847.8176133077136</v>
      </c>
      <c r="GA8" s="74">
        <v>2650.8310612070609</v>
      </c>
      <c r="GB8" s="74">
        <v>2733.137690715218</v>
      </c>
      <c r="GC8" s="74">
        <v>3406.4900945453433</v>
      </c>
      <c r="GD8" s="74">
        <v>2958.1749100941461</v>
      </c>
      <c r="GE8" s="74">
        <v>3163.1338170077561</v>
      </c>
      <c r="GF8" s="74">
        <v>3683.7480702097068</v>
      </c>
      <c r="GG8" s="74">
        <v>2492.82561472199</v>
      </c>
      <c r="GH8" s="74">
        <v>2499.9253813975706</v>
      </c>
      <c r="GI8" s="74">
        <v>2490.5015455042512</v>
      </c>
      <c r="GJ8" s="74">
        <v>2372.534913777115</v>
      </c>
      <c r="GK8" s="74">
        <v>2022.600575153027</v>
      </c>
      <c r="GL8" s="74">
        <v>2558.5489171607896</v>
      </c>
      <c r="GM8" s="74">
        <v>2325.4253670153007</v>
      </c>
      <c r="GN8" s="74">
        <v>2321.0813502741612</v>
      </c>
      <c r="GO8" s="74">
        <v>2677.1545379545714</v>
      </c>
      <c r="GP8" s="74">
        <v>2034.0975450665603</v>
      </c>
      <c r="GQ8" s="74">
        <v>2521.1193029124461</v>
      </c>
      <c r="GR8" s="74">
        <v>2426.371186286442</v>
      </c>
      <c r="GS8" s="74">
        <v>2667.4967365574098</v>
      </c>
      <c r="GT8" s="74">
        <v>2458.1737573737919</v>
      </c>
      <c r="GU8" s="74">
        <v>2505.727985103149</v>
      </c>
      <c r="GV8" s="74">
        <v>2341.1074151048101</v>
      </c>
      <c r="GW8" s="74">
        <v>3477.7807392073087</v>
      </c>
      <c r="GX8" s="74">
        <v>3066.051108873764</v>
      </c>
      <c r="GY8" s="74">
        <v>2356.580018004197</v>
      </c>
      <c r="GZ8" s="74">
        <v>2990.9841197153692</v>
      </c>
      <c r="HA8" s="74">
        <v>3092.4011915965693</v>
      </c>
      <c r="HB8" s="74">
        <v>2834.5360499640265</v>
      </c>
      <c r="HC8" s="74">
        <v>2649.0503783869372</v>
      </c>
      <c r="HD8" s="74">
        <v>2828.3325457869742</v>
      </c>
      <c r="HE8" s="74">
        <v>2559.8674524700496</v>
      </c>
      <c r="HF8" s="74">
        <v>2551.429483255713</v>
      </c>
      <c r="HG8" s="74">
        <v>2487.0286679664937</v>
      </c>
      <c r="HH8" s="74">
        <v>2762.3305615771405</v>
      </c>
      <c r="HI8" s="74">
        <v>3247.9013872468117</v>
      </c>
    </row>
    <row r="9" spans="1:217" s="69" customFormat="1" x14ac:dyDescent="0.35">
      <c r="A9" s="170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</row>
    <row r="10" spans="1:217" s="69" customFormat="1" ht="15.5" x14ac:dyDescent="0.35">
      <c r="A10" s="169" t="s">
        <v>578</v>
      </c>
      <c r="B10" s="74">
        <v>79.03933983060341</v>
      </c>
      <c r="C10" s="74">
        <v>107.61061593333334</v>
      </c>
      <c r="D10" s="74">
        <v>109.66713733333334</v>
      </c>
      <c r="E10" s="74">
        <v>84.909836999999996</v>
      </c>
      <c r="F10" s="74">
        <v>95.476957000000013</v>
      </c>
      <c r="G10" s="74">
        <v>97.821556999999999</v>
      </c>
      <c r="H10" s="74">
        <v>144.89245700000001</v>
      </c>
      <c r="I10" s="74">
        <v>182.42185700000002</v>
      </c>
      <c r="J10" s="74">
        <v>144.832978</v>
      </c>
      <c r="K10" s="74">
        <v>148.58707699999999</v>
      </c>
      <c r="L10" s="74">
        <v>145.026917</v>
      </c>
      <c r="M10" s="74">
        <v>119.78059700000001</v>
      </c>
      <c r="N10" s="74">
        <v>100.024227</v>
      </c>
      <c r="O10" s="74">
        <v>135.61922700000002</v>
      </c>
      <c r="P10" s="74">
        <v>149.55722700000004</v>
      </c>
      <c r="Q10" s="74">
        <v>112.28</v>
      </c>
      <c r="R10" s="74">
        <v>133.73400000000001</v>
      </c>
      <c r="S10" s="74">
        <v>138.80900000000003</v>
      </c>
      <c r="T10" s="74">
        <v>73.850000000000009</v>
      </c>
      <c r="U10" s="74">
        <v>148.643</v>
      </c>
      <c r="V10" s="74">
        <v>98.728000000000009</v>
      </c>
      <c r="W10" s="74">
        <v>105.07200000000002</v>
      </c>
      <c r="X10" s="74">
        <v>103.99600000000001</v>
      </c>
      <c r="Y10" s="74">
        <v>51.484999999999999</v>
      </c>
      <c r="Z10" s="74">
        <v>107.78200000000001</v>
      </c>
      <c r="AA10" s="74">
        <v>96.135999999999996</v>
      </c>
      <c r="AB10" s="74">
        <v>84.473000000000013</v>
      </c>
      <c r="AC10" s="74">
        <v>87.93319172999999</v>
      </c>
      <c r="AD10" s="74">
        <v>130.95773073999999</v>
      </c>
      <c r="AE10" s="74">
        <v>103.42</v>
      </c>
      <c r="AF10" s="74">
        <v>107.85222699999998</v>
      </c>
      <c r="AG10" s="74">
        <v>125.19022699999999</v>
      </c>
      <c r="AH10" s="74">
        <v>148.370227</v>
      </c>
      <c r="AI10" s="74">
        <v>146.19522700000002</v>
      </c>
      <c r="AJ10" s="74">
        <v>111.66922700000001</v>
      </c>
      <c r="AK10" s="74">
        <v>142.78222700000001</v>
      </c>
      <c r="AL10" s="74">
        <v>141</v>
      </c>
      <c r="AM10" s="74">
        <v>129.19999999999999</v>
      </c>
      <c r="AN10" s="74">
        <v>163.6</v>
      </c>
      <c r="AO10" s="74">
        <v>63.9</v>
      </c>
      <c r="AP10" s="74">
        <v>105.57</v>
      </c>
      <c r="AQ10" s="74">
        <v>143.69999999999999</v>
      </c>
      <c r="AR10" s="74">
        <v>156.20000000000002</v>
      </c>
      <c r="AS10" s="74">
        <v>155.5</v>
      </c>
      <c r="AT10" s="74">
        <v>148.5</v>
      </c>
      <c r="AU10" s="74">
        <v>146.05793149000002</v>
      </c>
      <c r="AV10" s="74">
        <v>114.1275383088</v>
      </c>
      <c r="AW10" s="74">
        <v>196.29726749379998</v>
      </c>
      <c r="AX10" s="74">
        <v>164.16096347000001</v>
      </c>
      <c r="AY10" s="74">
        <v>116.66979266837777</v>
      </c>
      <c r="AZ10" s="74">
        <v>149.02849866000003</v>
      </c>
      <c r="BA10" s="74">
        <v>127.70700000000001</v>
      </c>
      <c r="BB10" s="74">
        <v>195.81120000000004</v>
      </c>
      <c r="BC10" s="74">
        <v>177.46199999999999</v>
      </c>
      <c r="BD10" s="74">
        <v>205.06399999999999</v>
      </c>
      <c r="BE10" s="74">
        <v>193.062702</v>
      </c>
      <c r="BF10" s="74">
        <v>212.72751299999999</v>
      </c>
      <c r="BG10" s="74">
        <v>219.96999999999997</v>
      </c>
      <c r="BH10" s="74">
        <v>209.04399999999993</v>
      </c>
      <c r="BI10" s="74">
        <v>144.678</v>
      </c>
      <c r="BJ10" s="74">
        <v>137.613999543945</v>
      </c>
      <c r="BK10" s="74">
        <v>153.2350000284203</v>
      </c>
      <c r="BL10" s="74">
        <v>141.096</v>
      </c>
      <c r="BM10" s="74">
        <v>210.17400000000001</v>
      </c>
      <c r="BN10" s="74">
        <v>182.71054116999997</v>
      </c>
      <c r="BO10" s="74">
        <v>206.80899999999997</v>
      </c>
      <c r="BP10" s="74">
        <v>258.00800000000004</v>
      </c>
      <c r="BQ10" s="74">
        <v>225.73600000000002</v>
      </c>
      <c r="BR10" s="74">
        <v>156.45799999999997</v>
      </c>
      <c r="BS10" s="74">
        <v>257.45511433999997</v>
      </c>
      <c r="BT10" s="74">
        <v>195.51211671000004</v>
      </c>
      <c r="BU10" s="74">
        <v>86.78981880000002</v>
      </c>
      <c r="BV10" s="74">
        <v>291.76077954394498</v>
      </c>
      <c r="BW10" s="74">
        <v>206.91200002842032</v>
      </c>
      <c r="BX10" s="74">
        <v>232.84808568</v>
      </c>
      <c r="BY10" s="74">
        <v>223.011</v>
      </c>
      <c r="BZ10" s="74">
        <v>365.32688634999994</v>
      </c>
      <c r="CA10" s="74">
        <v>239.01207323999998</v>
      </c>
      <c r="CB10" s="74">
        <v>277.40278298999999</v>
      </c>
      <c r="CC10" s="74">
        <v>197.26423275750003</v>
      </c>
      <c r="CD10" s="74">
        <v>72.342065140000017</v>
      </c>
      <c r="CE10" s="74">
        <v>638.04295268999999</v>
      </c>
      <c r="CF10" s="74">
        <v>332.80701582999995</v>
      </c>
      <c r="CG10" s="74">
        <v>158.27673856000001</v>
      </c>
      <c r="CH10" s="74">
        <v>226.58420077999995</v>
      </c>
      <c r="CI10" s="74">
        <v>175.22393001000003</v>
      </c>
      <c r="CJ10" s="74">
        <v>171.15801534999997</v>
      </c>
      <c r="CK10" s="74">
        <v>255.56314820999989</v>
      </c>
      <c r="CL10" s="74">
        <v>197.24108254000018</v>
      </c>
      <c r="CM10" s="74">
        <v>238.8358745499998</v>
      </c>
      <c r="CN10" s="74">
        <v>392.98831932000019</v>
      </c>
      <c r="CO10" s="74">
        <v>225.66620293000005</v>
      </c>
      <c r="CP10" s="74">
        <v>350.05521084000014</v>
      </c>
      <c r="CQ10" s="74">
        <v>320.03272409999977</v>
      </c>
      <c r="CR10" s="74">
        <v>352.4720434300001</v>
      </c>
      <c r="CS10" s="74">
        <v>412.23911492000002</v>
      </c>
      <c r="CT10" s="74">
        <v>432.19861470999996</v>
      </c>
      <c r="CU10" s="74">
        <v>964.12492658000019</v>
      </c>
      <c r="CV10" s="74">
        <v>676.67948165999996</v>
      </c>
      <c r="CW10" s="74">
        <v>732.61387988000001</v>
      </c>
      <c r="CX10" s="74">
        <v>1086.4720838899998</v>
      </c>
      <c r="CY10" s="74">
        <v>928.85430914999995</v>
      </c>
      <c r="CZ10" s="74">
        <v>910.81243233000009</v>
      </c>
      <c r="DA10" s="74">
        <v>1078.91316686</v>
      </c>
      <c r="DB10" s="74">
        <v>535.33103676000007</v>
      </c>
      <c r="DC10" s="74">
        <v>681.34909483000001</v>
      </c>
      <c r="DD10" s="74">
        <v>363.24154220999998</v>
      </c>
      <c r="DE10" s="74">
        <v>284.68126118000004</v>
      </c>
      <c r="DF10" s="74">
        <v>203.75661939000003</v>
      </c>
      <c r="DG10" s="74">
        <v>136.94016413</v>
      </c>
      <c r="DH10" s="74">
        <v>311.65982868000003</v>
      </c>
      <c r="DI10" s="74">
        <v>367.55834260000006</v>
      </c>
      <c r="DJ10" s="74">
        <v>389.01588818000005</v>
      </c>
      <c r="DK10" s="74">
        <v>459.1552744</v>
      </c>
      <c r="DL10" s="74">
        <v>520.54144205</v>
      </c>
      <c r="DM10" s="74">
        <v>402.09624486999996</v>
      </c>
      <c r="DN10" s="74">
        <v>655.21806543824846</v>
      </c>
      <c r="DO10" s="74">
        <v>646.43226965720464</v>
      </c>
      <c r="DP10" s="74">
        <v>591.07132748575441</v>
      </c>
      <c r="DQ10" s="74">
        <v>528.05569303185939</v>
      </c>
      <c r="DR10" s="74">
        <v>751.38674399541355</v>
      </c>
      <c r="DS10" s="74">
        <v>515.60063067690737</v>
      </c>
      <c r="DT10" s="74">
        <v>657.12499627461034</v>
      </c>
      <c r="DU10" s="74">
        <v>732.3373532589527</v>
      </c>
      <c r="DV10" s="74">
        <v>730.31073324987142</v>
      </c>
      <c r="DW10" s="74">
        <v>549.31656774901865</v>
      </c>
      <c r="DX10" s="74">
        <v>730.48506735170645</v>
      </c>
      <c r="DY10" s="74">
        <v>519.86296380723138</v>
      </c>
      <c r="DZ10" s="74">
        <v>633.87622685919996</v>
      </c>
      <c r="EA10" s="74">
        <v>703.06008885585766</v>
      </c>
      <c r="EB10" s="74">
        <v>585.1883340204181</v>
      </c>
      <c r="EC10" s="74">
        <v>736.47075193139563</v>
      </c>
      <c r="ED10" s="74">
        <v>937.06376699293901</v>
      </c>
      <c r="EE10" s="74">
        <v>899.20781556999998</v>
      </c>
      <c r="EF10" s="74">
        <v>1080.9271261400002</v>
      </c>
      <c r="EG10" s="74">
        <v>1099.1978568100001</v>
      </c>
      <c r="EH10" s="74">
        <v>875.52452496385899</v>
      </c>
      <c r="EI10" s="74">
        <v>1518.0536411313321</v>
      </c>
      <c r="EJ10" s="74">
        <v>1045.9544569315631</v>
      </c>
      <c r="EK10" s="74">
        <v>1138.358147077671</v>
      </c>
      <c r="EL10" s="74">
        <v>1117.1748491258729</v>
      </c>
      <c r="EM10" s="74">
        <v>1042.3752460015289</v>
      </c>
      <c r="EN10" s="74">
        <v>722.48646282000004</v>
      </c>
      <c r="EO10" s="74">
        <v>1458.27784722565</v>
      </c>
      <c r="EP10" s="74">
        <v>924.78570927838666</v>
      </c>
      <c r="EQ10" s="74">
        <v>954.1702054332776</v>
      </c>
      <c r="ER10" s="74">
        <v>1214.7508457586628</v>
      </c>
      <c r="ES10" s="74">
        <v>1358.2018177</v>
      </c>
      <c r="ET10" s="74">
        <v>1257.22851472</v>
      </c>
      <c r="EU10" s="74">
        <v>1110.0759305199999</v>
      </c>
      <c r="EV10" s="74">
        <v>951.23640685999999</v>
      </c>
      <c r="EW10" s="74">
        <v>897.05713327000012</v>
      </c>
      <c r="EX10" s="74">
        <v>1042.26085655</v>
      </c>
      <c r="EY10" s="74">
        <v>1031.5763082000001</v>
      </c>
      <c r="EZ10" s="74">
        <v>865.22400000000005</v>
      </c>
      <c r="FA10" s="74">
        <v>613.13823368999999</v>
      </c>
      <c r="FB10" s="74">
        <v>997.90465793719704</v>
      </c>
      <c r="FC10" s="74">
        <v>790.97942442223746</v>
      </c>
      <c r="FD10" s="74">
        <v>1152.2131352420083</v>
      </c>
      <c r="FE10" s="74">
        <v>1089.2756609258054</v>
      </c>
      <c r="FF10" s="74">
        <v>886.85180837999997</v>
      </c>
      <c r="FG10" s="74">
        <v>727.77473297619667</v>
      </c>
      <c r="FH10" s="74">
        <v>1138.0437514316923</v>
      </c>
      <c r="FI10" s="74">
        <v>861.94832452764717</v>
      </c>
      <c r="FJ10" s="74">
        <v>1087.3794294054999</v>
      </c>
      <c r="FK10" s="74">
        <v>979.18124048812433</v>
      </c>
      <c r="FL10" s="74">
        <v>921.82340057621423</v>
      </c>
      <c r="FM10" s="74">
        <v>800.01257508442006</v>
      </c>
      <c r="FN10" s="74">
        <v>841.96946919828292</v>
      </c>
      <c r="FO10" s="74">
        <v>787.87033687703797</v>
      </c>
      <c r="FP10" s="74">
        <v>1071.2251955779</v>
      </c>
      <c r="FQ10" s="74">
        <v>1119.496185521934</v>
      </c>
      <c r="FR10" s="74">
        <v>1010.4024999999999</v>
      </c>
      <c r="FS10" s="74">
        <v>1072.9812938800001</v>
      </c>
      <c r="FT10" s="74">
        <v>961.56036675681457</v>
      </c>
      <c r="FU10" s="74">
        <v>558.55345448000003</v>
      </c>
      <c r="FV10" s="74">
        <v>1073.037048423904</v>
      </c>
      <c r="FW10" s="74">
        <v>920.65367555868806</v>
      </c>
      <c r="FX10" s="74">
        <v>784.52370113999996</v>
      </c>
      <c r="FY10" s="74">
        <v>703.55011079704173</v>
      </c>
      <c r="FZ10" s="74">
        <v>573.37913691306244</v>
      </c>
      <c r="GA10" s="74">
        <v>426.10287269000003</v>
      </c>
      <c r="GB10" s="74">
        <v>519.05895825000005</v>
      </c>
      <c r="GC10" s="74">
        <v>578.54753338</v>
      </c>
      <c r="GD10" s="74">
        <v>587.72219113999995</v>
      </c>
      <c r="GE10" s="74">
        <v>673.96113734000005</v>
      </c>
      <c r="GF10" s="74">
        <v>726.34890968575905</v>
      </c>
      <c r="GG10" s="74">
        <v>550.63993786000003</v>
      </c>
      <c r="GH10" s="74">
        <v>512.79442407190368</v>
      </c>
      <c r="GI10" s="74">
        <v>456.36866939999993</v>
      </c>
      <c r="GJ10" s="74">
        <v>455.63435322999993</v>
      </c>
      <c r="GK10" s="74">
        <v>426.82251434</v>
      </c>
      <c r="GL10" s="74">
        <v>383.57016399999998</v>
      </c>
      <c r="GM10" s="74">
        <v>590.51455003000001</v>
      </c>
      <c r="GN10" s="74">
        <v>381.18810858000001</v>
      </c>
      <c r="GO10" s="74">
        <v>375.56330358999998</v>
      </c>
      <c r="GP10" s="74">
        <v>391.28895879000004</v>
      </c>
      <c r="GQ10" s="74">
        <v>406.47304021000002</v>
      </c>
      <c r="GR10" s="74">
        <v>369.63671511000001</v>
      </c>
      <c r="GS10" s="74">
        <v>451.28007744000001</v>
      </c>
      <c r="GT10" s="74">
        <v>453.16975213000001</v>
      </c>
      <c r="GU10" s="74">
        <v>416.6036512</v>
      </c>
      <c r="GV10" s="74">
        <v>461.82763734000002</v>
      </c>
      <c r="GW10" s="74">
        <v>720.8358208300001</v>
      </c>
      <c r="GX10" s="74">
        <v>364.74174292468803</v>
      </c>
      <c r="GY10" s="74">
        <v>385.24342019708001</v>
      </c>
      <c r="GZ10" s="74">
        <v>553.14742308827999</v>
      </c>
      <c r="HA10" s="74">
        <v>435.81740386596005</v>
      </c>
      <c r="HB10" s="74">
        <v>536.19946813400009</v>
      </c>
      <c r="HC10" s="74">
        <v>462.81214951760006</v>
      </c>
      <c r="HD10" s="74">
        <v>509.90377742999999</v>
      </c>
      <c r="HE10" s="74">
        <v>498.16143731</v>
      </c>
      <c r="HF10" s="74">
        <v>473.31348745000003</v>
      </c>
      <c r="HG10" s="74">
        <v>444.17845826999996</v>
      </c>
      <c r="HH10" s="74">
        <v>560.22846948999995</v>
      </c>
      <c r="HI10" s="74">
        <v>616.2612832100001</v>
      </c>
    </row>
    <row r="11" spans="1:217" ht="15.5" x14ac:dyDescent="0.35">
      <c r="A11" s="171" t="s">
        <v>579</v>
      </c>
      <c r="B11" s="76">
        <v>79.03933983060341</v>
      </c>
      <c r="C11" s="76">
        <v>107.61061593333334</v>
      </c>
      <c r="D11" s="76">
        <v>109.66713733333334</v>
      </c>
      <c r="E11" s="76">
        <v>84.909836999999996</v>
      </c>
      <c r="F11" s="76">
        <v>95.476957000000013</v>
      </c>
      <c r="G11" s="76">
        <v>75.276556999999997</v>
      </c>
      <c r="H11" s="76">
        <v>104.29965700000001</v>
      </c>
      <c r="I11" s="76">
        <v>155.687757</v>
      </c>
      <c r="J11" s="76">
        <v>121.012978</v>
      </c>
      <c r="K11" s="76">
        <v>124.879077</v>
      </c>
      <c r="L11" s="76">
        <v>118.776917</v>
      </c>
      <c r="M11" s="76">
        <v>110.28059700000001</v>
      </c>
      <c r="N11" s="76">
        <v>69.165227000000002</v>
      </c>
      <c r="O11" s="76">
        <v>97.708227000000008</v>
      </c>
      <c r="P11" s="76">
        <v>95.699227000000036</v>
      </c>
      <c r="Q11" s="76">
        <v>72.790000000000006</v>
      </c>
      <c r="R11" s="76">
        <v>84.596000000000004</v>
      </c>
      <c r="S11" s="76">
        <v>83.765000000000015</v>
      </c>
      <c r="T11" s="76">
        <v>42.833000000000006</v>
      </c>
      <c r="U11" s="76">
        <v>105.58199999999999</v>
      </c>
      <c r="V11" s="76">
        <v>76.178000000000011</v>
      </c>
      <c r="W11" s="76">
        <v>96.622000000000014</v>
      </c>
      <c r="X11" s="76">
        <v>89.333000000000013</v>
      </c>
      <c r="Y11" s="76">
        <v>41.097999999999999</v>
      </c>
      <c r="Z11" s="76">
        <v>62.813000000000002</v>
      </c>
      <c r="AA11" s="76">
        <v>56.663000000000004</v>
      </c>
      <c r="AB11" s="76">
        <v>39.977000000000011</v>
      </c>
      <c r="AC11" s="76">
        <v>66.194191729999986</v>
      </c>
      <c r="AD11" s="76">
        <v>84.218730739999998</v>
      </c>
      <c r="AE11" s="76">
        <v>74.22</v>
      </c>
      <c r="AF11" s="76">
        <v>78.852226999999985</v>
      </c>
      <c r="AG11" s="76">
        <v>90.033226999999997</v>
      </c>
      <c r="AH11" s="76">
        <v>118.36352699999999</v>
      </c>
      <c r="AI11" s="76">
        <v>116.18822700000001</v>
      </c>
      <c r="AJ11" s="76">
        <v>85.119227000000009</v>
      </c>
      <c r="AK11" s="76">
        <v>101.24122700000001</v>
      </c>
      <c r="AL11" s="76">
        <v>102.11111111111111</v>
      </c>
      <c r="AM11" s="76">
        <v>89.8</v>
      </c>
      <c r="AN11" s="76">
        <v>100.6</v>
      </c>
      <c r="AO11" s="76">
        <v>63.9</v>
      </c>
      <c r="AP11" s="76">
        <v>54.57</v>
      </c>
      <c r="AQ11" s="76">
        <v>92.7</v>
      </c>
      <c r="AR11" s="76">
        <v>105.53333333333335</v>
      </c>
      <c r="AS11" s="76">
        <v>97.2</v>
      </c>
      <c r="AT11" s="76">
        <v>95.5</v>
      </c>
      <c r="AU11" s="76">
        <v>95.257931490000018</v>
      </c>
      <c r="AV11" s="76">
        <v>69.127538308799998</v>
      </c>
      <c r="AW11" s="76">
        <v>129.29726749379998</v>
      </c>
      <c r="AX11" s="76">
        <v>124.52596347000001</v>
      </c>
      <c r="AY11" s="76">
        <v>75.010792668377775</v>
      </c>
      <c r="AZ11" s="76">
        <v>104.30649866000002</v>
      </c>
      <c r="BA11" s="76">
        <v>69.510000000000005</v>
      </c>
      <c r="BB11" s="76">
        <v>149.37620000000004</v>
      </c>
      <c r="BC11" s="76">
        <v>134.83150000000001</v>
      </c>
      <c r="BD11" s="76">
        <v>144.31649999999999</v>
      </c>
      <c r="BE11" s="76">
        <v>152.793702</v>
      </c>
      <c r="BF11" s="76">
        <v>184.62004699999997</v>
      </c>
      <c r="BG11" s="76">
        <v>181.11099999999996</v>
      </c>
      <c r="BH11" s="76">
        <v>181.22747999999993</v>
      </c>
      <c r="BI11" s="76">
        <v>136.15600000000001</v>
      </c>
      <c r="BJ11" s="76">
        <v>100.813999543945</v>
      </c>
      <c r="BK11" s="76">
        <v>151.61700002842031</v>
      </c>
      <c r="BL11" s="76">
        <v>126.29599999999999</v>
      </c>
      <c r="BM11" s="76">
        <v>186.374</v>
      </c>
      <c r="BN11" s="76">
        <v>172.01054116999998</v>
      </c>
      <c r="BO11" s="76">
        <v>182.69899999999996</v>
      </c>
      <c r="BP11" s="76">
        <v>232.10800000000003</v>
      </c>
      <c r="BQ11" s="76">
        <v>211.77500000000001</v>
      </c>
      <c r="BR11" s="76">
        <v>156.45799999999997</v>
      </c>
      <c r="BS11" s="76">
        <v>257.45511433999997</v>
      </c>
      <c r="BT11" s="76">
        <v>195.51211671000004</v>
      </c>
      <c r="BU11" s="76">
        <v>160.06681880000002</v>
      </c>
      <c r="BV11" s="76">
        <v>291.76077954394498</v>
      </c>
      <c r="BW11" s="76">
        <v>206.91200002842032</v>
      </c>
      <c r="BX11" s="76">
        <v>232.84808568</v>
      </c>
      <c r="BY11" s="76">
        <v>223.011</v>
      </c>
      <c r="BZ11" s="76">
        <v>365.32688634999994</v>
      </c>
      <c r="CA11" s="76">
        <v>239.01207323999998</v>
      </c>
      <c r="CB11" s="76">
        <v>277.40278298999999</v>
      </c>
      <c r="CC11" s="76">
        <v>197.26423275750003</v>
      </c>
      <c r="CD11" s="76">
        <v>72.342065140000017</v>
      </c>
      <c r="CE11" s="76">
        <v>638.04295268999999</v>
      </c>
      <c r="CF11" s="76">
        <v>332.80701582999995</v>
      </c>
      <c r="CG11" s="76">
        <v>158.27673856000001</v>
      </c>
      <c r="CH11" s="76">
        <v>226.58420077999995</v>
      </c>
      <c r="CI11" s="76">
        <v>175.22393001000003</v>
      </c>
      <c r="CJ11" s="76">
        <v>171.15801534999997</v>
      </c>
      <c r="CK11" s="76">
        <v>255.56314820999989</v>
      </c>
      <c r="CL11" s="76">
        <v>197.24108254000018</v>
      </c>
      <c r="CM11" s="76">
        <v>238.8358745499998</v>
      </c>
      <c r="CN11" s="76">
        <v>392.98831932000019</v>
      </c>
      <c r="CO11" s="76">
        <v>225.66620293000005</v>
      </c>
      <c r="CP11" s="76">
        <v>350.05521084000014</v>
      </c>
      <c r="CQ11" s="76">
        <v>320.03272409999977</v>
      </c>
      <c r="CR11" s="76">
        <v>352.4720434300001</v>
      </c>
      <c r="CS11" s="76">
        <v>412.23911492000002</v>
      </c>
      <c r="CT11" s="76">
        <v>432.19861470999996</v>
      </c>
      <c r="CU11" s="76">
        <v>964.12492658000019</v>
      </c>
      <c r="CV11" s="76">
        <v>676.67948165999996</v>
      </c>
      <c r="CW11" s="76">
        <v>732.61387988000001</v>
      </c>
      <c r="CX11" s="76">
        <v>1086.4720838899998</v>
      </c>
      <c r="CY11" s="76">
        <v>928.85430914999995</v>
      </c>
      <c r="CZ11" s="76">
        <v>910.81243233000009</v>
      </c>
      <c r="DA11" s="76">
        <v>1078.91316686</v>
      </c>
      <c r="DB11" s="76">
        <v>535.33103676000007</v>
      </c>
      <c r="DC11" s="76">
        <v>681.34909483000001</v>
      </c>
      <c r="DD11" s="76">
        <v>363.24154220999998</v>
      </c>
      <c r="DE11" s="76">
        <v>284.68126118000004</v>
      </c>
      <c r="DF11" s="76">
        <v>203.75661939000003</v>
      </c>
      <c r="DG11" s="76">
        <v>136.94016413</v>
      </c>
      <c r="DH11" s="76">
        <v>311.65982868000003</v>
      </c>
      <c r="DI11" s="76">
        <v>367.55834260000006</v>
      </c>
      <c r="DJ11" s="76">
        <v>389.01588818000005</v>
      </c>
      <c r="DK11" s="76">
        <v>459.1552744</v>
      </c>
      <c r="DL11" s="76">
        <v>520.54144205</v>
      </c>
      <c r="DM11" s="76">
        <v>402.09624486999996</v>
      </c>
      <c r="DN11" s="76">
        <v>655.21806543824846</v>
      </c>
      <c r="DO11" s="76">
        <v>646.43226965720464</v>
      </c>
      <c r="DP11" s="76">
        <v>591.07132748575441</v>
      </c>
      <c r="DQ11" s="76">
        <v>528.05569303185939</v>
      </c>
      <c r="DR11" s="76">
        <v>751.38674399541355</v>
      </c>
      <c r="DS11" s="76">
        <v>515.60063067690737</v>
      </c>
      <c r="DT11" s="76">
        <v>657.12499627461034</v>
      </c>
      <c r="DU11" s="76">
        <v>732.3373532589527</v>
      </c>
      <c r="DV11" s="76">
        <v>730.31073324987142</v>
      </c>
      <c r="DW11" s="76">
        <v>549.31656774901865</v>
      </c>
      <c r="DX11" s="76">
        <v>730.48506735170645</v>
      </c>
      <c r="DY11" s="76">
        <v>519.86296380723138</v>
      </c>
      <c r="DZ11" s="76">
        <v>633.87622685919996</v>
      </c>
      <c r="EA11" s="76">
        <v>703.06008885585766</v>
      </c>
      <c r="EB11" s="76">
        <v>585.1883340204181</v>
      </c>
      <c r="EC11" s="76">
        <v>736.47075193139563</v>
      </c>
      <c r="ED11" s="76">
        <v>937.06376699293901</v>
      </c>
      <c r="EE11" s="76">
        <v>899.20781556999998</v>
      </c>
      <c r="EF11" s="76">
        <v>1080.9271261400002</v>
      </c>
      <c r="EG11" s="76">
        <v>1099.1978568100001</v>
      </c>
      <c r="EH11" s="76">
        <v>875.52452496385899</v>
      </c>
      <c r="EI11" s="76">
        <v>1518.0536411313321</v>
      </c>
      <c r="EJ11" s="76">
        <v>1045.9544569315631</v>
      </c>
      <c r="EK11" s="76">
        <v>1138.358147077671</v>
      </c>
      <c r="EL11" s="76">
        <v>1117.1748491258729</v>
      </c>
      <c r="EM11" s="76">
        <v>1042.3752460015289</v>
      </c>
      <c r="EN11" s="76">
        <v>722.48646282000004</v>
      </c>
      <c r="EO11" s="76">
        <v>1458.27784722565</v>
      </c>
      <c r="EP11" s="76">
        <v>924.78570927838666</v>
      </c>
      <c r="EQ11" s="76">
        <v>954.1702054332776</v>
      </c>
      <c r="ER11" s="76">
        <v>1214.7508457586628</v>
      </c>
      <c r="ES11" s="76">
        <v>1358.2018177</v>
      </c>
      <c r="ET11" s="76">
        <v>1257.22851472</v>
      </c>
      <c r="EU11" s="76">
        <v>1110.0759305199999</v>
      </c>
      <c r="EV11" s="76">
        <v>951.23640685999999</v>
      </c>
      <c r="EW11" s="76">
        <v>897.05713327000012</v>
      </c>
      <c r="EX11" s="76">
        <v>1042.26085655</v>
      </c>
      <c r="EY11" s="76">
        <v>1031.5763082000001</v>
      </c>
      <c r="EZ11" s="76">
        <v>865.22400000000005</v>
      </c>
      <c r="FA11" s="76">
        <v>613.13823368999999</v>
      </c>
      <c r="FB11" s="76">
        <v>997.90465793719704</v>
      </c>
      <c r="FC11" s="76">
        <v>790.97942442223746</v>
      </c>
      <c r="FD11" s="76">
        <v>1152.2131352420083</v>
      </c>
      <c r="FE11" s="76">
        <v>1089.2756609258054</v>
      </c>
      <c r="FF11" s="76">
        <v>886.85180837999997</v>
      </c>
      <c r="FG11" s="76">
        <v>727.77473297619667</v>
      </c>
      <c r="FH11" s="76">
        <v>1138.0437514316923</v>
      </c>
      <c r="FI11" s="76">
        <v>861.94832452764717</v>
      </c>
      <c r="FJ11" s="76">
        <v>1087.3794294054999</v>
      </c>
      <c r="FK11" s="76">
        <v>979.18124048812433</v>
      </c>
      <c r="FL11" s="76">
        <v>921.82340057621423</v>
      </c>
      <c r="FM11" s="76">
        <v>800.01257508442006</v>
      </c>
      <c r="FN11" s="76">
        <v>841.96946919828292</v>
      </c>
      <c r="FO11" s="76">
        <v>787.87033687703797</v>
      </c>
      <c r="FP11" s="76">
        <v>1071.2251955779</v>
      </c>
      <c r="FQ11" s="76">
        <v>1119.496185521934</v>
      </c>
      <c r="FR11" s="76">
        <v>1010.4024999999999</v>
      </c>
      <c r="FS11" s="76">
        <v>1072.9812938800001</v>
      </c>
      <c r="FT11" s="76">
        <v>961.56036675681457</v>
      </c>
      <c r="FU11" s="76">
        <v>558.55345448000003</v>
      </c>
      <c r="FV11" s="76">
        <v>1073.037048423904</v>
      </c>
      <c r="FW11" s="76">
        <v>920.65367555868806</v>
      </c>
      <c r="FX11" s="76">
        <v>784.52370113999996</v>
      </c>
      <c r="FY11" s="76">
        <v>703.55011079704173</v>
      </c>
      <c r="FZ11" s="76">
        <v>573.37913691306244</v>
      </c>
      <c r="GA11" s="76">
        <v>426.10287269000003</v>
      </c>
      <c r="GB11" s="76">
        <v>519.05895825000005</v>
      </c>
      <c r="GC11" s="76">
        <v>578.54753338</v>
      </c>
      <c r="GD11" s="76">
        <v>587.72219113999995</v>
      </c>
      <c r="GE11" s="76">
        <v>673.96113734000005</v>
      </c>
      <c r="GF11" s="76">
        <v>726.34890968575905</v>
      </c>
      <c r="GG11" s="76">
        <v>550.63993786000003</v>
      </c>
      <c r="GH11" s="76">
        <v>512.79442407190368</v>
      </c>
      <c r="GI11" s="76">
        <v>456.36866939999993</v>
      </c>
      <c r="GJ11" s="76">
        <v>455.63435322999993</v>
      </c>
      <c r="GK11" s="76">
        <v>426.82251434</v>
      </c>
      <c r="GL11" s="73">
        <v>383.57016399999998</v>
      </c>
      <c r="GM11" s="73">
        <v>590.51455003000001</v>
      </c>
      <c r="GN11" s="73">
        <v>381.18810858000001</v>
      </c>
      <c r="GO11" s="73">
        <v>375.56330358999998</v>
      </c>
      <c r="GP11" s="73">
        <v>391.28895879000004</v>
      </c>
      <c r="GQ11" s="73">
        <v>406.47304021000002</v>
      </c>
      <c r="GR11" s="73">
        <v>369.63671511000001</v>
      </c>
      <c r="GS11" s="73">
        <v>451.28007744000001</v>
      </c>
      <c r="GT11" s="73">
        <v>453.16975213000001</v>
      </c>
      <c r="GU11" s="73">
        <v>416.6036512</v>
      </c>
      <c r="GV11" s="73">
        <v>461.82763734000002</v>
      </c>
      <c r="GW11" s="73">
        <v>720.8358208300001</v>
      </c>
      <c r="GX11" s="73">
        <v>364.74174292468803</v>
      </c>
      <c r="GY11" s="73">
        <v>385.24342019708001</v>
      </c>
      <c r="GZ11" s="73">
        <v>553.14742308827999</v>
      </c>
      <c r="HA11" s="73">
        <v>435.81740386596005</v>
      </c>
      <c r="HB11" s="73">
        <v>536.19946813400009</v>
      </c>
      <c r="HC11" s="73">
        <v>462.81214951760006</v>
      </c>
      <c r="HD11" s="73">
        <v>509.90377742999999</v>
      </c>
      <c r="HE11" s="73">
        <v>498.16143731</v>
      </c>
      <c r="HF11" s="73">
        <v>473.31348745000003</v>
      </c>
      <c r="HG11" s="73">
        <v>444.17845826999996</v>
      </c>
      <c r="HH11" s="73">
        <v>560.22846948999995</v>
      </c>
      <c r="HI11" s="73">
        <v>616.2612832100001</v>
      </c>
    </row>
    <row r="12" spans="1:217" ht="15.5" x14ac:dyDescent="0.35">
      <c r="A12" s="171" t="s">
        <v>580</v>
      </c>
      <c r="B12" s="76">
        <v>0</v>
      </c>
      <c r="C12" s="76">
        <v>0</v>
      </c>
      <c r="D12" s="76">
        <v>0</v>
      </c>
      <c r="E12" s="76">
        <v>0</v>
      </c>
      <c r="F12" s="76">
        <v>0</v>
      </c>
      <c r="G12" s="76">
        <v>22.545000000000002</v>
      </c>
      <c r="H12" s="76">
        <v>40.592799999999997</v>
      </c>
      <c r="I12" s="76">
        <v>26.734100000000002</v>
      </c>
      <c r="J12" s="76">
        <v>23.82</v>
      </c>
      <c r="K12" s="76">
        <v>23.708000000000002</v>
      </c>
      <c r="L12" s="76">
        <v>26.25</v>
      </c>
      <c r="M12" s="76">
        <v>9.5</v>
      </c>
      <c r="N12" s="76">
        <v>30.859000000000002</v>
      </c>
      <c r="O12" s="76">
        <v>37.911000000000001</v>
      </c>
      <c r="P12" s="76">
        <v>53.857999999999997</v>
      </c>
      <c r="Q12" s="76">
        <v>39.49</v>
      </c>
      <c r="R12" s="76">
        <v>49.138000000000005</v>
      </c>
      <c r="S12" s="76">
        <v>55.043999999999997</v>
      </c>
      <c r="T12" s="76">
        <v>31.016999999999999</v>
      </c>
      <c r="U12" s="76">
        <v>43.061</v>
      </c>
      <c r="V12" s="76">
        <v>22.55</v>
      </c>
      <c r="W12" s="76">
        <v>8.4499999999999993</v>
      </c>
      <c r="X12" s="76">
        <v>14.663</v>
      </c>
      <c r="Y12" s="76">
        <v>10.386999999999999</v>
      </c>
      <c r="Z12" s="76">
        <v>44.969000000000001</v>
      </c>
      <c r="AA12" s="76">
        <v>39.472999999999999</v>
      </c>
      <c r="AB12" s="76">
        <v>44.496000000000002</v>
      </c>
      <c r="AC12" s="76">
        <v>21.739000000000001</v>
      </c>
      <c r="AD12" s="76">
        <v>46.738999999999997</v>
      </c>
      <c r="AE12" s="76">
        <v>29.2</v>
      </c>
      <c r="AF12" s="76">
        <v>29</v>
      </c>
      <c r="AG12" s="76">
        <v>35.156999999999996</v>
      </c>
      <c r="AH12" s="76">
        <v>30.006700000000002</v>
      </c>
      <c r="AI12" s="76">
        <v>30.007000000000001</v>
      </c>
      <c r="AJ12" s="76">
        <v>26.55</v>
      </c>
      <c r="AK12" s="76">
        <v>41.540999999999997</v>
      </c>
      <c r="AL12" s="76">
        <v>38.888888888888886</v>
      </c>
      <c r="AM12" s="76">
        <v>39.4</v>
      </c>
      <c r="AN12" s="76">
        <v>63</v>
      </c>
      <c r="AO12" s="76">
        <v>0</v>
      </c>
      <c r="AP12" s="76">
        <v>51</v>
      </c>
      <c r="AQ12" s="76">
        <v>51</v>
      </c>
      <c r="AR12" s="76">
        <v>50.666666666666664</v>
      </c>
      <c r="AS12" s="76">
        <v>58.3</v>
      </c>
      <c r="AT12" s="76">
        <v>53</v>
      </c>
      <c r="AU12" s="76">
        <v>50.8</v>
      </c>
      <c r="AV12" s="76">
        <v>45</v>
      </c>
      <c r="AW12" s="76">
        <v>67</v>
      </c>
      <c r="AX12" s="76">
        <v>39.634999999999998</v>
      </c>
      <c r="AY12" s="76">
        <v>41.658999999999999</v>
      </c>
      <c r="AZ12" s="76">
        <v>44.722000000000001</v>
      </c>
      <c r="BA12" s="76">
        <v>58.197000000000003</v>
      </c>
      <c r="BB12" s="76">
        <v>46.435000000000002</v>
      </c>
      <c r="BC12" s="76">
        <v>42.630499999999998</v>
      </c>
      <c r="BD12" s="76">
        <v>60.747500000000002</v>
      </c>
      <c r="BE12" s="76">
        <v>40.268999999999998</v>
      </c>
      <c r="BF12" s="76">
        <v>28.107466000000013</v>
      </c>
      <c r="BG12" s="76">
        <v>38.859000000000002</v>
      </c>
      <c r="BH12" s="76">
        <v>27.816520000000001</v>
      </c>
      <c r="BI12" s="76">
        <v>8.5220000000000002</v>
      </c>
      <c r="BJ12" s="76">
        <v>36.799999999999997</v>
      </c>
      <c r="BK12" s="76">
        <v>1.6180000000000001</v>
      </c>
      <c r="BL12" s="76">
        <v>14.8</v>
      </c>
      <c r="BM12" s="76">
        <v>23.8</v>
      </c>
      <c r="BN12" s="76">
        <v>10.7</v>
      </c>
      <c r="BO12" s="76">
        <v>24.11</v>
      </c>
      <c r="BP12" s="76">
        <v>25.9</v>
      </c>
      <c r="BQ12" s="76">
        <v>13.961</v>
      </c>
      <c r="BR12" s="76">
        <v>0</v>
      </c>
      <c r="BS12" s="76">
        <v>0</v>
      </c>
      <c r="BT12" s="76">
        <v>0</v>
      </c>
      <c r="BU12" s="76">
        <v>-73.277000000000001</v>
      </c>
      <c r="BV12" s="76">
        <v>0</v>
      </c>
      <c r="BW12" s="76">
        <v>0</v>
      </c>
      <c r="BX12" s="76">
        <v>0</v>
      </c>
      <c r="BY12" s="76">
        <v>0</v>
      </c>
      <c r="BZ12" s="76">
        <v>0</v>
      </c>
      <c r="CA12" s="76">
        <v>0</v>
      </c>
      <c r="CB12" s="76">
        <v>0</v>
      </c>
      <c r="CC12" s="76">
        <v>0</v>
      </c>
      <c r="CD12" s="76">
        <v>0</v>
      </c>
      <c r="CE12" s="76">
        <v>0</v>
      </c>
      <c r="CF12" s="76">
        <v>0</v>
      </c>
      <c r="CG12" s="76">
        <v>0</v>
      </c>
      <c r="CH12" s="76">
        <v>0</v>
      </c>
      <c r="CI12" s="76">
        <v>0</v>
      </c>
      <c r="CJ12" s="76">
        <v>0</v>
      </c>
      <c r="CK12" s="76">
        <v>0</v>
      </c>
      <c r="CL12" s="76">
        <v>0</v>
      </c>
      <c r="CM12" s="76">
        <v>0</v>
      </c>
      <c r="CN12" s="76">
        <v>0</v>
      </c>
      <c r="CO12" s="76">
        <v>0</v>
      </c>
      <c r="CP12" s="76">
        <v>0</v>
      </c>
      <c r="CQ12" s="76">
        <v>0</v>
      </c>
      <c r="CR12" s="76">
        <v>0</v>
      </c>
      <c r="CS12" s="76">
        <v>0</v>
      </c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>
        <v>0</v>
      </c>
      <c r="DS12" s="76">
        <v>0</v>
      </c>
      <c r="DT12" s="76">
        <v>0</v>
      </c>
      <c r="DU12" s="76">
        <v>0</v>
      </c>
      <c r="DV12" s="76">
        <v>0</v>
      </c>
      <c r="DW12" s="76">
        <v>0</v>
      </c>
      <c r="DX12" s="76">
        <v>0</v>
      </c>
      <c r="DY12" s="76">
        <v>0</v>
      </c>
      <c r="DZ12" s="76">
        <v>0</v>
      </c>
      <c r="EA12" s="76">
        <v>0</v>
      </c>
      <c r="EB12" s="76">
        <v>0</v>
      </c>
      <c r="EC12" s="76">
        <v>0</v>
      </c>
      <c r="ED12" s="76">
        <v>0</v>
      </c>
      <c r="EE12" s="76">
        <v>0</v>
      </c>
      <c r="EF12" s="76">
        <v>0</v>
      </c>
      <c r="EG12" s="76">
        <v>0</v>
      </c>
      <c r="EH12" s="76">
        <v>0</v>
      </c>
      <c r="EI12" s="76">
        <v>0</v>
      </c>
      <c r="EJ12" s="76">
        <v>0</v>
      </c>
      <c r="EK12" s="76">
        <v>0</v>
      </c>
      <c r="EL12" s="76">
        <v>0</v>
      </c>
      <c r="EM12" s="76"/>
      <c r="EN12" s="76"/>
      <c r="EO12" s="76"/>
      <c r="EP12" s="76">
        <v>0</v>
      </c>
      <c r="EQ12" s="76">
        <v>0</v>
      </c>
      <c r="ER12" s="76">
        <v>0</v>
      </c>
      <c r="ES12" s="76">
        <v>0</v>
      </c>
      <c r="ET12" s="76">
        <v>0</v>
      </c>
      <c r="EU12" s="76">
        <v>0</v>
      </c>
      <c r="EV12" s="76">
        <v>0</v>
      </c>
      <c r="EW12" s="76">
        <v>0</v>
      </c>
      <c r="EX12" s="76">
        <v>0</v>
      </c>
      <c r="EY12" s="76">
        <v>0</v>
      </c>
      <c r="EZ12" s="76">
        <v>0</v>
      </c>
      <c r="FA12" s="76">
        <v>0</v>
      </c>
      <c r="FB12" s="76">
        <v>0</v>
      </c>
      <c r="FC12" s="76">
        <v>0</v>
      </c>
      <c r="FD12" s="76"/>
      <c r="FE12" s="76"/>
      <c r="FF12" s="76"/>
      <c r="FG12" s="76"/>
      <c r="FH12" s="76">
        <v>0</v>
      </c>
      <c r="FI12" s="76"/>
      <c r="FJ12" s="76"/>
      <c r="FK12" s="76"/>
      <c r="FL12" s="76"/>
      <c r="FM12" s="76"/>
      <c r="FN12" s="76">
        <v>0</v>
      </c>
      <c r="FO12" s="76">
        <v>0</v>
      </c>
      <c r="FP12" s="76">
        <v>0</v>
      </c>
      <c r="FQ12" s="76">
        <v>0</v>
      </c>
      <c r="FR12" s="76">
        <v>0</v>
      </c>
      <c r="FS12" s="76">
        <v>0</v>
      </c>
      <c r="FT12" s="76">
        <v>0</v>
      </c>
      <c r="FU12" s="76">
        <v>0</v>
      </c>
      <c r="FV12" s="76">
        <v>0</v>
      </c>
      <c r="FW12" s="76">
        <v>0</v>
      </c>
      <c r="FX12" s="76">
        <v>0</v>
      </c>
      <c r="FY12" s="76">
        <v>0</v>
      </c>
      <c r="FZ12" s="76">
        <v>0</v>
      </c>
      <c r="GA12" s="76">
        <v>0</v>
      </c>
      <c r="GB12" s="76">
        <v>0</v>
      </c>
      <c r="GC12" s="76">
        <v>0</v>
      </c>
      <c r="GD12" s="76">
        <v>0</v>
      </c>
      <c r="GE12" s="76">
        <v>0</v>
      </c>
      <c r="GF12" s="76">
        <v>0</v>
      </c>
      <c r="GG12" s="76">
        <v>0</v>
      </c>
      <c r="GH12" s="76">
        <v>0</v>
      </c>
      <c r="GI12" s="76">
        <v>0</v>
      </c>
      <c r="GJ12" s="76">
        <v>0</v>
      </c>
      <c r="GK12" s="76">
        <v>0</v>
      </c>
      <c r="GL12" s="73">
        <v>0</v>
      </c>
      <c r="GM12" s="73">
        <v>0</v>
      </c>
      <c r="GN12" s="73">
        <v>0</v>
      </c>
      <c r="GO12" s="73">
        <v>0</v>
      </c>
      <c r="GP12" s="73">
        <v>0</v>
      </c>
      <c r="GQ12" s="73">
        <v>0</v>
      </c>
      <c r="GR12" s="73">
        <v>0</v>
      </c>
      <c r="GS12" s="73">
        <v>0</v>
      </c>
      <c r="GT12" s="73">
        <v>0</v>
      </c>
      <c r="GU12" s="73">
        <v>0</v>
      </c>
      <c r="GV12" s="73">
        <v>0</v>
      </c>
      <c r="GW12" s="73">
        <v>0</v>
      </c>
      <c r="GX12" s="73">
        <v>0</v>
      </c>
      <c r="GY12" s="73">
        <v>0</v>
      </c>
      <c r="GZ12" s="73">
        <v>0</v>
      </c>
      <c r="HA12" s="73">
        <v>0</v>
      </c>
      <c r="HB12" s="73">
        <v>0</v>
      </c>
      <c r="HC12" s="73">
        <v>0</v>
      </c>
      <c r="HD12" s="73">
        <v>0</v>
      </c>
      <c r="HE12" s="73">
        <v>0</v>
      </c>
      <c r="HF12" s="73">
        <v>0</v>
      </c>
      <c r="HG12" s="73">
        <v>0</v>
      </c>
      <c r="HH12" s="73">
        <v>0</v>
      </c>
      <c r="HI12" s="73">
        <v>0</v>
      </c>
    </row>
    <row r="13" spans="1:217" x14ac:dyDescent="0.35">
      <c r="A13" s="16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  <c r="FU13" s="74"/>
      <c r="FV13" s="74"/>
      <c r="FW13" s="74"/>
      <c r="FX13" s="74"/>
      <c r="FY13" s="74"/>
      <c r="FZ13" s="74"/>
      <c r="GA13" s="74"/>
      <c r="GB13" s="74"/>
      <c r="GC13" s="74"/>
      <c r="GD13" s="74"/>
      <c r="GE13" s="74"/>
      <c r="GF13" s="74"/>
      <c r="GG13" s="76"/>
      <c r="GH13" s="76"/>
      <c r="GI13" s="76"/>
      <c r="GJ13" s="76"/>
      <c r="GK13" s="76"/>
      <c r="GL13" s="74"/>
      <c r="GM13" s="74"/>
      <c r="GN13" s="74"/>
      <c r="GO13" s="74"/>
      <c r="GP13" s="74"/>
      <c r="GQ13" s="74"/>
      <c r="GR13" s="74"/>
      <c r="GS13" s="74"/>
      <c r="GT13" s="74"/>
      <c r="GU13" s="74"/>
      <c r="GV13" s="74"/>
      <c r="GW13" s="74"/>
      <c r="GX13" s="74"/>
      <c r="GY13" s="74"/>
      <c r="GZ13" s="74"/>
      <c r="HA13" s="74"/>
      <c r="HB13" s="74"/>
      <c r="HC13" s="74"/>
      <c r="HD13" s="74"/>
      <c r="HE13" s="74"/>
      <c r="HF13" s="74"/>
      <c r="HG13" s="74"/>
      <c r="HH13" s="74"/>
      <c r="HI13" s="74"/>
    </row>
    <row r="14" spans="1:217" s="69" customFormat="1" ht="15.5" x14ac:dyDescent="0.35">
      <c r="A14" s="169" t="s">
        <v>581</v>
      </c>
      <c r="B14" s="74">
        <v>159.45958227184909</v>
      </c>
      <c r="C14" s="74">
        <v>155.34241985521604</v>
      </c>
      <c r="D14" s="74">
        <v>160.29203741452056</v>
      </c>
      <c r="E14" s="74">
        <v>206.89046817827233</v>
      </c>
      <c r="F14" s="74">
        <v>181.69416523139736</v>
      </c>
      <c r="G14" s="74">
        <v>231.2397501798589</v>
      </c>
      <c r="H14" s="74">
        <v>224.69635014702237</v>
      </c>
      <c r="I14" s="74">
        <v>222.80451914702235</v>
      </c>
      <c r="J14" s="74">
        <v>239.57203914702234</v>
      </c>
      <c r="K14" s="74">
        <v>253.15274114702237</v>
      </c>
      <c r="L14" s="74">
        <v>243.16800002555641</v>
      </c>
      <c r="M14" s="74">
        <v>246.90799197054727</v>
      </c>
      <c r="N14" s="74">
        <v>277.58674326851968</v>
      </c>
      <c r="O14" s="74">
        <v>235.68156793083187</v>
      </c>
      <c r="P14" s="74">
        <v>223.97413756903083</v>
      </c>
      <c r="Q14" s="74">
        <v>404.81549133409419</v>
      </c>
      <c r="R14" s="74">
        <v>274.75534382857762</v>
      </c>
      <c r="S14" s="74">
        <v>272.79043215500002</v>
      </c>
      <c r="T14" s="74">
        <v>310.0781742328</v>
      </c>
      <c r="U14" s="74">
        <v>303.57105844966662</v>
      </c>
      <c r="V14" s="74">
        <v>314.73591495599999</v>
      </c>
      <c r="W14" s="74">
        <v>286.37613949900003</v>
      </c>
      <c r="X14" s="74">
        <v>281.40847958477025</v>
      </c>
      <c r="Y14" s="74">
        <v>311.10427873259999</v>
      </c>
      <c r="Z14" s="74">
        <v>373.44645632461112</v>
      </c>
      <c r="AA14" s="74">
        <v>371.49854788247472</v>
      </c>
      <c r="AB14" s="74">
        <v>349.16850477938431</v>
      </c>
      <c r="AC14" s="74">
        <v>541.88226534785679</v>
      </c>
      <c r="AD14" s="74">
        <v>366.7767929966667</v>
      </c>
      <c r="AE14" s="74">
        <v>408.87316640796848</v>
      </c>
      <c r="AF14" s="74">
        <v>398.05195077216769</v>
      </c>
      <c r="AG14" s="74">
        <v>346.1147505364072</v>
      </c>
      <c r="AH14" s="74">
        <v>461.04229475666671</v>
      </c>
      <c r="AI14" s="74">
        <v>449.91364682837695</v>
      </c>
      <c r="AJ14" s="74">
        <v>355.07111904334283</v>
      </c>
      <c r="AK14" s="74">
        <v>359.07297575620987</v>
      </c>
      <c r="AL14" s="74">
        <v>435.5945315776346</v>
      </c>
      <c r="AM14" s="74">
        <v>340.40278495281046</v>
      </c>
      <c r="AN14" s="74">
        <v>394.69086960231527</v>
      </c>
      <c r="AO14" s="74">
        <v>525.48103915691775</v>
      </c>
      <c r="AP14" s="74">
        <v>403.41569826533095</v>
      </c>
      <c r="AQ14" s="74">
        <v>416.23757644751561</v>
      </c>
      <c r="AR14" s="74">
        <v>453.30269965030152</v>
      </c>
      <c r="AS14" s="74">
        <v>397.96373275248345</v>
      </c>
      <c r="AT14" s="74">
        <v>464.07903427304336</v>
      </c>
      <c r="AU14" s="74">
        <v>472.59067445523704</v>
      </c>
      <c r="AV14" s="74">
        <v>391.85047496066505</v>
      </c>
      <c r="AW14" s="74">
        <v>460.26351403870706</v>
      </c>
      <c r="AX14" s="74">
        <v>446.69275035916007</v>
      </c>
      <c r="AY14" s="74">
        <v>374.50866553737711</v>
      </c>
      <c r="AZ14" s="74">
        <v>494.52822582685963</v>
      </c>
      <c r="BA14" s="74">
        <v>585.68048672726536</v>
      </c>
      <c r="BB14" s="74">
        <v>458.83032897243481</v>
      </c>
      <c r="BC14" s="74">
        <v>442.32858628863812</v>
      </c>
      <c r="BD14" s="74">
        <v>483.67672157195062</v>
      </c>
      <c r="BE14" s="74">
        <v>489.05582461278993</v>
      </c>
      <c r="BF14" s="74">
        <v>526.45242546966256</v>
      </c>
      <c r="BG14" s="74">
        <v>513.99016696634806</v>
      </c>
      <c r="BH14" s="74">
        <v>485.97208775405636</v>
      </c>
      <c r="BI14" s="74">
        <v>523.03637734371114</v>
      </c>
      <c r="BJ14" s="74">
        <v>553.84756950386065</v>
      </c>
      <c r="BK14" s="74">
        <v>418.37640480707933</v>
      </c>
      <c r="BL14" s="74">
        <v>521.78153209802235</v>
      </c>
      <c r="BM14" s="74">
        <v>794.88860548082368</v>
      </c>
      <c r="BN14" s="74">
        <v>522.75111199300454</v>
      </c>
      <c r="BO14" s="74">
        <v>489.89510515721213</v>
      </c>
      <c r="BP14" s="74">
        <v>603.1388199567341</v>
      </c>
      <c r="BQ14" s="74">
        <v>532.25206207472434</v>
      </c>
      <c r="BR14" s="74">
        <v>627.62485575720927</v>
      </c>
      <c r="BS14" s="74">
        <v>596.64083506077111</v>
      </c>
      <c r="BT14" s="74">
        <v>512.95153542370417</v>
      </c>
      <c r="BU14" s="74">
        <v>696.37013864673088</v>
      </c>
      <c r="BV14" s="74">
        <v>658.03129336425604</v>
      </c>
      <c r="BW14" s="74">
        <v>425.54178916774299</v>
      </c>
      <c r="BX14" s="74">
        <v>681.41926326686325</v>
      </c>
      <c r="BY14" s="74">
        <v>994.34730500402156</v>
      </c>
      <c r="BZ14" s="74">
        <v>712.2577013411784</v>
      </c>
      <c r="CA14" s="74">
        <v>680.00230954506219</v>
      </c>
      <c r="CB14" s="74">
        <v>655.70928216860023</v>
      </c>
      <c r="CC14" s="74">
        <v>594.32738638529463</v>
      </c>
      <c r="CD14" s="74">
        <v>764.03795979942549</v>
      </c>
      <c r="CE14" s="74">
        <v>681.33459753725424</v>
      </c>
      <c r="CF14" s="74">
        <v>672.04321595892748</v>
      </c>
      <c r="CG14" s="74">
        <v>814.16017299530426</v>
      </c>
      <c r="CH14" s="74">
        <v>710.14874325891708</v>
      </c>
      <c r="CI14" s="74">
        <v>552.67778413539304</v>
      </c>
      <c r="CJ14" s="74">
        <v>656.96390509341882</v>
      </c>
      <c r="CK14" s="74">
        <v>1107.7111318341795</v>
      </c>
      <c r="CL14" s="74">
        <v>674.24118841033305</v>
      </c>
      <c r="CM14" s="74">
        <v>698.84977564419557</v>
      </c>
      <c r="CN14" s="74">
        <v>760.24219945762206</v>
      </c>
      <c r="CO14" s="74">
        <v>791.91168276448605</v>
      </c>
      <c r="CP14" s="74">
        <v>927.11898519725241</v>
      </c>
      <c r="CQ14" s="74">
        <v>829.55870323966883</v>
      </c>
      <c r="CR14" s="74">
        <v>850.95389189447189</v>
      </c>
      <c r="CS14" s="74">
        <v>902.4423896675894</v>
      </c>
      <c r="CT14" s="74">
        <v>953.79693881936646</v>
      </c>
      <c r="CU14" s="74">
        <v>737.65127633622296</v>
      </c>
      <c r="CV14" s="74">
        <v>954.42441973891437</v>
      </c>
      <c r="CW14" s="74">
        <v>1284.1184472749326</v>
      </c>
      <c r="CX14" s="74">
        <v>873.87804169739354</v>
      </c>
      <c r="CY14" s="74">
        <v>803.25595725262497</v>
      </c>
      <c r="CZ14" s="74">
        <v>1106.0607154661111</v>
      </c>
      <c r="DA14" s="74">
        <v>1202.5041078270747</v>
      </c>
      <c r="DB14" s="74">
        <v>1171.6116860339544</v>
      </c>
      <c r="DC14" s="74">
        <v>1233.9421673703791</v>
      </c>
      <c r="DD14" s="74">
        <v>1082.9714449480498</v>
      </c>
      <c r="DE14" s="74">
        <v>1136.2367518943811</v>
      </c>
      <c r="DF14" s="74">
        <v>953.59400499740582</v>
      </c>
      <c r="DG14" s="74">
        <v>724.53490226094914</v>
      </c>
      <c r="DH14" s="74">
        <v>889.22326202274871</v>
      </c>
      <c r="DI14" s="74">
        <v>1486.5987853870297</v>
      </c>
      <c r="DJ14" s="74">
        <v>940.56001523805344</v>
      </c>
      <c r="DK14" s="74">
        <v>874.08060369665338</v>
      </c>
      <c r="DL14" s="74">
        <v>1013.0692179295097</v>
      </c>
      <c r="DM14" s="74">
        <v>831.52976790976368</v>
      </c>
      <c r="DN14" s="74">
        <v>1268.3617151446269</v>
      </c>
      <c r="DO14" s="74">
        <v>963.37818991412087</v>
      </c>
      <c r="DP14" s="74">
        <v>1385.3033286477398</v>
      </c>
      <c r="DQ14" s="74">
        <v>1042.4299611147599</v>
      </c>
      <c r="DR14" s="74">
        <v>1117.9945401607711</v>
      </c>
      <c r="DS14" s="74">
        <v>956.19833081381353</v>
      </c>
      <c r="DT14" s="74">
        <v>1469.1035098894633</v>
      </c>
      <c r="DU14" s="74">
        <v>1385.0679145769093</v>
      </c>
      <c r="DV14" s="74">
        <v>1147.0038405683702</v>
      </c>
      <c r="DW14" s="74">
        <v>1077.8720982855025</v>
      </c>
      <c r="DX14" s="74">
        <v>1143.7745127889334</v>
      </c>
      <c r="DY14" s="74">
        <v>1018.9333725883259</v>
      </c>
      <c r="DZ14" s="74">
        <v>1158.280116634387</v>
      </c>
      <c r="EA14" s="74">
        <v>1127.1627954223936</v>
      </c>
      <c r="EB14" s="74">
        <v>1086.7800680946768</v>
      </c>
      <c r="EC14" s="74">
        <v>1298.8805353981618</v>
      </c>
      <c r="ED14" s="74">
        <v>1202.6396722624736</v>
      </c>
      <c r="EE14" s="74">
        <v>1107.4300585020037</v>
      </c>
      <c r="EF14" s="74">
        <v>1318.2571594645613</v>
      </c>
      <c r="EG14" s="74">
        <v>1689.8112598976645</v>
      </c>
      <c r="EH14" s="74">
        <v>1342.4557369001382</v>
      </c>
      <c r="EI14" s="74">
        <v>1302.7304729616662</v>
      </c>
      <c r="EJ14" s="74">
        <v>1330.1015587059001</v>
      </c>
      <c r="EK14" s="74">
        <v>1242.0098628260976</v>
      </c>
      <c r="EL14" s="74">
        <v>1556.0550970275954</v>
      </c>
      <c r="EM14" s="74">
        <v>1323.1450540919723</v>
      </c>
      <c r="EN14" s="74">
        <v>1409.4846834655227</v>
      </c>
      <c r="EO14" s="74">
        <v>1664.7864083764919</v>
      </c>
      <c r="EP14" s="74">
        <v>1653.6015631584305</v>
      </c>
      <c r="EQ14" s="74">
        <v>1380.7926996440133</v>
      </c>
      <c r="ER14" s="74">
        <v>1559.3616746812238</v>
      </c>
      <c r="ES14" s="74">
        <v>2155.9590314170937</v>
      </c>
      <c r="ET14" s="74">
        <v>1536.6805994092829</v>
      </c>
      <c r="EU14" s="74">
        <v>1490.1553899973524</v>
      </c>
      <c r="EV14" s="74">
        <v>1724.4524775948435</v>
      </c>
      <c r="EW14" s="74">
        <v>1607.5461039611962</v>
      </c>
      <c r="EX14" s="74">
        <v>1654.9079312836279</v>
      </c>
      <c r="EY14" s="74">
        <v>1570.4811979874853</v>
      </c>
      <c r="EZ14" s="74">
        <v>1591.1968209044821</v>
      </c>
      <c r="FA14" s="74">
        <v>1857.3971408100938</v>
      </c>
      <c r="FB14" s="74">
        <v>1912.5712583959044</v>
      </c>
      <c r="FC14" s="74">
        <v>1467.5694700115171</v>
      </c>
      <c r="FD14" s="74">
        <v>1798.3140659869412</v>
      </c>
      <c r="FE14" s="74">
        <v>2484.8901299341578</v>
      </c>
      <c r="FF14" s="74">
        <v>1861.0181935641399</v>
      </c>
      <c r="FG14" s="74">
        <v>1712.0524392649372</v>
      </c>
      <c r="FH14" s="74">
        <v>2009.2820015735422</v>
      </c>
      <c r="FI14" s="74">
        <v>1800.7719871686893</v>
      </c>
      <c r="FJ14" s="74">
        <v>1835.387807162791</v>
      </c>
      <c r="FK14" s="74">
        <v>1880.5822611731419</v>
      </c>
      <c r="FL14" s="74">
        <v>1866.9746825653772</v>
      </c>
      <c r="FM14" s="74">
        <v>2000.9535362484858</v>
      </c>
      <c r="FN14" s="74">
        <v>2045.131438558491</v>
      </c>
      <c r="FO14" s="74">
        <v>1599.0540932353354</v>
      </c>
      <c r="FP14" s="74">
        <v>1875.0604543644613</v>
      </c>
      <c r="FQ14" s="74">
        <v>2583.1266044044005</v>
      </c>
      <c r="FR14" s="74">
        <v>1906.3799999091902</v>
      </c>
      <c r="FS14" s="74">
        <v>1896.3297409747167</v>
      </c>
      <c r="FT14" s="74">
        <v>2102.7761582878679</v>
      </c>
      <c r="FU14" s="74">
        <v>1862.3013012749839</v>
      </c>
      <c r="FV14" s="74">
        <v>1818.0653513152261</v>
      </c>
      <c r="FW14" s="74">
        <v>2012.4297127129789</v>
      </c>
      <c r="FX14" s="74">
        <v>2057.8265695319383</v>
      </c>
      <c r="FY14" s="74">
        <v>2180.7065921981612</v>
      </c>
      <c r="FZ14" s="74">
        <v>2223.6599359392922</v>
      </c>
      <c r="GA14" s="74">
        <v>2105.7762891929951</v>
      </c>
      <c r="GB14" s="74">
        <v>2016.4007813928292</v>
      </c>
      <c r="GC14" s="74">
        <v>2685.8305603237413</v>
      </c>
      <c r="GD14" s="74">
        <v>2192.346087720096</v>
      </c>
      <c r="GE14" s="74">
        <v>2272.2159912982456</v>
      </c>
      <c r="GF14" s="74">
        <v>2786.8823288594631</v>
      </c>
      <c r="GG14" s="74">
        <v>1859.8143577227161</v>
      </c>
      <c r="GH14" s="74">
        <v>1952.9651335420981</v>
      </c>
      <c r="GI14" s="74">
        <v>1949.5309980727434</v>
      </c>
      <c r="GJ14" s="74">
        <v>1930.9794942946519</v>
      </c>
      <c r="GK14" s="74">
        <v>1781.7724120488201</v>
      </c>
      <c r="GL14" s="74">
        <v>2114.0170218462363</v>
      </c>
      <c r="GM14" s="74">
        <v>1664.9028717188924</v>
      </c>
      <c r="GN14" s="74">
        <v>1934.748419207076</v>
      </c>
      <c r="GO14" s="74">
        <v>2275.3399844109708</v>
      </c>
      <c r="GP14" s="74">
        <v>1631.5972765767151</v>
      </c>
      <c r="GQ14" s="74">
        <v>2027.4870742042594</v>
      </c>
      <c r="GR14" s="74">
        <v>2029.764763609508</v>
      </c>
      <c r="GS14" s="74">
        <v>2095.7433372671935</v>
      </c>
      <c r="GT14" s="74">
        <v>1944.1663102959026</v>
      </c>
      <c r="GU14" s="74">
        <v>2046.8944576233955</v>
      </c>
      <c r="GV14" s="74">
        <v>1806.4125290922623</v>
      </c>
      <c r="GW14" s="74">
        <v>2723.2065105227243</v>
      </c>
      <c r="GX14" s="74">
        <v>2393.1419976179427</v>
      </c>
      <c r="GY14" s="74">
        <v>1892.338993220925</v>
      </c>
      <c r="GZ14" s="74">
        <v>2174.2189456936667</v>
      </c>
      <c r="HA14" s="74">
        <v>2609.5739894624658</v>
      </c>
      <c r="HB14" s="74">
        <v>2183.1448242637771</v>
      </c>
      <c r="HC14" s="74">
        <v>2019.6760201914485</v>
      </c>
      <c r="HD14" s="74">
        <v>2138.4854413197836</v>
      </c>
      <c r="HE14" s="74">
        <v>1945.5830690059042</v>
      </c>
      <c r="HF14" s="74">
        <v>1966.0729849898223</v>
      </c>
      <c r="HG14" s="74">
        <v>2011.6868160773338</v>
      </c>
      <c r="HH14" s="74">
        <v>2073.5403410697936</v>
      </c>
      <c r="HI14" s="74">
        <v>2066.2331318902407</v>
      </c>
    </row>
    <row r="15" spans="1:217" s="69" customFormat="1" ht="15.5" x14ac:dyDescent="0.35">
      <c r="A15" s="171" t="s">
        <v>582</v>
      </c>
      <c r="B15" s="74">
        <v>90.974793295635862</v>
      </c>
      <c r="C15" s="74">
        <v>88.993016426943669</v>
      </c>
      <c r="D15" s="74">
        <v>97.413618926248205</v>
      </c>
      <c r="E15" s="74">
        <v>132.33153374999998</v>
      </c>
      <c r="F15" s="74">
        <v>101.98498000000001</v>
      </c>
      <c r="G15" s="74">
        <v>126.60796574</v>
      </c>
      <c r="H15" s="74">
        <v>131.9135</v>
      </c>
      <c r="I15" s="74">
        <v>138.65969999999999</v>
      </c>
      <c r="J15" s="74">
        <v>147.57786999999999</v>
      </c>
      <c r="K15" s="74">
        <v>145.84559999999999</v>
      </c>
      <c r="L15" s="74">
        <v>153.45459999999997</v>
      </c>
      <c r="M15" s="74">
        <v>166.6216</v>
      </c>
      <c r="N15" s="74">
        <v>187.40183951242739</v>
      </c>
      <c r="O15" s="74">
        <v>156.81926356083184</v>
      </c>
      <c r="P15" s="74">
        <v>166.30810837002934</v>
      </c>
      <c r="Q15" s="74">
        <v>326.4227356664</v>
      </c>
      <c r="R15" s="74">
        <v>191.31734382857761</v>
      </c>
      <c r="S15" s="74">
        <v>196.80843215499999</v>
      </c>
      <c r="T15" s="74">
        <v>234.09827423280004</v>
      </c>
      <c r="U15" s="74">
        <v>210.47787372966667</v>
      </c>
      <c r="V15" s="74">
        <v>220.09901495599999</v>
      </c>
      <c r="W15" s="74">
        <v>201.45413949900004</v>
      </c>
      <c r="X15" s="74">
        <v>204.40958849651358</v>
      </c>
      <c r="Y15" s="74">
        <v>212.13327873259999</v>
      </c>
      <c r="Z15" s="74">
        <v>248.86258966666665</v>
      </c>
      <c r="AA15" s="74">
        <v>203.27866666666671</v>
      </c>
      <c r="AB15" s="74">
        <v>223.51666666666668</v>
      </c>
      <c r="AC15" s="74">
        <v>351.80531366666662</v>
      </c>
      <c r="AD15" s="74">
        <v>219.09005299666666</v>
      </c>
      <c r="AE15" s="74">
        <v>227.32934617666669</v>
      </c>
      <c r="AF15" s="74">
        <v>248.91105686666668</v>
      </c>
      <c r="AG15" s="74">
        <v>224.48866666666666</v>
      </c>
      <c r="AH15" s="74">
        <v>251.22466666666665</v>
      </c>
      <c r="AI15" s="74">
        <v>233.85566666666665</v>
      </c>
      <c r="AJ15" s="74">
        <v>213.45317416666668</v>
      </c>
      <c r="AK15" s="74">
        <v>260.48666666666668</v>
      </c>
      <c r="AL15" s="74">
        <v>297.8459759315478</v>
      </c>
      <c r="AM15" s="74">
        <v>213.693654762677</v>
      </c>
      <c r="AN15" s="74">
        <v>230.93459965545014</v>
      </c>
      <c r="AO15" s="74">
        <v>357.74097137162556</v>
      </c>
      <c r="AP15" s="74">
        <v>249.06540389879294</v>
      </c>
      <c r="AQ15" s="74">
        <v>250.81143638510409</v>
      </c>
      <c r="AR15" s="74">
        <v>290.17404359315037</v>
      </c>
      <c r="AS15" s="74">
        <v>240.28536863447854</v>
      </c>
      <c r="AT15" s="74">
        <v>263.38361896877456</v>
      </c>
      <c r="AU15" s="74">
        <v>263.33746101190377</v>
      </c>
      <c r="AV15" s="74">
        <v>243.3874560516476</v>
      </c>
      <c r="AW15" s="74">
        <v>262.85649800892287</v>
      </c>
      <c r="AX15" s="74">
        <v>303.37783002916007</v>
      </c>
      <c r="AY15" s="74">
        <v>222.51269679575486</v>
      </c>
      <c r="AZ15" s="74">
        <v>280.36309603685964</v>
      </c>
      <c r="BA15" s="74">
        <v>437.4198359033727</v>
      </c>
      <c r="BB15" s="74">
        <v>269.05142350243477</v>
      </c>
      <c r="BC15" s="74">
        <v>267.684525490027</v>
      </c>
      <c r="BD15" s="74">
        <v>325.22995727113806</v>
      </c>
      <c r="BE15" s="74">
        <v>280.90174211278992</v>
      </c>
      <c r="BF15" s="74">
        <v>304.96978646966255</v>
      </c>
      <c r="BG15" s="74">
        <v>291.86916696634802</v>
      </c>
      <c r="BH15" s="74">
        <v>305.70673551251969</v>
      </c>
      <c r="BI15" s="74">
        <v>305.7819850818064</v>
      </c>
      <c r="BJ15" s="74">
        <v>362.99320468780564</v>
      </c>
      <c r="BK15" s="74">
        <v>264.692506228833</v>
      </c>
      <c r="BL15" s="74">
        <v>299.23368273802231</v>
      </c>
      <c r="BM15" s="74">
        <v>627.15534156415708</v>
      </c>
      <c r="BN15" s="74">
        <v>321.90806999633799</v>
      </c>
      <c r="BO15" s="74">
        <v>303.87692577054548</v>
      </c>
      <c r="BP15" s="74">
        <v>399.51727935006738</v>
      </c>
      <c r="BQ15" s="74">
        <v>321.61849462805759</v>
      </c>
      <c r="BR15" s="74">
        <v>391.89732279054255</v>
      </c>
      <c r="BS15" s="74">
        <v>336.44428414854895</v>
      </c>
      <c r="BT15" s="74">
        <v>315.90876145703743</v>
      </c>
      <c r="BU15" s="74">
        <v>338.03519406006421</v>
      </c>
      <c r="BV15" s="74">
        <v>412.20943095778847</v>
      </c>
      <c r="BW15" s="74">
        <v>251.86427018976335</v>
      </c>
      <c r="BX15" s="74">
        <v>375.88432522884239</v>
      </c>
      <c r="BY15" s="74">
        <v>757.62768798574234</v>
      </c>
      <c r="BZ15" s="74">
        <v>408.51325527030752</v>
      </c>
      <c r="CA15" s="74">
        <v>358.80179485712881</v>
      </c>
      <c r="CB15" s="74">
        <v>448.18765101577515</v>
      </c>
      <c r="CC15" s="74">
        <v>374.30820810343636</v>
      </c>
      <c r="CD15" s="74">
        <v>446.2002860706296</v>
      </c>
      <c r="CE15" s="74">
        <v>358.81112374347089</v>
      </c>
      <c r="CF15" s="74">
        <v>384.60876197609406</v>
      </c>
      <c r="CG15" s="74">
        <v>375.75388422060843</v>
      </c>
      <c r="CH15" s="74">
        <v>465.83711238856375</v>
      </c>
      <c r="CI15" s="74">
        <v>323.48742111489292</v>
      </c>
      <c r="CJ15" s="74">
        <v>367.41769836963874</v>
      </c>
      <c r="CK15" s="74">
        <v>751.2034298125684</v>
      </c>
      <c r="CL15" s="74">
        <v>410.89906244428641</v>
      </c>
      <c r="CM15" s="74">
        <v>364.0324706310289</v>
      </c>
      <c r="CN15" s="74">
        <v>499.95395420413547</v>
      </c>
      <c r="CO15" s="74">
        <v>440.43783212295801</v>
      </c>
      <c r="CP15" s="74">
        <v>541.13616873293233</v>
      </c>
      <c r="CQ15" s="74">
        <v>434.61761483342212</v>
      </c>
      <c r="CR15" s="74">
        <v>468.60104207536972</v>
      </c>
      <c r="CS15" s="74">
        <v>497.65195183126951</v>
      </c>
      <c r="CT15" s="74">
        <v>622.20125683999504</v>
      </c>
      <c r="CU15" s="74">
        <v>381.20475231037</v>
      </c>
      <c r="CV15" s="74">
        <v>488.69491257520002</v>
      </c>
      <c r="CW15" s="74">
        <v>856.17069643010007</v>
      </c>
      <c r="CX15" s="74">
        <v>516.69094938860007</v>
      </c>
      <c r="CY15" s="74">
        <v>456.33025239709997</v>
      </c>
      <c r="CZ15" s="74">
        <v>665.77180869078995</v>
      </c>
      <c r="DA15" s="74">
        <v>528.37338019817685</v>
      </c>
      <c r="DB15" s="74">
        <v>697.50540850222058</v>
      </c>
      <c r="DC15" s="74">
        <v>604.54329893512056</v>
      </c>
      <c r="DD15" s="74">
        <v>557.85254974067686</v>
      </c>
      <c r="DE15" s="74">
        <v>543.87027895427684</v>
      </c>
      <c r="DF15" s="74">
        <v>631.40106950661936</v>
      </c>
      <c r="DG15" s="74">
        <v>424.89828943482547</v>
      </c>
      <c r="DH15" s="74">
        <v>573.10358772734094</v>
      </c>
      <c r="DI15" s="74">
        <v>1074.7947704293349</v>
      </c>
      <c r="DJ15" s="74">
        <v>541.5180810109199</v>
      </c>
      <c r="DK15" s="74">
        <v>520.05482397191315</v>
      </c>
      <c r="DL15" s="74">
        <v>711.44171760868085</v>
      </c>
      <c r="DM15" s="74">
        <v>524.44571612904997</v>
      </c>
      <c r="DN15" s="74">
        <v>709.04555830668778</v>
      </c>
      <c r="DO15" s="74">
        <v>568.11955168218117</v>
      </c>
      <c r="DP15" s="74">
        <v>634.35871934064699</v>
      </c>
      <c r="DQ15" s="74">
        <v>640.25243177664061</v>
      </c>
      <c r="DR15" s="74">
        <v>752.49702692999995</v>
      </c>
      <c r="DS15" s="74">
        <v>587.33143450000011</v>
      </c>
      <c r="DT15" s="74">
        <v>768.28175207000004</v>
      </c>
      <c r="DU15" s="74">
        <v>1024.3518117038764</v>
      </c>
      <c r="DV15" s="74">
        <v>670.08837560387644</v>
      </c>
      <c r="DW15" s="74">
        <v>659.92564838387636</v>
      </c>
      <c r="DX15" s="74">
        <v>749.08191167387645</v>
      </c>
      <c r="DY15" s="74">
        <v>633.08187201387648</v>
      </c>
      <c r="DZ15" s="74">
        <v>758.36666869999988</v>
      </c>
      <c r="EA15" s="74">
        <v>652.69596636000006</v>
      </c>
      <c r="EB15" s="74">
        <v>687.04774985387644</v>
      </c>
      <c r="EC15" s="74">
        <v>724.71224916387632</v>
      </c>
      <c r="ED15" s="74">
        <v>827.24573115193016</v>
      </c>
      <c r="EE15" s="74">
        <v>594.4359662999999</v>
      </c>
      <c r="EF15" s="74">
        <v>791.86485717000005</v>
      </c>
      <c r="EG15" s="74">
        <v>1147.91596581</v>
      </c>
      <c r="EH15" s="74">
        <v>781.6036395299999</v>
      </c>
      <c r="EI15" s="74">
        <v>747.85953299999994</v>
      </c>
      <c r="EJ15" s="74">
        <v>779.11545860000001</v>
      </c>
      <c r="EK15" s="74">
        <v>715.61217190999992</v>
      </c>
      <c r="EL15" s="74">
        <v>880.43733800000007</v>
      </c>
      <c r="EM15" s="74">
        <v>788.87730704000001</v>
      </c>
      <c r="EN15" s="74">
        <v>808.22840550000001</v>
      </c>
      <c r="EO15" s="74">
        <v>901.78210000000001</v>
      </c>
      <c r="EP15" s="74">
        <v>1086.164192</v>
      </c>
      <c r="EQ15" s="74">
        <v>827.91229999999996</v>
      </c>
      <c r="ER15" s="74">
        <v>933.63819999999987</v>
      </c>
      <c r="ES15" s="74">
        <v>1513.413155</v>
      </c>
      <c r="ET15" s="74">
        <v>950.25236554000003</v>
      </c>
      <c r="EU15" s="74">
        <v>913.18600000000004</v>
      </c>
      <c r="EV15" s="74">
        <v>1034.5407790000002</v>
      </c>
      <c r="EW15" s="74">
        <v>984.10711199999992</v>
      </c>
      <c r="EX15" s="74">
        <v>1027.0197000000001</v>
      </c>
      <c r="EY15" s="74">
        <v>900.99974299999997</v>
      </c>
      <c r="EZ15" s="74">
        <v>966.07869999999991</v>
      </c>
      <c r="FA15" s="74">
        <v>1117.373548</v>
      </c>
      <c r="FB15" s="74">
        <v>1267.5035420000002</v>
      </c>
      <c r="FC15" s="74">
        <v>939.96333000000004</v>
      </c>
      <c r="FD15" s="74">
        <v>1022.7851430000001</v>
      </c>
      <c r="FE15" s="74">
        <v>1717.59586902</v>
      </c>
      <c r="FF15" s="74">
        <v>1066.26584</v>
      </c>
      <c r="FG15" s="74">
        <v>1008.923127</v>
      </c>
      <c r="FH15" s="74">
        <v>1219.498327</v>
      </c>
      <c r="FI15" s="74">
        <v>1061.6476419999999</v>
      </c>
      <c r="FJ15" s="74">
        <v>1144.054504</v>
      </c>
      <c r="FK15" s="74">
        <v>1074.773731</v>
      </c>
      <c r="FL15" s="74">
        <v>1059.178553</v>
      </c>
      <c r="FM15" s="74">
        <v>1085.3645590000001</v>
      </c>
      <c r="FN15" s="74">
        <v>1305.3561805000002</v>
      </c>
      <c r="FO15" s="74">
        <v>986.82683341000006</v>
      </c>
      <c r="FP15" s="74">
        <v>1066.2825360299998</v>
      </c>
      <c r="FQ15" s="74">
        <v>1799.2402495000001</v>
      </c>
      <c r="FR15" s="74">
        <v>1103.0256346599999</v>
      </c>
      <c r="FS15" s="74">
        <v>1043.5834439999999</v>
      </c>
      <c r="FT15" s="74">
        <v>1272.18227501</v>
      </c>
      <c r="FU15" s="74">
        <v>1114.67382099</v>
      </c>
      <c r="FV15" s="74">
        <v>1229.36804865</v>
      </c>
      <c r="FW15" s="74">
        <v>1160.66913</v>
      </c>
      <c r="FX15" s="74">
        <v>1172.6801</v>
      </c>
      <c r="FY15" s="74">
        <v>1206.0913486899999</v>
      </c>
      <c r="FZ15" s="74">
        <v>1526.8414473600001</v>
      </c>
      <c r="GA15" s="74">
        <v>1075.30809935</v>
      </c>
      <c r="GB15" s="74">
        <v>1227.1184846476001</v>
      </c>
      <c r="GC15" s="74">
        <v>1920.97542062</v>
      </c>
      <c r="GD15" s="74">
        <v>1200.36519759</v>
      </c>
      <c r="GE15" s="74">
        <v>1187.3127854700001</v>
      </c>
      <c r="GF15" s="74">
        <v>1938.2205153</v>
      </c>
      <c r="GG15" s="74">
        <v>1092.90838945</v>
      </c>
      <c r="GH15" s="74">
        <v>1227.414</v>
      </c>
      <c r="GI15" s="74">
        <v>1075.1919279700001</v>
      </c>
      <c r="GJ15" s="74">
        <v>1073.69842743</v>
      </c>
      <c r="GK15" s="74">
        <v>1042.9281101399999</v>
      </c>
      <c r="GL15" s="74">
        <v>1291.4777003652</v>
      </c>
      <c r="GM15" s="74">
        <v>869.59989318999999</v>
      </c>
      <c r="GN15" s="74">
        <v>1030.3915109900001</v>
      </c>
      <c r="GO15" s="74">
        <v>1483.1992268500001</v>
      </c>
      <c r="GP15" s="74">
        <v>931.39795334999997</v>
      </c>
      <c r="GQ15" s="74">
        <v>1154.14074704</v>
      </c>
      <c r="GR15" s="74">
        <v>1332.7680418099999</v>
      </c>
      <c r="GS15" s="74">
        <v>1278.7884642189999</v>
      </c>
      <c r="GT15" s="74">
        <v>1184.60079864</v>
      </c>
      <c r="GU15" s="74">
        <v>1169.7673287099999</v>
      </c>
      <c r="GV15" s="74">
        <v>1100.2996739999999</v>
      </c>
      <c r="GW15" s="74">
        <v>1190.9909474923968</v>
      </c>
      <c r="GX15" s="74">
        <v>1405.85963406162</v>
      </c>
      <c r="GY15" s="74">
        <v>982.30564275408142</v>
      </c>
      <c r="GZ15" s="74">
        <v>1129.268051569562</v>
      </c>
      <c r="HA15" s="74">
        <v>1733.287269480003</v>
      </c>
      <c r="HB15" s="74">
        <v>1086.7745920499999</v>
      </c>
      <c r="HC15" s="74">
        <v>1107.92843782</v>
      </c>
      <c r="HD15" s="74">
        <v>1145.85661579</v>
      </c>
      <c r="HE15" s="74">
        <v>1048.8194350000001</v>
      </c>
      <c r="HF15" s="74">
        <v>1150.96858729</v>
      </c>
      <c r="HG15" s="74">
        <v>1063.804022286</v>
      </c>
      <c r="HH15" s="74">
        <v>1112.57604515</v>
      </c>
      <c r="HI15" s="74">
        <v>1110.8398895764599</v>
      </c>
    </row>
    <row r="16" spans="1:217" ht="15.5" x14ac:dyDescent="0.35">
      <c r="A16" s="171" t="s">
        <v>583</v>
      </c>
      <c r="B16" s="76">
        <v>14.718192346405203</v>
      </c>
      <c r="C16" s="76">
        <v>15.147920760277</v>
      </c>
      <c r="D16" s="76">
        <v>20.428913319581554</v>
      </c>
      <c r="E16" s="76">
        <v>51.675599999999996</v>
      </c>
      <c r="F16" s="76">
        <v>21.150600000000001</v>
      </c>
      <c r="G16" s="76">
        <v>22.913599999999999</v>
      </c>
      <c r="H16" s="76">
        <v>29.887</v>
      </c>
      <c r="I16" s="76">
        <v>24.497599999999998</v>
      </c>
      <c r="J16" s="76">
        <v>30.566600000000001</v>
      </c>
      <c r="K16" s="76">
        <v>26.874600000000001</v>
      </c>
      <c r="L16" s="76">
        <v>26.8096</v>
      </c>
      <c r="M16" s="76">
        <v>29.775600000000001</v>
      </c>
      <c r="N16" s="76">
        <v>36.239055069999999</v>
      </c>
      <c r="O16" s="76">
        <v>20.843335090000007</v>
      </c>
      <c r="P16" s="76">
        <v>33.182321499999993</v>
      </c>
      <c r="Q16" s="76">
        <v>175.54209929999996</v>
      </c>
      <c r="R16" s="76">
        <v>36.24482794</v>
      </c>
      <c r="S16" s="76">
        <v>27.638618019999996</v>
      </c>
      <c r="T16" s="76">
        <v>59.028350744999997</v>
      </c>
      <c r="U16" s="76">
        <v>22.111565819999999</v>
      </c>
      <c r="V16" s="76">
        <v>50.501548724999985</v>
      </c>
      <c r="W16" s="76">
        <v>24.868291650000007</v>
      </c>
      <c r="X16" s="76">
        <v>25.037734490000002</v>
      </c>
      <c r="Y16" s="76">
        <v>28.554380200000001</v>
      </c>
      <c r="Z16" s="76">
        <v>36.911000000000001</v>
      </c>
      <c r="AA16" s="76">
        <v>27.62</v>
      </c>
      <c r="AB16" s="76">
        <v>41.506999999999998</v>
      </c>
      <c r="AC16" s="76">
        <v>147.78099999999998</v>
      </c>
      <c r="AD16" s="76">
        <v>34.541000000000004</v>
      </c>
      <c r="AE16" s="76">
        <v>31.533999999999999</v>
      </c>
      <c r="AF16" s="76">
        <v>63.16</v>
      </c>
      <c r="AG16" s="76">
        <v>30.064</v>
      </c>
      <c r="AH16" s="76">
        <v>59.143000000000001</v>
      </c>
      <c r="AI16" s="76">
        <v>35.691000000000003</v>
      </c>
      <c r="AJ16" s="76">
        <v>31.900000000000002</v>
      </c>
      <c r="AK16" s="76">
        <v>56.1</v>
      </c>
      <c r="AL16" s="76">
        <v>56.955206525826107</v>
      </c>
      <c r="AM16" s="76">
        <v>35.228907856955296</v>
      </c>
      <c r="AN16" s="76">
        <v>51.370656499728462</v>
      </c>
      <c r="AO16" s="76">
        <v>171.16763321590386</v>
      </c>
      <c r="AP16" s="76">
        <v>45.247304493071255</v>
      </c>
      <c r="AQ16" s="76">
        <v>43.015018229382385</v>
      </c>
      <c r="AR16" s="76">
        <v>82.166331093150404</v>
      </c>
      <c r="AS16" s="76">
        <v>43.017701134478564</v>
      </c>
      <c r="AT16" s="76">
        <v>74.966484563052845</v>
      </c>
      <c r="AU16" s="76">
        <v>45.764316606182092</v>
      </c>
      <c r="AV16" s="76">
        <v>42.224219145925915</v>
      </c>
      <c r="AW16" s="76">
        <v>44.720197353201243</v>
      </c>
      <c r="AX16" s="76">
        <v>72.61046206694796</v>
      </c>
      <c r="AY16" s="76">
        <v>38.421948297210598</v>
      </c>
      <c r="AZ16" s="76">
        <v>62.750850998522928</v>
      </c>
      <c r="BA16" s="76">
        <v>223.0168077115402</v>
      </c>
      <c r="BB16" s="76">
        <v>50.654987006104029</v>
      </c>
      <c r="BC16" s="76">
        <v>44.696483457364081</v>
      </c>
      <c r="BD16" s="76">
        <v>98.026180809409453</v>
      </c>
      <c r="BE16" s="76">
        <v>49.869470789469531</v>
      </c>
      <c r="BF16" s="76">
        <v>90.792025292917629</v>
      </c>
      <c r="BG16" s="76">
        <v>49.554508159845255</v>
      </c>
      <c r="BH16" s="76">
        <v>51.782221680548808</v>
      </c>
      <c r="BI16" s="76">
        <v>48.071304640838967</v>
      </c>
      <c r="BJ16" s="76">
        <v>79.928189635338654</v>
      </c>
      <c r="BK16" s="76">
        <v>44.738459086366028</v>
      </c>
      <c r="BL16" s="76">
        <v>61.65473451555534</v>
      </c>
      <c r="BM16" s="76">
        <v>384.37267665751091</v>
      </c>
      <c r="BN16" s="76">
        <v>58.46584694969183</v>
      </c>
      <c r="BO16" s="76">
        <v>49.824974683899335</v>
      </c>
      <c r="BP16" s="76">
        <v>141.45779218342125</v>
      </c>
      <c r="BQ16" s="76">
        <v>54.353883311411479</v>
      </c>
      <c r="BR16" s="76">
        <v>130.58666653207561</v>
      </c>
      <c r="BS16" s="76">
        <v>52.674082620081997</v>
      </c>
      <c r="BT16" s="76">
        <v>54.865927820391292</v>
      </c>
      <c r="BU16" s="76">
        <v>72.71158051341807</v>
      </c>
      <c r="BV16" s="76">
        <v>105.81071109708849</v>
      </c>
      <c r="BW16" s="76">
        <v>43.039056591463364</v>
      </c>
      <c r="BX16" s="76">
        <v>79.48812818104237</v>
      </c>
      <c r="BY16" s="76">
        <v>481.86669736156324</v>
      </c>
      <c r="BZ16" s="76">
        <v>110.49868646932833</v>
      </c>
      <c r="CA16" s="76">
        <v>60.359356709349619</v>
      </c>
      <c r="CB16" s="76">
        <v>153.30088939759602</v>
      </c>
      <c r="CC16" s="76">
        <v>62.140853332157164</v>
      </c>
      <c r="CD16" s="76">
        <v>141.10161581902963</v>
      </c>
      <c r="CE16" s="76">
        <v>64.954084899970837</v>
      </c>
      <c r="CF16" s="76">
        <v>64.254488459314913</v>
      </c>
      <c r="CG16" s="76">
        <v>86.106640416429201</v>
      </c>
      <c r="CH16" s="76">
        <v>107.28244069299717</v>
      </c>
      <c r="CI16" s="76">
        <v>60.013201863592919</v>
      </c>
      <c r="CJ16" s="76">
        <v>85.440691383238814</v>
      </c>
      <c r="CK16" s="76">
        <v>453.58813331598924</v>
      </c>
      <c r="CL16" s="76">
        <v>103.5392550279072</v>
      </c>
      <c r="CM16" s="76">
        <v>64.671860579049707</v>
      </c>
      <c r="CN16" s="76">
        <v>181.39598412105627</v>
      </c>
      <c r="CO16" s="76">
        <v>97.537799029078855</v>
      </c>
      <c r="CP16" s="76">
        <v>203.39091049413233</v>
      </c>
      <c r="CQ16" s="76">
        <v>101.77349891232208</v>
      </c>
      <c r="CR16" s="76">
        <v>105.44140566599056</v>
      </c>
      <c r="CS16" s="76">
        <v>124.63777060939032</v>
      </c>
      <c r="CT16" s="76">
        <v>166.51224155049499</v>
      </c>
      <c r="CU16" s="76">
        <v>106.95375226337001</v>
      </c>
      <c r="CV16" s="76">
        <v>150.56012996000001</v>
      </c>
      <c r="CW16" s="76">
        <v>518.89909999999998</v>
      </c>
      <c r="CX16" s="76">
        <v>154.608578604</v>
      </c>
      <c r="CY16" s="76">
        <v>104.79683330500001</v>
      </c>
      <c r="CZ16" s="76">
        <v>273.37744556169002</v>
      </c>
      <c r="DA16" s="76">
        <v>121.89</v>
      </c>
      <c r="DB16" s="76">
        <v>279.131632244</v>
      </c>
      <c r="DC16" s="76">
        <v>238.83079988899999</v>
      </c>
      <c r="DD16" s="76">
        <v>135.58633768000001</v>
      </c>
      <c r="DE16" s="76">
        <v>118.05</v>
      </c>
      <c r="DF16" s="76">
        <v>173.19129999999998</v>
      </c>
      <c r="DG16" s="76">
        <v>89.045900000000003</v>
      </c>
      <c r="DH16" s="76">
        <v>162.37729999999999</v>
      </c>
      <c r="DI16" s="76">
        <v>701.64359999999999</v>
      </c>
      <c r="DJ16" s="76">
        <v>163.15300000000002</v>
      </c>
      <c r="DK16" s="76">
        <v>113.55840000000001</v>
      </c>
      <c r="DL16" s="76">
        <v>292.2319</v>
      </c>
      <c r="DM16" s="76">
        <v>127.8486</v>
      </c>
      <c r="DN16" s="76">
        <v>275.28019999999998</v>
      </c>
      <c r="DO16" s="76">
        <v>132.827</v>
      </c>
      <c r="DP16" s="76">
        <v>164.2285</v>
      </c>
      <c r="DQ16" s="76">
        <v>122.1185</v>
      </c>
      <c r="DR16" s="76">
        <v>204.244</v>
      </c>
      <c r="DS16" s="76">
        <v>96.497500000000002</v>
      </c>
      <c r="DT16" s="76">
        <v>174.57240000000002</v>
      </c>
      <c r="DU16" s="76">
        <v>516.07680000000005</v>
      </c>
      <c r="DV16" s="76">
        <v>142.02629999999999</v>
      </c>
      <c r="DW16" s="76">
        <v>123.0419</v>
      </c>
      <c r="DX16" s="76">
        <v>260.8861</v>
      </c>
      <c r="DY16" s="76">
        <v>136.6146</v>
      </c>
      <c r="DZ16" s="76">
        <v>252.34059999999997</v>
      </c>
      <c r="EA16" s="76">
        <v>157.00700000000001</v>
      </c>
      <c r="EB16" s="76">
        <v>142.85509999999999</v>
      </c>
      <c r="EC16" s="76">
        <v>146.94900000000001</v>
      </c>
      <c r="ED16" s="76">
        <v>244.02807525193018</v>
      </c>
      <c r="EE16" s="76">
        <v>134.67411000000001</v>
      </c>
      <c r="EF16" s="76">
        <v>304.90430000000003</v>
      </c>
      <c r="EG16" s="76">
        <v>653.14779999999996</v>
      </c>
      <c r="EH16" s="76">
        <v>198.08459999999999</v>
      </c>
      <c r="EI16" s="76">
        <v>206.2679</v>
      </c>
      <c r="EJ16" s="76">
        <v>246.8509</v>
      </c>
      <c r="EK16" s="76">
        <v>179.5121</v>
      </c>
      <c r="EL16" s="76">
        <v>297.59750000000003</v>
      </c>
      <c r="EM16" s="76">
        <v>182.41830000000002</v>
      </c>
      <c r="EN16" s="76">
        <v>174.7116</v>
      </c>
      <c r="EO16" s="76">
        <v>208.00569999999999</v>
      </c>
      <c r="EP16" s="76">
        <v>304.0222</v>
      </c>
      <c r="EQ16" s="76">
        <v>147.96729999999999</v>
      </c>
      <c r="ER16" s="76">
        <v>241.50819999999999</v>
      </c>
      <c r="ES16" s="76">
        <v>825.65949999999998</v>
      </c>
      <c r="ET16" s="76">
        <v>213.45500000000001</v>
      </c>
      <c r="EU16" s="76">
        <v>174.517</v>
      </c>
      <c r="EV16" s="76">
        <v>284.98500000000001</v>
      </c>
      <c r="EW16" s="76">
        <v>193.27720000000002</v>
      </c>
      <c r="EX16" s="76">
        <v>302.27699999999999</v>
      </c>
      <c r="EY16" s="76">
        <v>195.34380000000002</v>
      </c>
      <c r="EZ16" s="76">
        <v>198.81339999999997</v>
      </c>
      <c r="FA16" s="76">
        <v>231.107</v>
      </c>
      <c r="FB16" s="76">
        <v>341.70830000000001</v>
      </c>
      <c r="FC16" s="76">
        <v>181.47290000000001</v>
      </c>
      <c r="FD16" s="76">
        <v>265.69839999999999</v>
      </c>
      <c r="FE16" s="76">
        <v>924.42580000000009</v>
      </c>
      <c r="FF16" s="76">
        <v>231.9975</v>
      </c>
      <c r="FG16" s="76">
        <v>204.6052</v>
      </c>
      <c r="FH16" s="76">
        <v>392.7602</v>
      </c>
      <c r="FI16" s="76">
        <v>223.58031</v>
      </c>
      <c r="FJ16" s="76">
        <v>345.3929</v>
      </c>
      <c r="FK16" s="76">
        <v>230.56309999999999</v>
      </c>
      <c r="FL16" s="76">
        <v>228.4221</v>
      </c>
      <c r="FM16" s="76">
        <v>276.81349999999998</v>
      </c>
      <c r="FN16" s="76">
        <v>351.59541000000002</v>
      </c>
      <c r="FO16" s="76">
        <v>203.54504</v>
      </c>
      <c r="FP16" s="76">
        <v>297.96724999999998</v>
      </c>
      <c r="FQ16" s="76">
        <v>979.57789000000002</v>
      </c>
      <c r="FR16" s="76">
        <v>267.42685</v>
      </c>
      <c r="FS16" s="76">
        <v>223.47059999999999</v>
      </c>
      <c r="FT16" s="76">
        <v>403.70429999999999</v>
      </c>
      <c r="FU16" s="76">
        <v>253.25799999999998</v>
      </c>
      <c r="FV16" s="76">
        <v>384.48269999999997</v>
      </c>
      <c r="FW16" s="76">
        <v>259.3313</v>
      </c>
      <c r="FX16" s="76">
        <v>241.91580000000002</v>
      </c>
      <c r="FY16" s="76">
        <v>294.42199999999997</v>
      </c>
      <c r="FZ16" s="76">
        <v>418.18634736000007</v>
      </c>
      <c r="GA16" s="76">
        <v>188.25251135000002</v>
      </c>
      <c r="GB16" s="76">
        <v>313.44998156759999</v>
      </c>
      <c r="GC16" s="76">
        <v>983.2310662299999</v>
      </c>
      <c r="GD16" s="76">
        <v>316.37058658999996</v>
      </c>
      <c r="GE16" s="76">
        <v>317.41656324000002</v>
      </c>
      <c r="GF16" s="76">
        <v>906.83771024999999</v>
      </c>
      <c r="GG16" s="76">
        <v>225.47353578999994</v>
      </c>
      <c r="GH16" s="76">
        <v>359.12200000000001</v>
      </c>
      <c r="GI16" s="76">
        <v>236.251</v>
      </c>
      <c r="GJ16" s="76">
        <v>228.80699999999999</v>
      </c>
      <c r="GK16" s="76">
        <v>240.7595</v>
      </c>
      <c r="GL16" s="76">
        <v>318.54962687520003</v>
      </c>
      <c r="GM16" s="76">
        <v>180.87045999999998</v>
      </c>
      <c r="GN16" s="76">
        <v>328.62600000000003</v>
      </c>
      <c r="GO16" s="76">
        <v>778.82269000000008</v>
      </c>
      <c r="GP16" s="76">
        <v>238.13593</v>
      </c>
      <c r="GQ16" s="73">
        <v>212.18038000000001</v>
      </c>
      <c r="GR16" s="76">
        <v>320.74083642999994</v>
      </c>
      <c r="GS16" s="76">
        <v>219.18910000000002</v>
      </c>
      <c r="GT16" s="76">
        <v>329.12299999999999</v>
      </c>
      <c r="GU16" s="76">
        <v>246.28507000000002</v>
      </c>
      <c r="GV16" s="76">
        <v>220.69154</v>
      </c>
      <c r="GW16" s="76">
        <v>246.45166857000001</v>
      </c>
      <c r="GX16" s="73">
        <v>308.43684178000001</v>
      </c>
      <c r="GY16" s="73">
        <v>202.35499999999999</v>
      </c>
      <c r="GZ16" s="73">
        <v>287.64860984000001</v>
      </c>
      <c r="HA16" s="73">
        <v>883.03400348000298</v>
      </c>
      <c r="HB16" s="73">
        <v>235.29900000000001</v>
      </c>
      <c r="HC16" s="73">
        <v>232.77600000000001</v>
      </c>
      <c r="HD16" s="73">
        <v>321.51600000000002</v>
      </c>
      <c r="HE16" s="73">
        <v>222.88067000000001</v>
      </c>
      <c r="HF16" s="73">
        <v>342.41651000000002</v>
      </c>
      <c r="HG16" s="73">
        <v>241.63200000000001</v>
      </c>
      <c r="HH16" s="73">
        <v>234.77799999999999</v>
      </c>
      <c r="HI16" s="73">
        <v>251.25700000000001</v>
      </c>
    </row>
    <row r="17" spans="1:217" ht="15.5" x14ac:dyDescent="0.35">
      <c r="A17" s="171" t="s">
        <v>584</v>
      </c>
      <c r="B17" s="76">
        <v>58.679499999999997</v>
      </c>
      <c r="C17" s="76">
        <v>54.101799999999997</v>
      </c>
      <c r="D17" s="76">
        <v>54.978699999999996</v>
      </c>
      <c r="E17" s="76">
        <v>60.997099999999996</v>
      </c>
      <c r="F17" s="76">
        <v>59.853199999999994</v>
      </c>
      <c r="G17" s="76">
        <v>77.855499999999992</v>
      </c>
      <c r="H17" s="76">
        <v>74.607399999999998</v>
      </c>
      <c r="I17" s="76">
        <v>84.845799999999997</v>
      </c>
      <c r="J17" s="76">
        <v>85.685000000000002</v>
      </c>
      <c r="K17" s="76">
        <v>85.555999999999997</v>
      </c>
      <c r="L17" s="76">
        <v>94.1</v>
      </c>
      <c r="M17" s="76">
        <v>102.173</v>
      </c>
      <c r="N17" s="76">
        <v>103.96378444242737</v>
      </c>
      <c r="O17" s="76">
        <v>99.213928470831831</v>
      </c>
      <c r="P17" s="76">
        <v>102.37578687002934</v>
      </c>
      <c r="Q17" s="76">
        <v>105.36963636639999</v>
      </c>
      <c r="R17" s="76">
        <v>116.59851588857759</v>
      </c>
      <c r="S17" s="76">
        <v>131.71381413499998</v>
      </c>
      <c r="T17" s="76">
        <v>134.01592348780002</v>
      </c>
      <c r="U17" s="76">
        <v>145.35530790966666</v>
      </c>
      <c r="V17" s="76">
        <v>127.238466231</v>
      </c>
      <c r="W17" s="76">
        <v>127.23884784900001</v>
      </c>
      <c r="X17" s="76">
        <v>132.20785400651357</v>
      </c>
      <c r="Y17" s="76">
        <v>131.4788985326</v>
      </c>
      <c r="Z17" s="76">
        <v>158.029</v>
      </c>
      <c r="AA17" s="76">
        <v>128.39600000000002</v>
      </c>
      <c r="AB17" s="76">
        <v>131.5</v>
      </c>
      <c r="AC17" s="76">
        <v>148.17699999999999</v>
      </c>
      <c r="AD17" s="76">
        <v>134.74</v>
      </c>
      <c r="AE17" s="76">
        <v>143.67000000000002</v>
      </c>
      <c r="AF17" s="76">
        <v>134.80000000000001</v>
      </c>
      <c r="AG17" s="76">
        <v>140.46600000000001</v>
      </c>
      <c r="AH17" s="76">
        <v>133.268</v>
      </c>
      <c r="AI17" s="76">
        <v>142.37799999999999</v>
      </c>
      <c r="AJ17" s="76">
        <v>128.92099999999999</v>
      </c>
      <c r="AK17" s="76">
        <v>145.5</v>
      </c>
      <c r="AL17" s="76">
        <v>177.0391975</v>
      </c>
      <c r="AM17" s="76">
        <v>129.08007499999999</v>
      </c>
      <c r="AN17" s="76">
        <v>130.20217124999999</v>
      </c>
      <c r="AO17" s="76">
        <v>132.31186625000001</v>
      </c>
      <c r="AP17" s="76">
        <v>142.6639275</v>
      </c>
      <c r="AQ17" s="76">
        <v>150.05684625000001</v>
      </c>
      <c r="AR17" s="76">
        <v>146.5677125</v>
      </c>
      <c r="AS17" s="76">
        <v>141.92606749999999</v>
      </c>
      <c r="AT17" s="76">
        <v>130.3687625</v>
      </c>
      <c r="AU17" s="76">
        <v>160.68817249999998</v>
      </c>
      <c r="AV17" s="76">
        <v>143.70376499999998</v>
      </c>
      <c r="AW17" s="76">
        <v>152.46772874999999</v>
      </c>
      <c r="AX17" s="76">
        <v>172.893475</v>
      </c>
      <c r="AY17" s="76">
        <v>127.09125</v>
      </c>
      <c r="AZ17" s="76">
        <v>157.70375000000001</v>
      </c>
      <c r="BA17" s="76">
        <v>156.815</v>
      </c>
      <c r="BB17" s="76">
        <v>152.47</v>
      </c>
      <c r="BC17" s="76">
        <v>154.44499999999999</v>
      </c>
      <c r="BD17" s="76">
        <v>156.32124999999999</v>
      </c>
      <c r="BE17" s="76">
        <v>155.68648499999998</v>
      </c>
      <c r="BF17" s="76">
        <v>146.23768999999999</v>
      </c>
      <c r="BG17" s="76">
        <v>168.53662499999999</v>
      </c>
      <c r="BH17" s="76">
        <v>166.99414999999999</v>
      </c>
      <c r="BI17" s="76">
        <v>171.6275</v>
      </c>
      <c r="BJ17" s="76">
        <v>207.2574875</v>
      </c>
      <c r="BK17" s="76">
        <v>156.46937500000001</v>
      </c>
      <c r="BL17" s="76">
        <v>162.54249999999999</v>
      </c>
      <c r="BM17" s="76">
        <v>167.38124999999999</v>
      </c>
      <c r="BN17" s="76">
        <v>183.26429874999999</v>
      </c>
      <c r="BO17" s="76">
        <v>174.32801624999999</v>
      </c>
      <c r="BP17" s="76">
        <v>184.59643625000001</v>
      </c>
      <c r="BQ17" s="76">
        <v>178.47976249999999</v>
      </c>
      <c r="BR17" s="76">
        <v>188.32780375000002</v>
      </c>
      <c r="BS17" s="76">
        <v>201.32527875000002</v>
      </c>
      <c r="BT17" s="76">
        <v>180.57820000000001</v>
      </c>
      <c r="BU17" s="76">
        <v>182.33002500000001</v>
      </c>
      <c r="BV17" s="76">
        <v>218.73855749999998</v>
      </c>
      <c r="BW17" s="76">
        <v>146.15888749999999</v>
      </c>
      <c r="BX17" s="76">
        <v>210.19875625</v>
      </c>
      <c r="BY17" s="76">
        <v>197.21214375</v>
      </c>
      <c r="BZ17" s="76">
        <v>203.05310750000001</v>
      </c>
      <c r="CA17" s="76">
        <v>212.24386874999999</v>
      </c>
      <c r="CB17" s="76">
        <v>201.55595875</v>
      </c>
      <c r="CC17" s="76">
        <v>219.2354675</v>
      </c>
      <c r="CD17" s="76">
        <v>207.04981625000002</v>
      </c>
      <c r="CE17" s="76">
        <v>203.70308</v>
      </c>
      <c r="CF17" s="76">
        <v>225.31530749999999</v>
      </c>
      <c r="CG17" s="76">
        <v>200.39149875000001</v>
      </c>
      <c r="CH17" s="76">
        <v>262.98546999999996</v>
      </c>
      <c r="CI17" s="76">
        <v>190.71222125</v>
      </c>
      <c r="CJ17" s="76">
        <v>195.89452249999999</v>
      </c>
      <c r="CK17" s="76">
        <v>204.91898875000001</v>
      </c>
      <c r="CL17" s="76">
        <v>215.99863999999999</v>
      </c>
      <c r="CM17" s="76">
        <v>215.57677999999999</v>
      </c>
      <c r="CN17" s="76">
        <v>224.02148500000001</v>
      </c>
      <c r="CO17" s="76">
        <v>246.74751375</v>
      </c>
      <c r="CP17" s="76">
        <v>248.03837374999998</v>
      </c>
      <c r="CQ17" s="76">
        <v>234.15372875000003</v>
      </c>
      <c r="CR17" s="76">
        <v>257.07715875000002</v>
      </c>
      <c r="CS17" s="76">
        <v>256.55250000000001</v>
      </c>
      <c r="CT17" s="76">
        <v>315.58228750000001</v>
      </c>
      <c r="CU17" s="76">
        <v>182.4574125</v>
      </c>
      <c r="CV17" s="76">
        <v>230.3847375</v>
      </c>
      <c r="CW17" s="76">
        <v>227.51012499999999</v>
      </c>
      <c r="CX17" s="76">
        <v>244.7894</v>
      </c>
      <c r="CY17" s="76">
        <v>242.9556125</v>
      </c>
      <c r="CZ17" s="76">
        <v>269.60823750000003</v>
      </c>
      <c r="DA17" s="76">
        <v>285.94918999999993</v>
      </c>
      <c r="DB17" s="76">
        <v>301.99152249999997</v>
      </c>
      <c r="DC17" s="76">
        <v>235.45940124999998</v>
      </c>
      <c r="DD17" s="76">
        <v>300.93568750000003</v>
      </c>
      <c r="DE17" s="76">
        <v>278.82201250000003</v>
      </c>
      <c r="DF17" s="76">
        <v>337.00732907000003</v>
      </c>
      <c r="DG17" s="76">
        <v>215.48267328</v>
      </c>
      <c r="DH17" s="76">
        <v>286.37299805999999</v>
      </c>
      <c r="DI17" s="76">
        <v>244.5848872</v>
      </c>
      <c r="DJ17" s="76">
        <v>251.29992599999997</v>
      </c>
      <c r="DK17" s="76">
        <v>260.6981634420888</v>
      </c>
      <c r="DL17" s="76">
        <v>271.57078203318326</v>
      </c>
      <c r="DM17" s="76">
        <v>254.90370065999161</v>
      </c>
      <c r="DN17" s="76">
        <v>277.58359999999999</v>
      </c>
      <c r="DO17" s="76">
        <v>277.0847</v>
      </c>
      <c r="DP17" s="76">
        <v>300.3193</v>
      </c>
      <c r="DQ17" s="76">
        <v>311.27199999999999</v>
      </c>
      <c r="DR17" s="76">
        <v>395.50110000000001</v>
      </c>
      <c r="DS17" s="76">
        <v>257.86070000000001</v>
      </c>
      <c r="DT17" s="76">
        <v>355.12310000000002</v>
      </c>
      <c r="DU17" s="76">
        <v>294.822</v>
      </c>
      <c r="DV17" s="76">
        <v>320.57560000000001</v>
      </c>
      <c r="DW17" s="76">
        <v>327.65480000000002</v>
      </c>
      <c r="DX17" s="76">
        <v>274.83680000000004</v>
      </c>
      <c r="DY17" s="76">
        <v>277.14850000000001</v>
      </c>
      <c r="DZ17" s="76">
        <v>295.47750000000002</v>
      </c>
      <c r="EA17" s="76">
        <v>307.72809999999998</v>
      </c>
      <c r="EB17" s="76">
        <v>302.8886</v>
      </c>
      <c r="EC17" s="76">
        <v>349.84089999999998</v>
      </c>
      <c r="ED17" s="76">
        <v>357.83859999999999</v>
      </c>
      <c r="EE17" s="76">
        <v>277.6311</v>
      </c>
      <c r="EF17" s="76">
        <v>292.20010000000002</v>
      </c>
      <c r="EG17" s="76">
        <v>308.22840000000002</v>
      </c>
      <c r="EH17" s="76">
        <v>367.46469999999999</v>
      </c>
      <c r="EI17" s="76">
        <v>328.80279999999999</v>
      </c>
      <c r="EJ17" s="76">
        <v>330.22428840000003</v>
      </c>
      <c r="EK17" s="76">
        <v>326.78379999999999</v>
      </c>
      <c r="EL17" s="76">
        <v>367.96949999999998</v>
      </c>
      <c r="EM17" s="76">
        <v>386.63370000000003</v>
      </c>
      <c r="EN17" s="76">
        <v>423.29699999999997</v>
      </c>
      <c r="EO17" s="76">
        <v>433.26209999999998</v>
      </c>
      <c r="EP17" s="76">
        <v>508.77670000000001</v>
      </c>
      <c r="EQ17" s="76">
        <v>406.14280000000002</v>
      </c>
      <c r="ER17" s="76">
        <v>408.4794</v>
      </c>
      <c r="ES17" s="76">
        <v>406.32549999999998</v>
      </c>
      <c r="ET17" s="76">
        <v>449.25820000000004</v>
      </c>
      <c r="EU17" s="76">
        <v>441.65499999999997</v>
      </c>
      <c r="EV17" s="76">
        <v>449.45400000000001</v>
      </c>
      <c r="EW17" s="76">
        <v>473.69650000000001</v>
      </c>
      <c r="EX17" s="76">
        <v>439.81950000000001</v>
      </c>
      <c r="EY17" s="76">
        <v>437.65890000000002</v>
      </c>
      <c r="EZ17" s="76">
        <v>472.57239999999996</v>
      </c>
      <c r="FA17" s="76">
        <v>521.13909999999998</v>
      </c>
      <c r="FB17" s="76">
        <v>603.43310000000008</v>
      </c>
      <c r="FC17" s="76">
        <v>448.93860000000001</v>
      </c>
      <c r="FD17" s="76">
        <v>448.13420000000002</v>
      </c>
      <c r="FE17" s="76">
        <v>488.68349999999998</v>
      </c>
      <c r="FF17" s="76">
        <v>519.24530000000004</v>
      </c>
      <c r="FG17" s="76">
        <v>485.35360000000003</v>
      </c>
      <c r="FH17" s="76">
        <v>507.61019999999996</v>
      </c>
      <c r="FI17" s="76">
        <v>518.85369000000003</v>
      </c>
      <c r="FJ17" s="76">
        <v>494.00979999999998</v>
      </c>
      <c r="FK17" s="76">
        <v>531.9547</v>
      </c>
      <c r="FL17" s="76">
        <v>513.50190000000009</v>
      </c>
      <c r="FM17" s="76">
        <v>496.3621</v>
      </c>
      <c r="FN17" s="76">
        <v>625.05697000000009</v>
      </c>
      <c r="FO17" s="76">
        <v>485.52134999999998</v>
      </c>
      <c r="FP17" s="76">
        <v>467.92722999999995</v>
      </c>
      <c r="FQ17" s="76">
        <v>512.62797999999998</v>
      </c>
      <c r="FR17" s="76">
        <v>516.89648</v>
      </c>
      <c r="FS17" s="76">
        <v>509.86910000000006</v>
      </c>
      <c r="FT17" s="76">
        <v>540.74400000000003</v>
      </c>
      <c r="FU17" s="76">
        <v>523.6028</v>
      </c>
      <c r="FV17" s="76">
        <v>529.19500000000005</v>
      </c>
      <c r="FW17" s="76">
        <v>556.94809999999995</v>
      </c>
      <c r="FX17" s="76">
        <v>547.02710000000002</v>
      </c>
      <c r="FY17" s="76">
        <v>560.22930000000008</v>
      </c>
      <c r="FZ17" s="76">
        <v>708.65819999999997</v>
      </c>
      <c r="GA17" s="76">
        <v>553.31799999999998</v>
      </c>
      <c r="GB17" s="76">
        <v>540.58499999999992</v>
      </c>
      <c r="GC17" s="76">
        <v>564.49</v>
      </c>
      <c r="GD17" s="76">
        <v>497.31</v>
      </c>
      <c r="GE17" s="76">
        <v>480.36500000000001</v>
      </c>
      <c r="GF17" s="76">
        <v>555.38</v>
      </c>
      <c r="GG17" s="76">
        <v>497.38</v>
      </c>
      <c r="GH17" s="76">
        <v>500.26400000000001</v>
      </c>
      <c r="GI17" s="76">
        <v>479.93099999999998</v>
      </c>
      <c r="GJ17" s="76">
        <v>504.31200000000001</v>
      </c>
      <c r="GK17" s="76">
        <v>470.34399999999999</v>
      </c>
      <c r="GL17" s="76">
        <v>581.35216000000003</v>
      </c>
      <c r="GM17" s="76">
        <v>401.25304999999997</v>
      </c>
      <c r="GN17" s="76">
        <v>413.80417999999997</v>
      </c>
      <c r="GO17" s="76">
        <v>406.38758000000001</v>
      </c>
      <c r="GP17" s="76">
        <v>409.48552999999998</v>
      </c>
      <c r="GQ17" s="73">
        <v>453.40694999999999</v>
      </c>
      <c r="GR17" s="76">
        <v>418.03235000000001</v>
      </c>
      <c r="GS17" s="76">
        <v>465.56085000000002</v>
      </c>
      <c r="GT17" s="76">
        <v>424.89512000000002</v>
      </c>
      <c r="GU17" s="76">
        <v>482.37039999999996</v>
      </c>
      <c r="GV17" s="76">
        <v>457.52641999999997</v>
      </c>
      <c r="GW17" s="76">
        <v>485.60565691446101</v>
      </c>
      <c r="GX17" s="73">
        <v>652.27150124161994</v>
      </c>
      <c r="GY17" s="73">
        <v>415.516153806082</v>
      </c>
      <c r="GZ17" s="73">
        <v>458.90134733956199</v>
      </c>
      <c r="HA17" s="73">
        <v>477.60700000000003</v>
      </c>
      <c r="HB17" s="73">
        <v>480.86099999999999</v>
      </c>
      <c r="HC17" s="73">
        <v>487.95400000000001</v>
      </c>
      <c r="HD17" s="73">
        <v>495.892</v>
      </c>
      <c r="HE17" s="73">
        <v>501.303</v>
      </c>
      <c r="HF17" s="73">
        <v>479.42099999999999</v>
      </c>
      <c r="HG17" s="73">
        <v>494.66500000000002</v>
      </c>
      <c r="HH17" s="73">
        <v>519.77099999999996</v>
      </c>
      <c r="HI17" s="73">
        <v>514.70877907646002</v>
      </c>
    </row>
    <row r="18" spans="1:217" ht="15.5" x14ac:dyDescent="0.35">
      <c r="A18" s="171" t="s">
        <v>585</v>
      </c>
      <c r="B18" s="76">
        <v>2.6209290000000003</v>
      </c>
      <c r="C18" s="76">
        <v>4.3697870000000005</v>
      </c>
      <c r="D18" s="76">
        <v>3.1811760000000002</v>
      </c>
      <c r="E18" s="76">
        <v>5.5129565200000004</v>
      </c>
      <c r="F18" s="76">
        <v>4.3704999999999998</v>
      </c>
      <c r="G18" s="76">
        <v>7.0994999999999999</v>
      </c>
      <c r="H18" s="76">
        <v>5.3307000000000002</v>
      </c>
      <c r="I18" s="76">
        <v>6.7436000000000007</v>
      </c>
      <c r="J18" s="76">
        <v>8.2439999999999998</v>
      </c>
      <c r="K18" s="76">
        <v>8.668000000000001</v>
      </c>
      <c r="L18" s="76">
        <v>9.2089999999999996</v>
      </c>
      <c r="M18" s="76">
        <v>9.2160000000000011</v>
      </c>
      <c r="N18" s="76">
        <v>13.008000000000001</v>
      </c>
      <c r="O18" s="76">
        <v>12.708</v>
      </c>
      <c r="P18" s="76">
        <v>9.0120000000000005</v>
      </c>
      <c r="Q18" s="76">
        <v>15.792999999999999</v>
      </c>
      <c r="R18" s="76">
        <v>8.6440000000000001</v>
      </c>
      <c r="S18" s="76">
        <v>5.5429999999999993</v>
      </c>
      <c r="T18" s="76">
        <v>11.058999999999999</v>
      </c>
      <c r="U18" s="76">
        <v>9.9169999999999998</v>
      </c>
      <c r="V18" s="76">
        <v>12.08</v>
      </c>
      <c r="W18" s="76">
        <v>13.642999999999999</v>
      </c>
      <c r="X18" s="76">
        <v>12.774999999999999</v>
      </c>
      <c r="Y18" s="76">
        <v>13.099999999999998</v>
      </c>
      <c r="Z18" s="76">
        <v>18.488300000000002</v>
      </c>
      <c r="AA18" s="76">
        <v>16.173000000000002</v>
      </c>
      <c r="AB18" s="76">
        <v>18.700000000000003</v>
      </c>
      <c r="AC18" s="76">
        <v>18.157000000000004</v>
      </c>
      <c r="AD18" s="76">
        <v>19.381</v>
      </c>
      <c r="AE18" s="76">
        <v>15.5</v>
      </c>
      <c r="AF18" s="76">
        <v>16.652000000000001</v>
      </c>
      <c r="AG18" s="76">
        <v>17.975999999999999</v>
      </c>
      <c r="AH18" s="76">
        <v>20.027000000000001</v>
      </c>
      <c r="AI18" s="76">
        <v>18</v>
      </c>
      <c r="AJ18" s="76">
        <v>20.400000000000002</v>
      </c>
      <c r="AK18" s="76">
        <v>20.6</v>
      </c>
      <c r="AL18" s="76">
        <v>24.6175</v>
      </c>
      <c r="AM18" s="76">
        <v>19.859000000000002</v>
      </c>
      <c r="AN18" s="76">
        <v>18.666699999999999</v>
      </c>
      <c r="AO18" s="76">
        <v>18.139000000000003</v>
      </c>
      <c r="AP18" s="76">
        <v>20.204099999999997</v>
      </c>
      <c r="AQ18" s="76">
        <v>18.671599999999998</v>
      </c>
      <c r="AR18" s="76">
        <v>19.052799999999998</v>
      </c>
      <c r="AS18" s="76">
        <v>20.793300000000002</v>
      </c>
      <c r="AT18" s="76">
        <v>20.677700000000002</v>
      </c>
      <c r="AU18" s="76">
        <v>19.7928</v>
      </c>
      <c r="AV18" s="76">
        <v>21.020400000000002</v>
      </c>
      <c r="AW18" s="76">
        <v>21.309900000000003</v>
      </c>
      <c r="AX18" s="76">
        <v>24.468166089965401</v>
      </c>
      <c r="AY18" s="76">
        <v>17.993771626297573</v>
      </c>
      <c r="AZ18" s="76">
        <v>19.002768166089965</v>
      </c>
      <c r="BA18" s="76">
        <v>20.852595155709345</v>
      </c>
      <c r="BB18" s="76">
        <v>23.291003460207612</v>
      </c>
      <c r="BC18" s="76">
        <v>22.162608996539795</v>
      </c>
      <c r="BD18" s="76">
        <v>21.357093425605534</v>
      </c>
      <c r="BE18" s="76">
        <v>26.33035328719723</v>
      </c>
      <c r="BF18" s="76">
        <v>19.788608304498268</v>
      </c>
      <c r="BG18" s="76">
        <v>24.513570934256055</v>
      </c>
      <c r="BH18" s="76">
        <v>25.282930795847751</v>
      </c>
      <c r="BI18" s="76">
        <v>25.056747404844295</v>
      </c>
      <c r="BJ18" s="76">
        <v>27.8</v>
      </c>
      <c r="BK18" s="76">
        <v>23.138000000000002</v>
      </c>
      <c r="BL18" s="76">
        <v>23.273</v>
      </c>
      <c r="BM18" s="76">
        <v>26.6</v>
      </c>
      <c r="BN18" s="76">
        <v>24.626999999999999</v>
      </c>
      <c r="BO18" s="76">
        <v>25.396799999999999</v>
      </c>
      <c r="BP18" s="76">
        <v>24.8993</v>
      </c>
      <c r="BQ18" s="76">
        <v>27.645099999999999</v>
      </c>
      <c r="BR18" s="76">
        <v>25.5472</v>
      </c>
      <c r="BS18" s="76">
        <v>27.8765</v>
      </c>
      <c r="BT18" s="76">
        <v>26.360799999999998</v>
      </c>
      <c r="BU18" s="76">
        <v>24.4649</v>
      </c>
      <c r="BV18" s="76">
        <v>34.266100000000002</v>
      </c>
      <c r="BW18" s="76">
        <v>21.108699999999999</v>
      </c>
      <c r="BX18" s="76">
        <v>26.653599999999997</v>
      </c>
      <c r="BY18" s="76">
        <v>27.4422</v>
      </c>
      <c r="BZ18" s="76">
        <v>27.248199999999997</v>
      </c>
      <c r="CA18" s="76">
        <v>26.599600000000002</v>
      </c>
      <c r="CB18" s="76">
        <v>30.735599999999998</v>
      </c>
      <c r="CC18" s="76">
        <v>27.567</v>
      </c>
      <c r="CD18" s="76">
        <v>39.091999999999999</v>
      </c>
      <c r="CE18" s="76">
        <v>25.754000000000001</v>
      </c>
      <c r="CF18" s="76">
        <v>29.886499999999998</v>
      </c>
      <c r="CG18" s="76">
        <v>28.607999999999997</v>
      </c>
      <c r="CH18" s="76">
        <v>35.341166666666666</v>
      </c>
      <c r="CI18" s="76">
        <v>25.989899999999999</v>
      </c>
      <c r="CJ18" s="76">
        <v>26.7791</v>
      </c>
      <c r="CK18" s="76">
        <v>29.745199999999997</v>
      </c>
      <c r="CL18" s="76">
        <v>28.206000000000003</v>
      </c>
      <c r="CM18" s="76">
        <v>26.7622</v>
      </c>
      <c r="CN18" s="76">
        <v>24.518099999999997</v>
      </c>
      <c r="CO18" s="76">
        <v>28.456000000000003</v>
      </c>
      <c r="CP18" s="76">
        <v>29.078299999999999</v>
      </c>
      <c r="CQ18" s="76">
        <v>29.185699999999997</v>
      </c>
      <c r="CR18" s="76">
        <v>33.619799999999998</v>
      </c>
      <c r="CS18" s="76">
        <v>31.724899999999998</v>
      </c>
      <c r="CT18" s="76">
        <v>62.164200000000001</v>
      </c>
      <c r="CU18" s="76">
        <v>29.5884</v>
      </c>
      <c r="CV18" s="76">
        <v>37.857799999999997</v>
      </c>
      <c r="CW18" s="76">
        <v>26.6236</v>
      </c>
      <c r="CX18" s="76">
        <v>36.3566</v>
      </c>
      <c r="CY18" s="76">
        <v>32.139299999999999</v>
      </c>
      <c r="CZ18" s="76">
        <v>30.2912</v>
      </c>
      <c r="DA18" s="76">
        <v>40.546100000000003</v>
      </c>
      <c r="DB18" s="76">
        <v>37.561</v>
      </c>
      <c r="DC18" s="76">
        <v>55.753</v>
      </c>
      <c r="DD18" s="76">
        <v>41.233899999999998</v>
      </c>
      <c r="DE18" s="76">
        <v>43.786000000000001</v>
      </c>
      <c r="DF18" s="76">
        <v>53.920842999999998</v>
      </c>
      <c r="DG18" s="76">
        <v>32.431699999999999</v>
      </c>
      <c r="DH18" s="76">
        <v>31.959900000000001</v>
      </c>
      <c r="DI18" s="76">
        <v>33.223599999999998</v>
      </c>
      <c r="DJ18" s="76">
        <v>29.386500000000002</v>
      </c>
      <c r="DK18" s="76">
        <v>34.361899999999999</v>
      </c>
      <c r="DL18" s="76">
        <v>32.2166</v>
      </c>
      <c r="DM18" s="76">
        <v>34.603700000000003</v>
      </c>
      <c r="DN18" s="76">
        <v>37.976799999999997</v>
      </c>
      <c r="DO18" s="76">
        <v>42.596699999999998</v>
      </c>
      <c r="DP18" s="76">
        <v>41.7849</v>
      </c>
      <c r="DQ18" s="76">
        <v>43.667099999999998</v>
      </c>
      <c r="DR18" s="76">
        <v>44.379600000000003</v>
      </c>
      <c r="DS18" s="76">
        <v>33.813099999999999</v>
      </c>
      <c r="DT18" s="76">
        <v>38.937899999999999</v>
      </c>
      <c r="DU18" s="76">
        <v>41.978900000000003</v>
      </c>
      <c r="DV18" s="76">
        <v>45.922499999999999</v>
      </c>
      <c r="DW18" s="76">
        <v>46.798299999999998</v>
      </c>
      <c r="DX18" s="76">
        <v>44.317399999999999</v>
      </c>
      <c r="DY18" s="76">
        <v>42.003799999999998</v>
      </c>
      <c r="DZ18" s="76">
        <v>42.586100000000002</v>
      </c>
      <c r="EA18" s="76">
        <v>45.565399999999997</v>
      </c>
      <c r="EB18" s="76">
        <v>51.4009</v>
      </c>
      <c r="EC18" s="76">
        <v>52.604300000000002</v>
      </c>
      <c r="ED18" s="76">
        <v>54.6965</v>
      </c>
      <c r="EE18" s="76">
        <v>44.958100000000002</v>
      </c>
      <c r="EF18" s="76">
        <v>40.296100000000003</v>
      </c>
      <c r="EG18" s="76">
        <v>48.127699999999997</v>
      </c>
      <c r="EH18" s="76">
        <v>53.082599999999999</v>
      </c>
      <c r="EI18" s="76">
        <v>49.530900000000003</v>
      </c>
      <c r="EJ18" s="76">
        <v>55.174999999999997</v>
      </c>
      <c r="EK18" s="76">
        <v>46.477499999999999</v>
      </c>
      <c r="EL18" s="76">
        <v>51.002800000000001</v>
      </c>
      <c r="EM18" s="76">
        <v>49.7179</v>
      </c>
      <c r="EN18" s="76">
        <v>50.944699999999997</v>
      </c>
      <c r="EO18" s="76">
        <v>73.860799999999998</v>
      </c>
      <c r="EP18" s="76">
        <v>55.829300000000003</v>
      </c>
      <c r="EQ18" s="76">
        <v>46.236699999999999</v>
      </c>
      <c r="ER18" s="76">
        <v>49.474800000000002</v>
      </c>
      <c r="ES18" s="76">
        <v>57.113799999999998</v>
      </c>
      <c r="ET18" s="76">
        <v>56.773000000000003</v>
      </c>
      <c r="EU18" s="76">
        <v>60.98</v>
      </c>
      <c r="EV18" s="76">
        <v>62.249000000000002</v>
      </c>
      <c r="EW18" s="76">
        <v>60.899500000000003</v>
      </c>
      <c r="EX18" s="76">
        <v>57.061100000000003</v>
      </c>
      <c r="EY18" s="76">
        <v>52.063000000000002</v>
      </c>
      <c r="EZ18" s="76">
        <v>58.9664</v>
      </c>
      <c r="FA18" s="76">
        <v>66.856200000000001</v>
      </c>
      <c r="FB18" s="76">
        <v>65.247500000000002</v>
      </c>
      <c r="FC18" s="76">
        <v>63.163600000000002</v>
      </c>
      <c r="FD18" s="76">
        <v>57.787599999999998</v>
      </c>
      <c r="FE18" s="76">
        <v>59.947499999999998</v>
      </c>
      <c r="FF18" s="76">
        <v>62.3414</v>
      </c>
      <c r="FG18" s="76">
        <v>59.401400000000002</v>
      </c>
      <c r="FH18" s="76">
        <v>60.5182</v>
      </c>
      <c r="FI18" s="76">
        <v>59.362389999999998</v>
      </c>
      <c r="FJ18" s="76">
        <v>61.652900000000002</v>
      </c>
      <c r="FK18" s="76">
        <v>62.504899999999999</v>
      </c>
      <c r="FL18" s="76">
        <v>64.362300000000005</v>
      </c>
      <c r="FM18" s="76">
        <v>67.336500000000001</v>
      </c>
      <c r="FN18" s="76">
        <v>74.90401</v>
      </c>
      <c r="FO18" s="76">
        <v>56.995750000000001</v>
      </c>
      <c r="FP18" s="76">
        <v>59.587159999999997</v>
      </c>
      <c r="FQ18" s="76">
        <v>60.143470000000001</v>
      </c>
      <c r="FR18" s="76">
        <v>65.191190000000006</v>
      </c>
      <c r="FS18" s="76">
        <v>64.7303</v>
      </c>
      <c r="FT18" s="76">
        <v>67.7</v>
      </c>
      <c r="FU18" s="76">
        <v>69.159800000000004</v>
      </c>
      <c r="FV18" s="76">
        <v>70.780699999999996</v>
      </c>
      <c r="FW18" s="76">
        <v>75.549199999999999</v>
      </c>
      <c r="FX18" s="76">
        <v>70.006799999999998</v>
      </c>
      <c r="FY18" s="76">
        <v>68.457800000000006</v>
      </c>
      <c r="FZ18" s="76">
        <v>89.167199999999994</v>
      </c>
      <c r="GA18" s="76">
        <v>61.957999999999998</v>
      </c>
      <c r="GB18" s="76">
        <v>65.662000000000006</v>
      </c>
      <c r="GC18" s="76">
        <v>67.188000000000002</v>
      </c>
      <c r="GD18" s="76">
        <v>60.281999999999996</v>
      </c>
      <c r="GE18" s="76">
        <v>73.183999999999997</v>
      </c>
      <c r="GF18" s="76">
        <v>116.196</v>
      </c>
      <c r="GG18" s="76">
        <v>63.904000000000003</v>
      </c>
      <c r="GH18" s="76">
        <v>58.582000000000001</v>
      </c>
      <c r="GI18" s="76">
        <v>59.661000000000001</v>
      </c>
      <c r="GJ18" s="76">
        <v>64.212999999999994</v>
      </c>
      <c r="GK18" s="76">
        <v>59.646000000000001</v>
      </c>
      <c r="GL18" s="76">
        <v>82.35790999999999</v>
      </c>
      <c r="GM18" s="76">
        <v>50.192430000000002</v>
      </c>
      <c r="GN18" s="76">
        <v>47.364590000000007</v>
      </c>
      <c r="GO18" s="76">
        <v>59.921990000000001</v>
      </c>
      <c r="GP18" s="76">
        <v>56.266570000000002</v>
      </c>
      <c r="GQ18" s="73">
        <v>59.745139999999999</v>
      </c>
      <c r="GR18" s="76">
        <v>76.648749999999993</v>
      </c>
      <c r="GS18" s="76">
        <v>66.324399999999997</v>
      </c>
      <c r="GT18" s="76">
        <v>66.88082</v>
      </c>
      <c r="GU18" s="76">
        <v>84.81362</v>
      </c>
      <c r="GV18" s="76">
        <v>73.390460000000004</v>
      </c>
      <c r="GW18" s="76">
        <v>65.710595872396993</v>
      </c>
      <c r="GX18" s="73">
        <v>89.844546750000006</v>
      </c>
      <c r="GY18" s="73">
        <v>64.388661619999993</v>
      </c>
      <c r="GZ18" s="73">
        <v>64.06</v>
      </c>
      <c r="HA18" s="73">
        <v>73.843999999999994</v>
      </c>
      <c r="HB18" s="73">
        <v>73.563000000000002</v>
      </c>
      <c r="HC18" s="73">
        <v>79.361639999999994</v>
      </c>
      <c r="HD18" s="73">
        <v>81.861000000000004</v>
      </c>
      <c r="HE18" s="73">
        <v>79.242310000000003</v>
      </c>
      <c r="HF18" s="73">
        <v>80.521609999999995</v>
      </c>
      <c r="HG18" s="73">
        <v>76.873280300000005</v>
      </c>
      <c r="HH18" s="73">
        <v>91.895970000000005</v>
      </c>
      <c r="HI18" s="73">
        <v>81.293999999999997</v>
      </c>
    </row>
    <row r="19" spans="1:217" ht="15.5" x14ac:dyDescent="0.35">
      <c r="A19" s="171" t="s">
        <v>586</v>
      </c>
      <c r="B19" s="76">
        <v>12.40717194923066</v>
      </c>
      <c r="C19" s="76">
        <v>13.078664666666667</v>
      </c>
      <c r="D19" s="76">
        <v>16.390558666666667</v>
      </c>
      <c r="E19" s="76">
        <v>12.953799999999999</v>
      </c>
      <c r="F19" s="76">
        <v>15.212456</v>
      </c>
      <c r="G19" s="76">
        <v>17.423291819999999</v>
      </c>
      <c r="H19" s="76">
        <v>20.256999999999998</v>
      </c>
      <c r="I19" s="76">
        <v>20.811</v>
      </c>
      <c r="J19" s="76">
        <v>21.202270000000002</v>
      </c>
      <c r="K19" s="76">
        <v>21.439</v>
      </c>
      <c r="L19" s="76">
        <v>21.712</v>
      </c>
      <c r="M19" s="76">
        <v>24.042999999999999</v>
      </c>
      <c r="N19" s="76">
        <v>32.4</v>
      </c>
      <c r="O19" s="76">
        <v>22.7</v>
      </c>
      <c r="P19" s="76">
        <v>20.100000000000001</v>
      </c>
      <c r="Q19" s="76">
        <v>28.1</v>
      </c>
      <c r="R19" s="76">
        <v>28.3</v>
      </c>
      <c r="S19" s="76">
        <v>30.3</v>
      </c>
      <c r="T19" s="76">
        <v>28.1</v>
      </c>
      <c r="U19" s="76">
        <v>31.1</v>
      </c>
      <c r="V19" s="76">
        <v>28.7</v>
      </c>
      <c r="W19" s="76">
        <v>34.1</v>
      </c>
      <c r="X19" s="76">
        <v>32.9</v>
      </c>
      <c r="Y19" s="76">
        <v>37.6</v>
      </c>
      <c r="Z19" s="76">
        <v>33.486666666666665</v>
      </c>
      <c r="AA19" s="76">
        <v>29.486666666666665</v>
      </c>
      <c r="AB19" s="76">
        <v>30.086666666666666</v>
      </c>
      <c r="AC19" s="76">
        <v>37.386666666666663</v>
      </c>
      <c r="AD19" s="76">
        <v>30.286666666666669</v>
      </c>
      <c r="AE19" s="76">
        <v>36.486666666666665</v>
      </c>
      <c r="AF19" s="76">
        <v>34.186666666666667</v>
      </c>
      <c r="AG19" s="76">
        <v>35.886666666666663</v>
      </c>
      <c r="AH19" s="76">
        <v>38.686666666666667</v>
      </c>
      <c r="AI19" s="76">
        <v>37.686666666666667</v>
      </c>
      <c r="AJ19" s="76">
        <v>32.086666666666666</v>
      </c>
      <c r="AK19" s="76">
        <v>37.986666666666665</v>
      </c>
      <c r="AL19" s="76">
        <v>36.777971905721692</v>
      </c>
      <c r="AM19" s="76">
        <v>26.777971905721689</v>
      </c>
      <c r="AN19" s="76">
        <v>25.777971905721689</v>
      </c>
      <c r="AO19" s="76">
        <v>30.277971905721689</v>
      </c>
      <c r="AP19" s="76">
        <v>35.677971905721691</v>
      </c>
      <c r="AQ19" s="76">
        <v>33.277971905721692</v>
      </c>
      <c r="AR19" s="76">
        <v>32.478000000000002</v>
      </c>
      <c r="AS19" s="76">
        <v>31.478000000000002</v>
      </c>
      <c r="AT19" s="76">
        <v>34.977971905721695</v>
      </c>
      <c r="AU19" s="76">
        <v>34.777971905721692</v>
      </c>
      <c r="AV19" s="76">
        <v>34.277971905721692</v>
      </c>
      <c r="AW19" s="76">
        <v>39.277971905721692</v>
      </c>
      <c r="AX19" s="76">
        <v>28.105726872246699</v>
      </c>
      <c r="AY19" s="76">
        <v>32.105726872246699</v>
      </c>
      <c r="AZ19" s="76">
        <v>33.105726872246699</v>
      </c>
      <c r="BA19" s="76">
        <v>29.535433036123127</v>
      </c>
      <c r="BB19" s="76">
        <v>34.835433036123135</v>
      </c>
      <c r="BC19" s="76">
        <v>37.435433036123129</v>
      </c>
      <c r="BD19" s="76">
        <v>37.135433036123132</v>
      </c>
      <c r="BE19" s="76">
        <v>42.835433036123135</v>
      </c>
      <c r="BF19" s="76">
        <v>42.835462872246701</v>
      </c>
      <c r="BG19" s="76">
        <v>44.135462872246698</v>
      </c>
      <c r="BH19" s="76">
        <v>54.235433036123133</v>
      </c>
      <c r="BI19" s="76">
        <v>53.235433036123133</v>
      </c>
      <c r="BJ19" s="76">
        <v>44.378334322466962</v>
      </c>
      <c r="BK19" s="76">
        <v>35.313268722466958</v>
      </c>
      <c r="BL19" s="76">
        <v>45.78480173246696</v>
      </c>
      <c r="BM19" s="76">
        <v>43.738512726646135</v>
      </c>
      <c r="BN19" s="76">
        <v>49.88080189664614</v>
      </c>
      <c r="BO19" s="76">
        <v>47.228823836646136</v>
      </c>
      <c r="BP19" s="76">
        <v>40.830199726646136</v>
      </c>
      <c r="BQ19" s="76">
        <v>55.013687256646136</v>
      </c>
      <c r="BR19" s="76">
        <v>44.206697048466957</v>
      </c>
      <c r="BS19" s="76">
        <v>51.377672208466961</v>
      </c>
      <c r="BT19" s="76">
        <v>51.473061906646137</v>
      </c>
      <c r="BU19" s="76">
        <v>51.532512726646139</v>
      </c>
      <c r="BV19" s="76">
        <v>49.283356780700004</v>
      </c>
      <c r="BW19" s="76">
        <v>37.595029518300002</v>
      </c>
      <c r="BX19" s="76">
        <v>54.716959637799995</v>
      </c>
      <c r="BY19" s="76">
        <v>45.031261874179179</v>
      </c>
      <c r="BZ19" s="76">
        <v>60.263029710979175</v>
      </c>
      <c r="CA19" s="76">
        <v>51.328707397779176</v>
      </c>
      <c r="CB19" s="76">
        <v>53.318592868179174</v>
      </c>
      <c r="CC19" s="76">
        <v>58.895466471279178</v>
      </c>
      <c r="CD19" s="76">
        <v>54.897815291599997</v>
      </c>
      <c r="CE19" s="76">
        <v>60.355403183499995</v>
      </c>
      <c r="CF19" s="76">
        <v>60.99876611677918</v>
      </c>
      <c r="CG19" s="76">
        <v>51.22981504417919</v>
      </c>
      <c r="CH19" s="76">
        <v>54.422626768900003</v>
      </c>
      <c r="CI19" s="76">
        <v>42.564236811299999</v>
      </c>
      <c r="CJ19" s="76">
        <v>54.896227886399998</v>
      </c>
      <c r="CK19" s="76">
        <v>56.488176946579173</v>
      </c>
      <c r="CL19" s="76">
        <v>56.340299526379177</v>
      </c>
      <c r="CM19" s="76">
        <v>50.457676041979184</v>
      </c>
      <c r="CN19" s="76">
        <v>60.207930923079182</v>
      </c>
      <c r="CO19" s="76">
        <v>55.732098163879179</v>
      </c>
      <c r="CP19" s="76">
        <v>56.790391958799994</v>
      </c>
      <c r="CQ19" s="76">
        <v>65.789005681099994</v>
      </c>
      <c r="CR19" s="76">
        <v>68.867113219379178</v>
      </c>
      <c r="CS19" s="76">
        <v>77.672826521879173</v>
      </c>
      <c r="CT19" s="76">
        <v>70.481631749499996</v>
      </c>
      <c r="CU19" s="76">
        <v>49.109778577</v>
      </c>
      <c r="CV19" s="76">
        <v>56.346062315200001</v>
      </c>
      <c r="CW19" s="76">
        <v>71.1740368201</v>
      </c>
      <c r="CX19" s="76">
        <v>70.904373784599997</v>
      </c>
      <c r="CY19" s="76">
        <v>63.665062472099997</v>
      </c>
      <c r="CZ19" s="76">
        <v>74.794204539099994</v>
      </c>
      <c r="DA19" s="76">
        <v>66.808719408176856</v>
      </c>
      <c r="DB19" s="76">
        <v>69.76425375822059</v>
      </c>
      <c r="DC19" s="76">
        <v>63.662465106120592</v>
      </c>
      <c r="DD19" s="76">
        <v>71.467703330676855</v>
      </c>
      <c r="DE19" s="76">
        <v>88.171966454276856</v>
      </c>
      <c r="DF19" s="76">
        <v>55.326066706619358</v>
      </c>
      <c r="DG19" s="76">
        <v>59.75202812482555</v>
      </c>
      <c r="DH19" s="76">
        <v>61.780327027340945</v>
      </c>
      <c r="DI19" s="76">
        <v>61.11642058933478</v>
      </c>
      <c r="DJ19" s="76">
        <v>65.81893884091987</v>
      </c>
      <c r="DK19" s="76">
        <v>75.125504456688333</v>
      </c>
      <c r="DL19" s="76">
        <v>77.033630965497622</v>
      </c>
      <c r="DM19" s="76">
        <v>78.111515469058304</v>
      </c>
      <c r="DN19" s="76">
        <v>91.442858306687768</v>
      </c>
      <c r="DO19" s="76">
        <v>91.293772760181199</v>
      </c>
      <c r="DP19" s="76">
        <v>103.17901934064705</v>
      </c>
      <c r="DQ19" s="76">
        <v>130.52112111219921</v>
      </c>
      <c r="DR19" s="76">
        <v>74.094026929999998</v>
      </c>
      <c r="DS19" s="76">
        <v>77.186434500000004</v>
      </c>
      <c r="DT19" s="76">
        <v>111.88485206999999</v>
      </c>
      <c r="DU19" s="76">
        <v>93.396011703876439</v>
      </c>
      <c r="DV19" s="76">
        <v>104.29217560387644</v>
      </c>
      <c r="DW19" s="76">
        <v>101.21174838387644</v>
      </c>
      <c r="DX19" s="76">
        <v>94.412911673876437</v>
      </c>
      <c r="DY19" s="76">
        <v>98.260272013876445</v>
      </c>
      <c r="DZ19" s="76">
        <v>97.513068700000005</v>
      </c>
      <c r="EA19" s="76">
        <v>90.284666360000003</v>
      </c>
      <c r="EB19" s="76">
        <v>105.08694985387645</v>
      </c>
      <c r="EC19" s="76">
        <v>105.08694916387644</v>
      </c>
      <c r="ED19" s="76">
        <v>86.591098900000006</v>
      </c>
      <c r="EE19" s="76">
        <v>75.921556299999992</v>
      </c>
      <c r="EF19" s="76">
        <v>87.28315717000001</v>
      </c>
      <c r="EG19" s="76">
        <v>79.193765810000002</v>
      </c>
      <c r="EH19" s="76">
        <v>107.58473952999999</v>
      </c>
      <c r="EI19" s="76">
        <v>99.445033000000009</v>
      </c>
      <c r="EJ19" s="76">
        <v>88.8794702</v>
      </c>
      <c r="EK19" s="76">
        <v>108.71127190999999</v>
      </c>
      <c r="EL19" s="76">
        <v>101.883538</v>
      </c>
      <c r="EM19" s="76">
        <v>110.38150704</v>
      </c>
      <c r="EN19" s="76">
        <v>105.32520550000001</v>
      </c>
      <c r="EO19" s="76">
        <v>104.5</v>
      </c>
      <c r="EP19" s="76">
        <v>102.23889200000001</v>
      </c>
      <c r="EQ19" s="76">
        <v>89.742000000000004</v>
      </c>
      <c r="ER19" s="76">
        <v>100.71299999999999</v>
      </c>
      <c r="ES19" s="76">
        <v>94.744455000000002</v>
      </c>
      <c r="ET19" s="76">
        <v>110.03546554</v>
      </c>
      <c r="EU19" s="76">
        <v>106.631</v>
      </c>
      <c r="EV19" s="76">
        <v>112.605779</v>
      </c>
      <c r="EW19" s="76">
        <v>126.140912</v>
      </c>
      <c r="EX19" s="76">
        <v>98.300000000000011</v>
      </c>
      <c r="EY19" s="76">
        <v>97.955443000000002</v>
      </c>
      <c r="EZ19" s="76">
        <v>104.721</v>
      </c>
      <c r="FA19" s="76">
        <v>117.28344800000001</v>
      </c>
      <c r="FB19" s="76">
        <v>111.55000200000001</v>
      </c>
      <c r="FC19" s="76">
        <v>97.587999999999994</v>
      </c>
      <c r="FD19" s="76">
        <v>103.803163</v>
      </c>
      <c r="FE19" s="76">
        <v>107.842527</v>
      </c>
      <c r="FF19" s="76">
        <v>115.11799999999999</v>
      </c>
      <c r="FG19" s="76">
        <v>119.47129700000001</v>
      </c>
      <c r="FH19" s="76">
        <v>119.47129700000001</v>
      </c>
      <c r="FI19" s="76">
        <v>118.986132</v>
      </c>
      <c r="FJ19" s="76">
        <v>103.912104</v>
      </c>
      <c r="FK19" s="76">
        <v>119.50003100000001</v>
      </c>
      <c r="FL19" s="76">
        <v>120.45075300000001</v>
      </c>
      <c r="FM19" s="76">
        <v>114.542359</v>
      </c>
      <c r="FN19" s="76">
        <v>99.155930499999997</v>
      </c>
      <c r="FO19" s="76">
        <v>95.468553409999998</v>
      </c>
      <c r="FP19" s="76">
        <v>92.102726029999999</v>
      </c>
      <c r="FQ19" s="76">
        <v>104.9177595</v>
      </c>
      <c r="FR19" s="76">
        <v>123.04627465999999</v>
      </c>
      <c r="FS19" s="76">
        <v>111.540744</v>
      </c>
      <c r="FT19" s="76">
        <v>113.44437501</v>
      </c>
      <c r="FU19" s="76">
        <v>123.59482099</v>
      </c>
      <c r="FV19" s="76">
        <v>106.23354865</v>
      </c>
      <c r="FW19" s="76">
        <v>125.839</v>
      </c>
      <c r="FX19" s="76">
        <v>128.863</v>
      </c>
      <c r="FY19" s="76">
        <v>132.91834868999999</v>
      </c>
      <c r="FZ19" s="76">
        <v>141.20099999999999</v>
      </c>
      <c r="GA19" s="76">
        <v>115.93458799999999</v>
      </c>
      <c r="GB19" s="76">
        <v>149.39380308</v>
      </c>
      <c r="GC19" s="76">
        <v>164.09055439000002</v>
      </c>
      <c r="GD19" s="76">
        <v>192.586611</v>
      </c>
      <c r="GE19" s="76">
        <v>189.66822223</v>
      </c>
      <c r="GF19" s="76">
        <v>196.11880504999999</v>
      </c>
      <c r="GG19" s="76">
        <v>178.04785365999999</v>
      </c>
      <c r="GH19" s="76">
        <v>186.86</v>
      </c>
      <c r="GI19" s="76">
        <v>176.56192797</v>
      </c>
      <c r="GJ19" s="76">
        <v>167.67842743</v>
      </c>
      <c r="GK19" s="76">
        <v>167.57961014</v>
      </c>
      <c r="GL19" s="76">
        <v>138.681466</v>
      </c>
      <c r="GM19" s="76">
        <v>116.29053721</v>
      </c>
      <c r="GN19" s="76">
        <v>120.87638408000001</v>
      </c>
      <c r="GO19" s="76">
        <v>122.43216108999999</v>
      </c>
      <c r="GP19" s="76">
        <v>124.78197541</v>
      </c>
      <c r="GQ19" s="73">
        <v>122.79205704</v>
      </c>
      <c r="GR19" s="76">
        <v>130.29650537999999</v>
      </c>
      <c r="GS19" s="76">
        <v>143.50138107999999</v>
      </c>
      <c r="GT19" s="76">
        <v>140.97602863999998</v>
      </c>
      <c r="GU19" s="76">
        <v>159.77922870999998</v>
      </c>
      <c r="GV19" s="76">
        <v>154.27159399999999</v>
      </c>
      <c r="GW19" s="76">
        <v>157.99125699000001</v>
      </c>
      <c r="GX19" s="73">
        <v>136.24335603</v>
      </c>
      <c r="GY19" s="73">
        <v>117.69930402</v>
      </c>
      <c r="GZ19" s="73">
        <v>137.14809439000001</v>
      </c>
      <c r="HA19" s="73">
        <v>112.993336</v>
      </c>
      <c r="HB19" s="73">
        <v>111.68259205000001</v>
      </c>
      <c r="HC19" s="73">
        <v>115.94683782</v>
      </c>
      <c r="HD19" s="73">
        <v>114.61887579</v>
      </c>
      <c r="HE19" s="73">
        <v>124.22265499999999</v>
      </c>
      <c r="HF19" s="73">
        <v>116.34654729</v>
      </c>
      <c r="HG19" s="73">
        <v>121.38547423</v>
      </c>
      <c r="HH19" s="73">
        <v>141.94834515000002</v>
      </c>
      <c r="HI19" s="73">
        <v>117.69590050000001</v>
      </c>
    </row>
    <row r="20" spans="1:217" ht="15.5" x14ac:dyDescent="0.35">
      <c r="A20" s="171" t="s">
        <v>587</v>
      </c>
      <c r="B20" s="76">
        <v>2.5489999999999999</v>
      </c>
      <c r="C20" s="76">
        <v>2.2948439999999999</v>
      </c>
      <c r="D20" s="76">
        <v>2.4342709400000002</v>
      </c>
      <c r="E20" s="76">
        <v>1.19207723</v>
      </c>
      <c r="F20" s="76">
        <v>1.3982239999999999</v>
      </c>
      <c r="G20" s="76">
        <v>1.31607392</v>
      </c>
      <c r="H20" s="76">
        <v>1.8314000000000001</v>
      </c>
      <c r="I20" s="76">
        <v>1.7617</v>
      </c>
      <c r="J20" s="76">
        <v>1.8800000000000001</v>
      </c>
      <c r="K20" s="76">
        <v>3.3079999999999998</v>
      </c>
      <c r="L20" s="76">
        <v>1.6240000000000001</v>
      </c>
      <c r="M20" s="76">
        <v>1.4140000000000001</v>
      </c>
      <c r="N20" s="76">
        <v>1.7909999999999999</v>
      </c>
      <c r="O20" s="76">
        <v>1.3540000000000001</v>
      </c>
      <c r="P20" s="76">
        <v>1.6379999999999999</v>
      </c>
      <c r="Q20" s="76">
        <v>1.6179999999999999</v>
      </c>
      <c r="R20" s="76">
        <v>1.5299999999999998</v>
      </c>
      <c r="S20" s="76">
        <v>1.613</v>
      </c>
      <c r="T20" s="76">
        <v>1.895</v>
      </c>
      <c r="U20" s="76">
        <v>1.994</v>
      </c>
      <c r="V20" s="76">
        <v>1.579</v>
      </c>
      <c r="W20" s="76">
        <v>1.6040000000000001</v>
      </c>
      <c r="X20" s="76">
        <v>1.4889999999999999</v>
      </c>
      <c r="Y20" s="76">
        <v>1.4000000000000001</v>
      </c>
      <c r="Z20" s="76">
        <v>1.9476230000000001</v>
      </c>
      <c r="AA20" s="76">
        <v>1.603</v>
      </c>
      <c r="AB20" s="76">
        <v>1.7229999999999999</v>
      </c>
      <c r="AC20" s="76">
        <v>0.303647</v>
      </c>
      <c r="AD20" s="76">
        <v>0.14138632999999998</v>
      </c>
      <c r="AE20" s="76">
        <v>0.13867951000000001</v>
      </c>
      <c r="AF20" s="76">
        <v>0.1123902</v>
      </c>
      <c r="AG20" s="76">
        <v>9.6000000000000002E-2</v>
      </c>
      <c r="AH20" s="76">
        <v>0.1</v>
      </c>
      <c r="AI20" s="76">
        <v>0.1</v>
      </c>
      <c r="AJ20" s="76">
        <v>0.14550750000000001</v>
      </c>
      <c r="AK20" s="76">
        <v>0.3</v>
      </c>
      <c r="AL20" s="76">
        <v>2.4561000000000002</v>
      </c>
      <c r="AM20" s="76">
        <v>2.7477</v>
      </c>
      <c r="AN20" s="76">
        <v>4.9170999999999996</v>
      </c>
      <c r="AO20" s="76">
        <v>5.8445</v>
      </c>
      <c r="AP20" s="76">
        <v>5.2721</v>
      </c>
      <c r="AQ20" s="76">
        <v>5.79</v>
      </c>
      <c r="AR20" s="76">
        <v>9.9092000000000002</v>
      </c>
      <c r="AS20" s="76">
        <v>3.0703</v>
      </c>
      <c r="AT20" s="76">
        <v>2.3927</v>
      </c>
      <c r="AU20" s="76">
        <v>2.3142</v>
      </c>
      <c r="AV20" s="76">
        <v>2.1610999999999998</v>
      </c>
      <c r="AW20" s="76">
        <v>5.0807000000000002</v>
      </c>
      <c r="AX20" s="76">
        <v>5.3</v>
      </c>
      <c r="AY20" s="76">
        <v>6.9</v>
      </c>
      <c r="AZ20" s="76">
        <v>7.8</v>
      </c>
      <c r="BA20" s="76">
        <v>7.1999999999999993</v>
      </c>
      <c r="BB20" s="76">
        <v>7.8</v>
      </c>
      <c r="BC20" s="76">
        <v>8.9450000000000003</v>
      </c>
      <c r="BD20" s="76">
        <v>12.39</v>
      </c>
      <c r="BE20" s="76">
        <v>6.18</v>
      </c>
      <c r="BF20" s="76">
        <v>5.3159999999999998</v>
      </c>
      <c r="BG20" s="76">
        <v>5.1289999999999996</v>
      </c>
      <c r="BH20" s="76">
        <v>7.4119999999999999</v>
      </c>
      <c r="BI20" s="76">
        <v>7.7910000000000004</v>
      </c>
      <c r="BJ20" s="76">
        <v>3.6291932300000003</v>
      </c>
      <c r="BK20" s="76">
        <v>5.03340342</v>
      </c>
      <c r="BL20" s="76">
        <v>5.9786464899999991</v>
      </c>
      <c r="BM20" s="76">
        <v>5.06290218</v>
      </c>
      <c r="BN20" s="76">
        <v>5.6701223999999995</v>
      </c>
      <c r="BO20" s="76">
        <v>7.0983109999999998</v>
      </c>
      <c r="BP20" s="76">
        <v>7.73355119</v>
      </c>
      <c r="BQ20" s="76">
        <v>6.1260615600000001</v>
      </c>
      <c r="BR20" s="76">
        <v>3.2289554599999999</v>
      </c>
      <c r="BS20" s="76">
        <v>3.1907505700000001</v>
      </c>
      <c r="BT20" s="76">
        <v>2.6307717299999998</v>
      </c>
      <c r="BU20" s="76">
        <v>6.9961758200000004</v>
      </c>
      <c r="BV20" s="76">
        <v>4.1107055800000003</v>
      </c>
      <c r="BW20" s="76">
        <v>3.96259658</v>
      </c>
      <c r="BX20" s="76">
        <v>4.8268811600000001</v>
      </c>
      <c r="BY20" s="76">
        <v>6.0753849999999998</v>
      </c>
      <c r="BZ20" s="76">
        <v>7.4502315900000005</v>
      </c>
      <c r="CA20" s="76">
        <v>8.2702620000000007</v>
      </c>
      <c r="CB20" s="76">
        <v>9.2766099999999998</v>
      </c>
      <c r="CC20" s="76">
        <v>6.4694208</v>
      </c>
      <c r="CD20" s="76">
        <v>4.0590387100000003</v>
      </c>
      <c r="CE20" s="76">
        <v>4.0445556600000003</v>
      </c>
      <c r="CF20" s="76">
        <v>4.1536999000000003</v>
      </c>
      <c r="CG20" s="76">
        <v>9.4179300099999992</v>
      </c>
      <c r="CH20" s="76">
        <v>5.8054082600000001</v>
      </c>
      <c r="CI20" s="76">
        <v>4.20786119</v>
      </c>
      <c r="CJ20" s="76">
        <v>4.4071566000000004</v>
      </c>
      <c r="CK20" s="76">
        <v>6.4629308000000005</v>
      </c>
      <c r="CL20" s="76">
        <v>6.8148678900000004</v>
      </c>
      <c r="CM20" s="76">
        <v>6.5639540099999998</v>
      </c>
      <c r="CN20" s="76">
        <v>9.810454159999999</v>
      </c>
      <c r="CO20" s="76">
        <v>11.96442118</v>
      </c>
      <c r="CP20" s="76">
        <v>3.8381925300000002</v>
      </c>
      <c r="CQ20" s="76">
        <v>3.7156814899999997</v>
      </c>
      <c r="CR20" s="76">
        <v>3.59556444</v>
      </c>
      <c r="CS20" s="76">
        <v>7.0639547</v>
      </c>
      <c r="CT20" s="76">
        <v>7.4608960399999997</v>
      </c>
      <c r="CU20" s="76">
        <v>13.095408970000001</v>
      </c>
      <c r="CV20" s="76">
        <v>13.5461828</v>
      </c>
      <c r="CW20" s="76">
        <v>11.963834609999999</v>
      </c>
      <c r="CX20" s="76">
        <v>10.031997</v>
      </c>
      <c r="CY20" s="76">
        <v>12.773444120000001</v>
      </c>
      <c r="CZ20" s="76">
        <v>17.700721090000002</v>
      </c>
      <c r="DA20" s="76">
        <v>13.17937079</v>
      </c>
      <c r="DB20" s="76">
        <v>9.0570000000000004</v>
      </c>
      <c r="DC20" s="76">
        <v>10.83763269</v>
      </c>
      <c r="DD20" s="76">
        <v>8.6289212299999996</v>
      </c>
      <c r="DE20" s="76">
        <v>15.040299999999998</v>
      </c>
      <c r="DF20" s="76">
        <v>11.95553073</v>
      </c>
      <c r="DG20" s="76">
        <v>28.185988030000001</v>
      </c>
      <c r="DH20" s="76">
        <v>30.613062640000003</v>
      </c>
      <c r="DI20" s="76">
        <v>34.226262640000002</v>
      </c>
      <c r="DJ20" s="76">
        <v>31.859716169999999</v>
      </c>
      <c r="DK20" s="76">
        <v>36.310856073136065</v>
      </c>
      <c r="DL20" s="76">
        <v>38.388804610000001</v>
      </c>
      <c r="DM20" s="76">
        <v>28.978200000000001</v>
      </c>
      <c r="DN20" s="76">
        <v>26.762099999999997</v>
      </c>
      <c r="DO20" s="76">
        <v>24.317378922000003</v>
      </c>
      <c r="DP20" s="76">
        <v>24.846999999999994</v>
      </c>
      <c r="DQ20" s="76">
        <v>32.673710664441387</v>
      </c>
      <c r="DR20" s="76">
        <v>34.278300000000002</v>
      </c>
      <c r="DS20" s="76">
        <v>121.97370000000001</v>
      </c>
      <c r="DT20" s="76">
        <v>87.763499999999993</v>
      </c>
      <c r="DU20" s="76">
        <v>78.078100000000006</v>
      </c>
      <c r="DV20" s="76">
        <v>57.271799999999999</v>
      </c>
      <c r="DW20" s="76">
        <v>61.218900000000005</v>
      </c>
      <c r="DX20" s="76">
        <v>74.628699999999995</v>
      </c>
      <c r="DY20" s="76">
        <v>79.054699999999997</v>
      </c>
      <c r="DZ20" s="76">
        <v>70.449399999999997</v>
      </c>
      <c r="EA20" s="76">
        <v>52.110799999999998</v>
      </c>
      <c r="EB20" s="76">
        <v>84.816199999999995</v>
      </c>
      <c r="EC20" s="76">
        <v>70.231099999999998</v>
      </c>
      <c r="ED20" s="76">
        <v>84.091456999999991</v>
      </c>
      <c r="EE20" s="76">
        <v>61.251100000000001</v>
      </c>
      <c r="EF20" s="76">
        <v>67.181200000000004</v>
      </c>
      <c r="EG20" s="76">
        <v>59.218299999999999</v>
      </c>
      <c r="EH20" s="76">
        <v>55.386999999999993</v>
      </c>
      <c r="EI20" s="76">
        <v>63.812899999999999</v>
      </c>
      <c r="EJ20" s="76">
        <v>57.985799999999998</v>
      </c>
      <c r="EK20" s="76">
        <v>54.127499999999998</v>
      </c>
      <c r="EL20" s="76">
        <v>61.984000000000002</v>
      </c>
      <c r="EM20" s="76">
        <v>59.725899999999996</v>
      </c>
      <c r="EN20" s="76">
        <v>53.9499</v>
      </c>
      <c r="EO20" s="76">
        <v>82.153500000000008</v>
      </c>
      <c r="EP20" s="76">
        <v>115.29710000000001</v>
      </c>
      <c r="EQ20" s="76">
        <v>137.8235</v>
      </c>
      <c r="ER20" s="76">
        <v>133.46280000000002</v>
      </c>
      <c r="ES20" s="76">
        <v>129.56990000000002</v>
      </c>
      <c r="ET20" s="76">
        <v>120.73069999999998</v>
      </c>
      <c r="EU20" s="76">
        <v>129.40299999999999</v>
      </c>
      <c r="EV20" s="76">
        <v>125.247</v>
      </c>
      <c r="EW20" s="76">
        <v>130.09299999999999</v>
      </c>
      <c r="EX20" s="76">
        <v>129.56210000000002</v>
      </c>
      <c r="EY20" s="76">
        <v>117.9786</v>
      </c>
      <c r="EZ20" s="76">
        <v>131.00550000000001</v>
      </c>
      <c r="FA20" s="76">
        <v>180.98779999999999</v>
      </c>
      <c r="FB20" s="76">
        <v>145.56464</v>
      </c>
      <c r="FC20" s="76">
        <v>148.80023</v>
      </c>
      <c r="FD20" s="76">
        <v>147.36178000000001</v>
      </c>
      <c r="FE20" s="76">
        <v>136.69654202000001</v>
      </c>
      <c r="FF20" s="76">
        <v>137.56363999999999</v>
      </c>
      <c r="FG20" s="76">
        <v>140.09163000000001</v>
      </c>
      <c r="FH20" s="76">
        <v>139.13843</v>
      </c>
      <c r="FI20" s="76">
        <v>140.86511999999999</v>
      </c>
      <c r="FJ20" s="76">
        <v>139.08680000000001</v>
      </c>
      <c r="FK20" s="76">
        <v>130.251</v>
      </c>
      <c r="FL20" s="76">
        <v>132.44149999999999</v>
      </c>
      <c r="FM20" s="76">
        <v>130.31010000000001</v>
      </c>
      <c r="FN20" s="76">
        <v>154.64385999999999</v>
      </c>
      <c r="FO20" s="76">
        <v>145.29614000000001</v>
      </c>
      <c r="FP20" s="76">
        <v>148.69817</v>
      </c>
      <c r="FQ20" s="76">
        <v>141.97315</v>
      </c>
      <c r="FR20" s="76">
        <v>130.46483999999998</v>
      </c>
      <c r="FS20" s="76">
        <v>133.9727</v>
      </c>
      <c r="FT20" s="76">
        <v>146.58959999999999</v>
      </c>
      <c r="FU20" s="76">
        <v>145.05840000000001</v>
      </c>
      <c r="FV20" s="76">
        <v>138.67609999999999</v>
      </c>
      <c r="FW20" s="76">
        <v>143.00153</v>
      </c>
      <c r="FX20" s="76">
        <v>184.8674</v>
      </c>
      <c r="FY20" s="76">
        <v>150.06389999999999</v>
      </c>
      <c r="FZ20" s="76">
        <v>169.62869999999998</v>
      </c>
      <c r="GA20" s="76">
        <v>155.845</v>
      </c>
      <c r="GB20" s="76">
        <v>158.02770000000001</v>
      </c>
      <c r="GC20" s="76">
        <v>141.97579999999999</v>
      </c>
      <c r="GD20" s="76">
        <v>133.816</v>
      </c>
      <c r="GE20" s="76">
        <v>126.679</v>
      </c>
      <c r="GF20" s="76">
        <v>163.68799999999999</v>
      </c>
      <c r="GG20" s="76">
        <v>128.10300000000001</v>
      </c>
      <c r="GH20" s="76">
        <v>122.586</v>
      </c>
      <c r="GI20" s="76">
        <v>122.78700000000001</v>
      </c>
      <c r="GJ20" s="76">
        <v>108.688</v>
      </c>
      <c r="GK20" s="76">
        <v>104.599</v>
      </c>
      <c r="GL20" s="76">
        <v>170.53653749</v>
      </c>
      <c r="GM20" s="76">
        <v>120.99341597999999</v>
      </c>
      <c r="GN20" s="76">
        <v>119.72035690999999</v>
      </c>
      <c r="GO20" s="76">
        <v>115.63480576000001</v>
      </c>
      <c r="GP20" s="76">
        <v>102.72794794000001</v>
      </c>
      <c r="GQ20" s="73">
        <v>306.01621999999998</v>
      </c>
      <c r="GR20" s="76">
        <v>387.0496</v>
      </c>
      <c r="GS20" s="76">
        <v>384.21273313900002</v>
      </c>
      <c r="GT20" s="76">
        <v>222.72583</v>
      </c>
      <c r="GU20" s="76">
        <v>196.51900999999998</v>
      </c>
      <c r="GV20" s="76">
        <v>194.41965999999999</v>
      </c>
      <c r="GW20" s="76">
        <v>235.23176914553881</v>
      </c>
      <c r="GX20" s="73">
        <v>219.06338826000001</v>
      </c>
      <c r="GY20" s="73">
        <v>182.34652330799941</v>
      </c>
      <c r="GZ20" s="73">
        <v>181.51</v>
      </c>
      <c r="HA20" s="73">
        <v>185.80892999999998</v>
      </c>
      <c r="HB20" s="73">
        <v>185.369</v>
      </c>
      <c r="HC20" s="73">
        <v>191.88995999999997</v>
      </c>
      <c r="HD20" s="73">
        <v>131.96874</v>
      </c>
      <c r="HE20" s="73">
        <v>121.1708</v>
      </c>
      <c r="HF20" s="73">
        <v>132.26291999999998</v>
      </c>
      <c r="HG20" s="73">
        <v>129.24826775599999</v>
      </c>
      <c r="HH20" s="73">
        <v>124.18273000000001</v>
      </c>
      <c r="HI20" s="73">
        <v>145.88421000000002</v>
      </c>
    </row>
    <row r="21" spans="1:217" x14ac:dyDescent="0.35">
      <c r="A21" s="166" t="s">
        <v>588</v>
      </c>
      <c r="B21" s="76">
        <v>13.366160391406085</v>
      </c>
      <c r="C21" s="76">
        <v>11.47372</v>
      </c>
      <c r="D21" s="76">
        <v>11.419480000000004</v>
      </c>
      <c r="E21" s="76">
        <v>18.215679999999999</v>
      </c>
      <c r="F21" s="76">
        <v>18.294400000000003</v>
      </c>
      <c r="G21" s="76">
        <v>16.382960000000001</v>
      </c>
      <c r="H21" s="76">
        <v>20.281000000000006</v>
      </c>
      <c r="I21" s="76">
        <v>21.217004000000003</v>
      </c>
      <c r="J21" s="76">
        <v>22.771319999999999</v>
      </c>
      <c r="K21" s="76">
        <v>33.315400000000004</v>
      </c>
      <c r="L21" s="76">
        <v>21.164940159691497</v>
      </c>
      <c r="M21" s="76">
        <v>20.000351120369178</v>
      </c>
      <c r="N21" s="76">
        <v>32.809761686092337</v>
      </c>
      <c r="O21" s="76">
        <v>37.482420000000005</v>
      </c>
      <c r="P21" s="76">
        <v>18.291520309001509</v>
      </c>
      <c r="Q21" s="76">
        <v>38.677966667694207</v>
      </c>
      <c r="R21" s="76">
        <v>38.591999999999999</v>
      </c>
      <c r="S21" s="76">
        <v>36.49</v>
      </c>
      <c r="T21" s="76">
        <v>35.441600000000001</v>
      </c>
      <c r="U21" s="76">
        <v>38.792600000000007</v>
      </c>
      <c r="V21" s="76">
        <v>61.515000000000001</v>
      </c>
      <c r="W21" s="76">
        <v>40.094999999999999</v>
      </c>
      <c r="X21" s="76">
        <v>39.191028088256687</v>
      </c>
      <c r="Y21" s="76">
        <v>37.239000000000004</v>
      </c>
      <c r="Z21" s="76">
        <v>49.125</v>
      </c>
      <c r="AA21" s="76">
        <v>58.775999999999996</v>
      </c>
      <c r="AB21" s="76">
        <v>30.561000000000003</v>
      </c>
      <c r="AC21" s="76">
        <v>62.804000000000002</v>
      </c>
      <c r="AD21" s="76">
        <v>62.86</v>
      </c>
      <c r="AE21" s="76">
        <v>55.936</v>
      </c>
      <c r="AF21" s="76">
        <v>56.771999999999998</v>
      </c>
      <c r="AG21" s="76">
        <v>56.830999999999996</v>
      </c>
      <c r="AH21" s="76">
        <v>126.44721435</v>
      </c>
      <c r="AI21" s="76">
        <v>96.120754852796935</v>
      </c>
      <c r="AJ21" s="76">
        <v>59.030952869450992</v>
      </c>
      <c r="AK21" s="76">
        <v>52.052365896461758</v>
      </c>
      <c r="AL21" s="76">
        <v>64.889071518170297</v>
      </c>
      <c r="AM21" s="76">
        <v>65.192821518170319</v>
      </c>
      <c r="AN21" s="76">
        <v>76.230071518170305</v>
      </c>
      <c r="AO21" s="76">
        <v>79.558821518170305</v>
      </c>
      <c r="AP21" s="76">
        <v>59.693071518170314</v>
      </c>
      <c r="AQ21" s="76">
        <v>66.0518215181703</v>
      </c>
      <c r="AR21" s="76">
        <v>66.907325448613392</v>
      </c>
      <c r="AS21" s="76">
        <v>70.64120044861339</v>
      </c>
      <c r="AT21" s="76">
        <v>106.88575000000002</v>
      </c>
      <c r="AU21" s="76">
        <v>116.61424999999998</v>
      </c>
      <c r="AV21" s="76">
        <v>64.537249999999986</v>
      </c>
      <c r="AW21" s="76">
        <v>62.308507142857152</v>
      </c>
      <c r="AX21" s="76">
        <v>65.796630960000016</v>
      </c>
      <c r="AY21" s="76">
        <v>66.257196400000012</v>
      </c>
      <c r="AZ21" s="76">
        <v>120.03684541999998</v>
      </c>
      <c r="BA21" s="76">
        <v>55.622541120559404</v>
      </c>
      <c r="BB21" s="76">
        <v>69.607032470000007</v>
      </c>
      <c r="BC21" s="76">
        <v>69.070616354166674</v>
      </c>
      <c r="BD21" s="76">
        <v>60.509764300812499</v>
      </c>
      <c r="BE21" s="76">
        <v>94.312787499999999</v>
      </c>
      <c r="BF21" s="76">
        <v>126.16087499999999</v>
      </c>
      <c r="BG21" s="76">
        <v>140.35600000000002</v>
      </c>
      <c r="BH21" s="76">
        <v>75.550516666666667</v>
      </c>
      <c r="BI21" s="76">
        <v>80.323392261904743</v>
      </c>
      <c r="BJ21" s="76">
        <v>77.351778590000009</v>
      </c>
      <c r="BK21" s="76">
        <v>59.147623870000004</v>
      </c>
      <c r="BL21" s="76">
        <v>111.13279350000001</v>
      </c>
      <c r="BM21" s="76">
        <v>74.957197620000002</v>
      </c>
      <c r="BN21" s="76">
        <v>78.090125739999991</v>
      </c>
      <c r="BO21" s="76">
        <v>76.38204601000001</v>
      </c>
      <c r="BP21" s="76">
        <v>76.190170849999987</v>
      </c>
      <c r="BQ21" s="76">
        <v>90.178593400000011</v>
      </c>
      <c r="BR21" s="76">
        <v>148.99386826000003</v>
      </c>
      <c r="BS21" s="76">
        <v>151.12265569999997</v>
      </c>
      <c r="BT21" s="76">
        <v>75.676414359999995</v>
      </c>
      <c r="BU21" s="76">
        <v>89.747077970000035</v>
      </c>
      <c r="BV21" s="76">
        <v>112.37130098041249</v>
      </c>
      <c r="BW21" s="76">
        <v>71.431712006400005</v>
      </c>
      <c r="BX21" s="76">
        <v>150.86754507468748</v>
      </c>
      <c r="BY21" s="76">
        <v>101.64378754161251</v>
      </c>
      <c r="BZ21" s="76">
        <v>104.17256190753753</v>
      </c>
      <c r="CA21" s="76">
        <v>107.80415504460001</v>
      </c>
      <c r="CB21" s="76">
        <v>94.919366412825013</v>
      </c>
      <c r="CC21" s="76">
        <v>100.736445246025</v>
      </c>
      <c r="CD21" s="76">
        <v>183.79395121546253</v>
      </c>
      <c r="CE21" s="76">
        <v>173.05256528045004</v>
      </c>
      <c r="CF21" s="76">
        <v>149.5794206095</v>
      </c>
      <c r="CG21" s="76">
        <v>205.58270383146248</v>
      </c>
      <c r="CH21" s="76">
        <v>96.390417944519996</v>
      </c>
      <c r="CI21" s="76">
        <v>109.42737190799998</v>
      </c>
      <c r="CJ21" s="76">
        <v>176.15514767128002</v>
      </c>
      <c r="CK21" s="76">
        <v>157.82588373299998</v>
      </c>
      <c r="CL21" s="76">
        <v>120.86196131687998</v>
      </c>
      <c r="CM21" s="76">
        <v>147.126317744</v>
      </c>
      <c r="CN21" s="76">
        <v>123.14301186431999</v>
      </c>
      <c r="CO21" s="76">
        <v>137.684289113528</v>
      </c>
      <c r="CP21" s="76">
        <v>217.05492688432</v>
      </c>
      <c r="CQ21" s="76">
        <v>192.40009844708001</v>
      </c>
      <c r="CR21" s="76">
        <v>175.45038894293714</v>
      </c>
      <c r="CS21" s="76">
        <v>138.27176753482235</v>
      </c>
      <c r="CT21" s="76">
        <v>123.66590079679008</v>
      </c>
      <c r="CU21" s="76">
        <v>171.7751764500492</v>
      </c>
      <c r="CV21" s="76">
        <v>230.19794551486896</v>
      </c>
      <c r="CW21" s="76">
        <v>174.32739599195844</v>
      </c>
      <c r="CX21" s="76">
        <v>75.051544871248254</v>
      </c>
      <c r="CY21" s="76">
        <v>112.89387636447415</v>
      </c>
      <c r="CZ21" s="76">
        <v>160.25444003599247</v>
      </c>
      <c r="DA21" s="76">
        <v>187.60735164994571</v>
      </c>
      <c r="DB21" s="76">
        <v>274.34384166666666</v>
      </c>
      <c r="DC21" s="76">
        <v>244.6438416666667</v>
      </c>
      <c r="DD21" s="76">
        <v>139.83484166666668</v>
      </c>
      <c r="DE21" s="76">
        <v>202.21684166666668</v>
      </c>
      <c r="DF21" s="76">
        <v>140.1081392315977</v>
      </c>
      <c r="DG21" s="76">
        <v>149.81744482406961</v>
      </c>
      <c r="DH21" s="76">
        <v>138.50720258559556</v>
      </c>
      <c r="DI21" s="76">
        <v>240.59669632336085</v>
      </c>
      <c r="DJ21" s="76">
        <v>160.90262758733249</v>
      </c>
      <c r="DK21" s="76">
        <v>128.58594570432822</v>
      </c>
      <c r="DL21" s="76">
        <v>120.73119160373039</v>
      </c>
      <c r="DM21" s="76">
        <v>126.87081877226585</v>
      </c>
      <c r="DN21" s="76">
        <v>378.30833153960583</v>
      </c>
      <c r="DO21" s="76">
        <v>183.93019752845518</v>
      </c>
      <c r="DP21" s="76">
        <v>155.47525888342292</v>
      </c>
      <c r="DQ21" s="76">
        <v>137.12858759531295</v>
      </c>
      <c r="DR21" s="76">
        <v>185.95506629713211</v>
      </c>
      <c r="DS21" s="76">
        <v>196.25457010509805</v>
      </c>
      <c r="DT21" s="76">
        <v>342.46214937381126</v>
      </c>
      <c r="DU21" s="76">
        <v>164.71055229737115</v>
      </c>
      <c r="DV21" s="76">
        <v>235.58279006073658</v>
      </c>
      <c r="DW21" s="76">
        <v>211.15657253125079</v>
      </c>
      <c r="DX21" s="76">
        <v>206.71310314096067</v>
      </c>
      <c r="DY21" s="76">
        <v>197.15190247531584</v>
      </c>
      <c r="DZ21" s="76">
        <v>188.305596711883</v>
      </c>
      <c r="EA21" s="76">
        <v>219.30757349914722</v>
      </c>
      <c r="EB21" s="76">
        <v>157.73469696062497</v>
      </c>
      <c r="EC21" s="76">
        <v>235.27837636963753</v>
      </c>
      <c r="ED21" s="76">
        <v>210.06441644420434</v>
      </c>
      <c r="EE21" s="76">
        <v>305.22984431981081</v>
      </c>
      <c r="EF21" s="76">
        <v>318.8786701830378</v>
      </c>
      <c r="EG21" s="76">
        <v>345.88441736801173</v>
      </c>
      <c r="EH21" s="76">
        <v>348.19097911122913</v>
      </c>
      <c r="EI21" s="76">
        <v>313.54045922598766</v>
      </c>
      <c r="EJ21" s="76">
        <v>339.18660867776157</v>
      </c>
      <c r="EK21" s="76">
        <v>302.75865935051041</v>
      </c>
      <c r="EL21" s="76">
        <v>464.78003631111125</v>
      </c>
      <c r="EM21" s="76">
        <v>305.45951812205948</v>
      </c>
      <c r="EN21" s="76">
        <v>351.50267424277934</v>
      </c>
      <c r="EO21" s="76">
        <v>365.36148240990963</v>
      </c>
      <c r="EP21" s="76">
        <v>338.42186837538901</v>
      </c>
      <c r="EQ21" s="76">
        <v>363.46376159401331</v>
      </c>
      <c r="ER21" s="76">
        <v>424.51895924122368</v>
      </c>
      <c r="ES21" s="76">
        <v>428.95578247709358</v>
      </c>
      <c r="ET21" s="76">
        <v>394.85701131099808</v>
      </c>
      <c r="EU21" s="76">
        <v>341.27168333890262</v>
      </c>
      <c r="EV21" s="76">
        <v>448.69394726418813</v>
      </c>
      <c r="EW21" s="76">
        <v>404.0976980442706</v>
      </c>
      <c r="EX21" s="76">
        <v>440.71616806556926</v>
      </c>
      <c r="EY21" s="76">
        <v>390.80796983774115</v>
      </c>
      <c r="EZ21" s="76">
        <v>395.93178767241756</v>
      </c>
      <c r="FA21" s="76">
        <v>384.20281990451781</v>
      </c>
      <c r="FB21" s="76">
        <v>315.16515237590426</v>
      </c>
      <c r="FC21" s="76">
        <v>217.85086767151708</v>
      </c>
      <c r="FD21" s="76">
        <v>480.40584777694107</v>
      </c>
      <c r="FE21" s="76">
        <v>413.481068614158</v>
      </c>
      <c r="FF21" s="76">
        <v>345.10862022413988</v>
      </c>
      <c r="FG21" s="76">
        <v>371.82552119493647</v>
      </c>
      <c r="FH21" s="76">
        <v>379.85913158354242</v>
      </c>
      <c r="FI21" s="76">
        <v>361.40949082281321</v>
      </c>
      <c r="FJ21" s="76">
        <v>383.80209414279159</v>
      </c>
      <c r="FK21" s="76">
        <v>411.90096288314021</v>
      </c>
      <c r="FL21" s="76">
        <v>396.46492746537859</v>
      </c>
      <c r="FM21" s="76">
        <v>469.24936923848719</v>
      </c>
      <c r="FN21" s="76">
        <v>369.00509649849073</v>
      </c>
      <c r="FO21" s="76">
        <v>334.6059883153352</v>
      </c>
      <c r="FP21" s="76">
        <v>440.05582706446143</v>
      </c>
      <c r="FQ21" s="76">
        <v>354.81896450440075</v>
      </c>
      <c r="FR21" s="76">
        <v>396.5093742231897</v>
      </c>
      <c r="FS21" s="76">
        <v>454.59620668471644</v>
      </c>
      <c r="FT21" s="76">
        <v>362.25747908786809</v>
      </c>
      <c r="FU21" s="76">
        <v>394.22089836252741</v>
      </c>
      <c r="FV21" s="76">
        <v>243.88325854522571</v>
      </c>
      <c r="FW21" s="76">
        <v>498.31150451297941</v>
      </c>
      <c r="FX21" s="76">
        <v>482.56273028560975</v>
      </c>
      <c r="FY21" s="76">
        <v>387.25517533233187</v>
      </c>
      <c r="FZ21" s="76">
        <v>413.31970273929193</v>
      </c>
      <c r="GA21" s="76">
        <v>393.30177168258649</v>
      </c>
      <c r="GB21" s="76">
        <v>377.21670773347859</v>
      </c>
      <c r="GC21" s="76">
        <v>419.25004452440635</v>
      </c>
      <c r="GD21" s="76">
        <v>408.69648143800862</v>
      </c>
      <c r="GE21" s="76">
        <v>634.37013979398</v>
      </c>
      <c r="GF21" s="76">
        <v>407.66659194986732</v>
      </c>
      <c r="GG21" s="76">
        <v>403.41078231474063</v>
      </c>
      <c r="GH21" s="76">
        <v>405.33444270494402</v>
      </c>
      <c r="GI21" s="76">
        <v>422.81290887406226</v>
      </c>
      <c r="GJ21" s="76">
        <v>411.79333994484136</v>
      </c>
      <c r="GK21" s="76">
        <v>360.13540656317991</v>
      </c>
      <c r="GL21" s="76">
        <v>399.08002530178237</v>
      </c>
      <c r="GM21" s="76">
        <v>398.41320281140895</v>
      </c>
      <c r="GN21" s="76">
        <v>496.74475275230907</v>
      </c>
      <c r="GO21" s="76">
        <v>404.06730469651723</v>
      </c>
      <c r="GP21" s="76">
        <v>288.73432077562319</v>
      </c>
      <c r="GQ21" s="73">
        <v>317.92720112827999</v>
      </c>
      <c r="GR21" s="76">
        <v>374.38355487940294</v>
      </c>
      <c r="GS21" s="76">
        <v>404.66828945176997</v>
      </c>
      <c r="GT21" s="76">
        <v>401.3925485025577</v>
      </c>
      <c r="GU21" s="76">
        <v>368.46363163563404</v>
      </c>
      <c r="GV21" s="76">
        <v>360.59058428252206</v>
      </c>
      <c r="GW21" s="76">
        <v>526.89531773718932</v>
      </c>
      <c r="GX21" s="73">
        <v>503.97722013632193</v>
      </c>
      <c r="GY21" s="73">
        <v>503.55470582484321</v>
      </c>
      <c r="GZ21" s="73">
        <v>557.76098936310484</v>
      </c>
      <c r="HA21" s="73">
        <v>445.26122218246263</v>
      </c>
      <c r="HB21" s="73">
        <v>433.21794919367727</v>
      </c>
      <c r="HC21" s="73">
        <v>437.66826708134829</v>
      </c>
      <c r="HD21" s="73">
        <v>477.30569011968356</v>
      </c>
      <c r="HE21" s="73">
        <v>424.00799037580452</v>
      </c>
      <c r="HF21" s="73">
        <v>403.57087971972248</v>
      </c>
      <c r="HG21" s="73">
        <v>436.30167857123394</v>
      </c>
      <c r="HH21" s="73">
        <v>353.08343244988299</v>
      </c>
      <c r="HI21" s="73">
        <v>438.93352253367061</v>
      </c>
    </row>
    <row r="22" spans="1:217" x14ac:dyDescent="0.35">
      <c r="A22" s="166" t="s">
        <v>589</v>
      </c>
      <c r="B22" s="76">
        <v>55.118628584807148</v>
      </c>
      <c r="C22" s="76">
        <v>54.875683428272367</v>
      </c>
      <c r="D22" s="76">
        <v>51.458938488272352</v>
      </c>
      <c r="E22" s="76">
        <v>56.343254428272367</v>
      </c>
      <c r="F22" s="76">
        <v>61.414785231397367</v>
      </c>
      <c r="G22" s="76">
        <v>88.248824439858893</v>
      </c>
      <c r="H22" s="76">
        <v>72.501850147022367</v>
      </c>
      <c r="I22" s="76">
        <v>62.927815147022372</v>
      </c>
      <c r="J22" s="76">
        <v>69.222849147022359</v>
      </c>
      <c r="K22" s="76">
        <v>73.991741147022367</v>
      </c>
      <c r="L22" s="76">
        <v>68.548459865864942</v>
      </c>
      <c r="M22" s="76">
        <v>60.28604085017809</v>
      </c>
      <c r="N22" s="76">
        <v>57.375142070000003</v>
      </c>
      <c r="O22" s="76">
        <v>41.379884369999999</v>
      </c>
      <c r="P22" s="76">
        <v>39.374508889999994</v>
      </c>
      <c r="Q22" s="76">
        <v>39.714788999999996</v>
      </c>
      <c r="R22" s="76">
        <v>44.846000000000011</v>
      </c>
      <c r="S22" s="76">
        <v>39.491999999999997</v>
      </c>
      <c r="T22" s="76">
        <v>40.538299999999985</v>
      </c>
      <c r="U22" s="76">
        <v>54.300584719999982</v>
      </c>
      <c r="V22" s="76">
        <v>33.121900000000004</v>
      </c>
      <c r="W22" s="76">
        <v>44.827000000000012</v>
      </c>
      <c r="X22" s="76">
        <v>37.807862999999998</v>
      </c>
      <c r="Y22" s="76">
        <v>61.731999999999999</v>
      </c>
      <c r="Z22" s="76">
        <v>75.458866657944483</v>
      </c>
      <c r="AA22" s="76">
        <v>109.44388121580801</v>
      </c>
      <c r="AB22" s="76">
        <v>95.09083811271762</v>
      </c>
      <c r="AC22" s="76">
        <v>127.27295168119005</v>
      </c>
      <c r="AD22" s="76">
        <v>84.826740000000001</v>
      </c>
      <c r="AE22" s="76">
        <v>125.60782023130182</v>
      </c>
      <c r="AF22" s="76">
        <v>92.368893905501011</v>
      </c>
      <c r="AG22" s="76">
        <v>64.795083869740523</v>
      </c>
      <c r="AH22" s="76">
        <v>83.370413740000004</v>
      </c>
      <c r="AI22" s="76">
        <v>119.93722530891336</v>
      </c>
      <c r="AJ22" s="76">
        <v>82.58699200722512</v>
      </c>
      <c r="AK22" s="76">
        <v>46.533943193081406</v>
      </c>
      <c r="AL22" s="76">
        <v>72.859484127916531</v>
      </c>
      <c r="AM22" s="76">
        <v>61.516308671963159</v>
      </c>
      <c r="AN22" s="76">
        <v>87.52619842869484</v>
      </c>
      <c r="AO22" s="76">
        <v>88.181246267121892</v>
      </c>
      <c r="AP22" s="76">
        <v>94.657222848367681</v>
      </c>
      <c r="AQ22" s="76">
        <v>99.374318544241262</v>
      </c>
      <c r="AR22" s="76">
        <v>96.221330608537727</v>
      </c>
      <c r="AS22" s="76">
        <v>87.037163669391504</v>
      </c>
      <c r="AT22" s="76">
        <v>93.809665304268805</v>
      </c>
      <c r="AU22" s="76">
        <v>92.638963443333324</v>
      </c>
      <c r="AV22" s="76">
        <v>83.925768909017449</v>
      </c>
      <c r="AW22" s="76">
        <v>135.09850888692702</v>
      </c>
      <c r="AX22" s="76">
        <v>77.518289369999991</v>
      </c>
      <c r="AY22" s="76">
        <v>85.738772341622237</v>
      </c>
      <c r="AZ22" s="76">
        <v>94.128284370000003</v>
      </c>
      <c r="BA22" s="76">
        <v>92.638109703333328</v>
      </c>
      <c r="BB22" s="76">
        <v>120.17187299999999</v>
      </c>
      <c r="BC22" s="76">
        <v>105.57344444444445</v>
      </c>
      <c r="BD22" s="76">
        <v>97.937000000000012</v>
      </c>
      <c r="BE22" s="76">
        <v>113.841295</v>
      </c>
      <c r="BF22" s="76">
        <v>95.321764000000002</v>
      </c>
      <c r="BG22" s="76">
        <v>81.765000000000001</v>
      </c>
      <c r="BH22" s="76">
        <v>104.71483557487001</v>
      </c>
      <c r="BI22" s="76">
        <v>136.93100000000001</v>
      </c>
      <c r="BJ22" s="76">
        <v>113.502586226055</v>
      </c>
      <c r="BK22" s="76">
        <v>94.536274708246339</v>
      </c>
      <c r="BL22" s="76">
        <v>111.41505586000001</v>
      </c>
      <c r="BM22" s="76">
        <v>92.776066296666642</v>
      </c>
      <c r="BN22" s="76">
        <v>122.75291625666665</v>
      </c>
      <c r="BO22" s="76">
        <v>109.63613337666666</v>
      </c>
      <c r="BP22" s="76">
        <v>127.43136975666665</v>
      </c>
      <c r="BQ22" s="76">
        <v>120.45497404666668</v>
      </c>
      <c r="BR22" s="76">
        <v>86.733664706666673</v>
      </c>
      <c r="BS22" s="76">
        <v>109.0738952122222</v>
      </c>
      <c r="BT22" s="76">
        <v>121.36635960666666</v>
      </c>
      <c r="BU22" s="76">
        <v>268.58786661666664</v>
      </c>
      <c r="BV22" s="76">
        <v>133.450561426055</v>
      </c>
      <c r="BW22" s="76">
        <v>102.24580697157968</v>
      </c>
      <c r="BX22" s="76">
        <v>154.66739296333336</v>
      </c>
      <c r="BY22" s="76">
        <v>135.07582947666666</v>
      </c>
      <c r="BZ22" s="76">
        <v>199.57188416333335</v>
      </c>
      <c r="CA22" s="76">
        <v>213.39635964333334</v>
      </c>
      <c r="CB22" s="76">
        <v>112.60226474</v>
      </c>
      <c r="CC22" s="76">
        <v>119.28273303583333</v>
      </c>
      <c r="CD22" s="76">
        <v>134.04372251333334</v>
      </c>
      <c r="CE22" s="76">
        <v>149.47090851333334</v>
      </c>
      <c r="CF22" s="76">
        <v>137.85503337333336</v>
      </c>
      <c r="CG22" s="76">
        <v>232.82358494323336</v>
      </c>
      <c r="CH22" s="76">
        <v>147.92121292583329</v>
      </c>
      <c r="CI22" s="76">
        <v>119.7629911125</v>
      </c>
      <c r="CJ22" s="76">
        <v>113.3910590525</v>
      </c>
      <c r="CK22" s="76">
        <v>198.68181828861117</v>
      </c>
      <c r="CL22" s="76">
        <v>142.48016464916665</v>
      </c>
      <c r="CM22" s="76">
        <v>187.6909872691667</v>
      </c>
      <c r="CN22" s="76">
        <v>137.14523338916666</v>
      </c>
      <c r="CO22" s="76">
        <v>213.78956152800001</v>
      </c>
      <c r="CP22" s="76">
        <v>168.92788958000003</v>
      </c>
      <c r="CQ22" s="76">
        <v>202.54098995916669</v>
      </c>
      <c r="CR22" s="76">
        <v>206.90246087616501</v>
      </c>
      <c r="CS22" s="76">
        <v>266.51867030149748</v>
      </c>
      <c r="CT22" s="76">
        <v>207.92978118258134</v>
      </c>
      <c r="CU22" s="76">
        <v>184.67134757580374</v>
      </c>
      <c r="CV22" s="76">
        <v>235.53156164884535</v>
      </c>
      <c r="CW22" s="76">
        <v>253.62035485287402</v>
      </c>
      <c r="CX22" s="76">
        <v>282.13554743754526</v>
      </c>
      <c r="CY22" s="76">
        <v>234.03182849105079</v>
      </c>
      <c r="CZ22" s="76">
        <v>280.03446673932848</v>
      </c>
      <c r="DA22" s="76">
        <v>486.52337597895223</v>
      </c>
      <c r="DB22" s="76">
        <v>199.76243586506735</v>
      </c>
      <c r="DC22" s="76">
        <v>384.75502676859173</v>
      </c>
      <c r="DD22" s="76">
        <v>385.2840535407064</v>
      </c>
      <c r="DE22" s="76">
        <v>390.14963127343765</v>
      </c>
      <c r="DF22" s="76">
        <v>182.08479625918881</v>
      </c>
      <c r="DG22" s="76">
        <v>149.81916800205403</v>
      </c>
      <c r="DH22" s="76">
        <v>177.61247170981221</v>
      </c>
      <c r="DI22" s="76">
        <v>171.20731863433392</v>
      </c>
      <c r="DJ22" s="76">
        <v>238.13930663980096</v>
      </c>
      <c r="DK22" s="76">
        <v>225.43983402041204</v>
      </c>
      <c r="DL22" s="76">
        <v>180.89630871709849</v>
      </c>
      <c r="DM22" s="76">
        <v>180.2132330084479</v>
      </c>
      <c r="DN22" s="76">
        <v>181.00782529833339</v>
      </c>
      <c r="DO22" s="76">
        <v>211.32844070348452</v>
      </c>
      <c r="DP22" s="76">
        <v>595.46935042366977</v>
      </c>
      <c r="DQ22" s="76">
        <v>265.04894174280628</v>
      </c>
      <c r="DR22" s="76">
        <v>179.5424469336391</v>
      </c>
      <c r="DS22" s="76">
        <v>172.61232620871536</v>
      </c>
      <c r="DT22" s="76">
        <v>358.35960844565199</v>
      </c>
      <c r="DU22" s="76">
        <v>196.00555057566186</v>
      </c>
      <c r="DV22" s="76">
        <v>241.33267490375715</v>
      </c>
      <c r="DW22" s="76">
        <v>206.78987737037525</v>
      </c>
      <c r="DX22" s="76">
        <v>187.97949797409612</v>
      </c>
      <c r="DY22" s="76">
        <v>188.69959809913362</v>
      </c>
      <c r="DZ22" s="76">
        <v>211.607851222504</v>
      </c>
      <c r="EA22" s="76">
        <v>255.15925556324632</v>
      </c>
      <c r="EB22" s="76">
        <v>241.99762128017545</v>
      </c>
      <c r="EC22" s="76">
        <v>338.88990986464802</v>
      </c>
      <c r="ED22" s="76">
        <v>165.32952466633895</v>
      </c>
      <c r="EE22" s="76">
        <v>207.76424788219279</v>
      </c>
      <c r="EF22" s="76">
        <v>207.51363211152346</v>
      </c>
      <c r="EG22" s="76">
        <v>196.01087671965269</v>
      </c>
      <c r="EH22" s="76">
        <v>212.66111825890906</v>
      </c>
      <c r="EI22" s="76">
        <v>241.33048073567852</v>
      </c>
      <c r="EJ22" s="76">
        <v>211.79949142813851</v>
      </c>
      <c r="EK22" s="76">
        <v>223.63903156558683</v>
      </c>
      <c r="EL22" s="76">
        <v>210.83772271648388</v>
      </c>
      <c r="EM22" s="76">
        <v>228.80822892991267</v>
      </c>
      <c r="EN22" s="76">
        <v>249.75360372274315</v>
      </c>
      <c r="EO22" s="76">
        <v>397.64282596658217</v>
      </c>
      <c r="EP22" s="76">
        <v>229.01550278304154</v>
      </c>
      <c r="EQ22" s="76">
        <v>189.41663805000002</v>
      </c>
      <c r="ER22" s="76">
        <v>201.20451544000008</v>
      </c>
      <c r="ES22" s="76">
        <v>213.59009394000009</v>
      </c>
      <c r="ET22" s="76">
        <v>191.57122255828469</v>
      </c>
      <c r="EU22" s="76">
        <v>235.69770665844965</v>
      </c>
      <c r="EV22" s="76">
        <v>241.21775133065523</v>
      </c>
      <c r="EW22" s="76">
        <v>219.34129391692565</v>
      </c>
      <c r="EX22" s="76">
        <v>187.1720632180585</v>
      </c>
      <c r="EY22" s="76">
        <v>278.67348514974424</v>
      </c>
      <c r="EZ22" s="76">
        <v>229.18633323206475</v>
      </c>
      <c r="FA22" s="76">
        <v>355.82077290557595</v>
      </c>
      <c r="FB22" s="76">
        <v>329.90256402</v>
      </c>
      <c r="FC22" s="76">
        <v>309.75527233999992</v>
      </c>
      <c r="FD22" s="76">
        <v>295.12307520999997</v>
      </c>
      <c r="FE22" s="76">
        <v>353.81319229999986</v>
      </c>
      <c r="FF22" s="76">
        <v>449.64373333999981</v>
      </c>
      <c r="FG22" s="76">
        <v>331.30379107000078</v>
      </c>
      <c r="FH22" s="76">
        <v>409.92454298999968</v>
      </c>
      <c r="FI22" s="76">
        <v>377.71485434587612</v>
      </c>
      <c r="FJ22" s="76">
        <v>307.53120901999966</v>
      </c>
      <c r="FK22" s="76">
        <v>393.90756729000168</v>
      </c>
      <c r="FL22" s="76">
        <v>411.33120209999856</v>
      </c>
      <c r="FM22" s="76">
        <v>446.33960800999881</v>
      </c>
      <c r="FN22" s="76">
        <v>370.77016156000002</v>
      </c>
      <c r="FO22" s="76">
        <v>277.62127150999999</v>
      </c>
      <c r="FP22" s="76">
        <v>368.72209127000008</v>
      </c>
      <c r="FQ22" s="76">
        <v>429.06739039999979</v>
      </c>
      <c r="FR22" s="76">
        <v>406.84499102600051</v>
      </c>
      <c r="FS22" s="76">
        <v>398.15009029000015</v>
      </c>
      <c r="FT22" s="76">
        <v>468.33640418999994</v>
      </c>
      <c r="FU22" s="76">
        <v>353.4065819224565</v>
      </c>
      <c r="FV22" s="76">
        <v>344.8140441200004</v>
      </c>
      <c r="FW22" s="76">
        <v>353.44907819999958</v>
      </c>
      <c r="FX22" s="76">
        <v>402.58373924632872</v>
      </c>
      <c r="FY22" s="76">
        <v>587.36006817582938</v>
      </c>
      <c r="FZ22" s="76">
        <v>283.49878583999998</v>
      </c>
      <c r="GA22" s="76">
        <v>637.16641816040897</v>
      </c>
      <c r="GB22" s="76">
        <v>412.06558901175055</v>
      </c>
      <c r="GC22" s="76">
        <v>345.60509517933474</v>
      </c>
      <c r="GD22" s="76">
        <v>583.28440869208748</v>
      </c>
      <c r="GE22" s="76">
        <v>450.53306603426574</v>
      </c>
      <c r="GF22" s="76">
        <v>440.99522160959555</v>
      </c>
      <c r="GG22" s="76">
        <v>363.49518595797554</v>
      </c>
      <c r="GH22" s="76">
        <v>320.21669083715415</v>
      </c>
      <c r="GI22" s="76">
        <v>451.52616122868119</v>
      </c>
      <c r="GJ22" s="76">
        <v>445.48772691981054</v>
      </c>
      <c r="GK22" s="76">
        <v>378.70889534564031</v>
      </c>
      <c r="GL22" s="76">
        <v>423.45929617925407</v>
      </c>
      <c r="GM22" s="76">
        <v>396.88977571748347</v>
      </c>
      <c r="GN22" s="76">
        <v>407.61215546476711</v>
      </c>
      <c r="GO22" s="76">
        <v>388.07345286445337</v>
      </c>
      <c r="GP22" s="76">
        <v>411.46500245109189</v>
      </c>
      <c r="GQ22" s="73">
        <v>555.4191260359795</v>
      </c>
      <c r="GR22" s="76">
        <v>322.6131669201053</v>
      </c>
      <c r="GS22" s="76">
        <v>412.28658359642355</v>
      </c>
      <c r="GT22" s="76">
        <v>358.17296315334488</v>
      </c>
      <c r="GU22" s="76">
        <v>508.66349727776145</v>
      </c>
      <c r="GV22" s="76">
        <v>345.52227080974012</v>
      </c>
      <c r="GW22" s="76">
        <v>1005.320245293138</v>
      </c>
      <c r="GX22" s="73">
        <v>483.30514342000066</v>
      </c>
      <c r="GY22" s="73">
        <v>406.47864464200035</v>
      </c>
      <c r="GZ22" s="73">
        <v>487.18990476100009</v>
      </c>
      <c r="HA22" s="73">
        <v>431.02549780000004</v>
      </c>
      <c r="HB22" s="73">
        <v>663.15228302009996</v>
      </c>
      <c r="HC22" s="73">
        <v>474.07931529010023</v>
      </c>
      <c r="HD22" s="73">
        <v>515.32313541010001</v>
      </c>
      <c r="HE22" s="73">
        <v>472.7556436300996</v>
      </c>
      <c r="HF22" s="73">
        <v>411.53351798009982</v>
      </c>
      <c r="HG22" s="73">
        <v>511.58111522009983</v>
      </c>
      <c r="HH22" s="73">
        <v>607.88086346991054</v>
      </c>
      <c r="HI22" s="73">
        <v>516.45971978011039</v>
      </c>
    </row>
    <row r="23" spans="1:217" x14ac:dyDescent="0.35">
      <c r="A23" s="16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4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4"/>
      <c r="FV23" s="74"/>
      <c r="FW23" s="74"/>
      <c r="FX23" s="74"/>
      <c r="FY23" s="74"/>
      <c r="FZ23" s="74"/>
      <c r="GA23" s="74"/>
      <c r="GB23" s="74"/>
      <c r="GC23" s="74"/>
      <c r="GD23" s="74"/>
      <c r="GE23" s="74"/>
      <c r="GF23" s="74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4"/>
      <c r="GR23" s="76"/>
      <c r="GS23" s="76"/>
      <c r="GT23" s="76"/>
      <c r="GU23" s="76"/>
      <c r="GV23" s="76"/>
      <c r="GW23" s="76"/>
      <c r="GX23" s="74"/>
      <c r="GY23" s="74"/>
      <c r="GZ23" s="74"/>
      <c r="HA23" s="74"/>
      <c r="HB23" s="74"/>
      <c r="HC23" s="74"/>
      <c r="HD23" s="74"/>
      <c r="HE23" s="74"/>
      <c r="HF23" s="74"/>
      <c r="HG23" s="74"/>
      <c r="HH23" s="74"/>
      <c r="HI23" s="74"/>
    </row>
    <row r="24" spans="1:217" x14ac:dyDescent="0.35">
      <c r="A24" s="172" t="s">
        <v>590</v>
      </c>
      <c r="B24" s="74">
        <v>4.2593404968104309</v>
      </c>
      <c r="C24" s="74">
        <v>4.4385477417576809</v>
      </c>
      <c r="D24" s="74">
        <v>11.90422774175768</v>
      </c>
      <c r="E24" s="74">
        <v>10.383341236383341</v>
      </c>
      <c r="F24" s="74">
        <v>13.058138959347755</v>
      </c>
      <c r="G24" s="74">
        <v>43.064778959347763</v>
      </c>
      <c r="H24" s="74">
        <v>-9.3631737146448799</v>
      </c>
      <c r="I24" s="74">
        <v>7.0549333123821611</v>
      </c>
      <c r="J24" s="74">
        <v>33.545346285355123</v>
      </c>
      <c r="K24" s="74">
        <v>14.341480000000004</v>
      </c>
      <c r="L24" s="74">
        <v>7.8539999999999992</v>
      </c>
      <c r="M24" s="74">
        <v>9.1788400000000081</v>
      </c>
      <c r="N24" s="74">
        <v>20.89960700000001</v>
      </c>
      <c r="O24" s="74">
        <v>21.713099999999997</v>
      </c>
      <c r="P24" s="74">
        <v>9.0792000000000002</v>
      </c>
      <c r="Q24" s="74">
        <v>18.628799999999991</v>
      </c>
      <c r="R24" s="74">
        <v>-1.9139999999999944</v>
      </c>
      <c r="S24" s="74">
        <v>-5.0708100000000016</v>
      </c>
      <c r="T24" s="74">
        <v>12.830821999999998</v>
      </c>
      <c r="U24" s="74">
        <v>24.551878000000002</v>
      </c>
      <c r="V24" s="74">
        <v>-2.5704099999999954</v>
      </c>
      <c r="W24" s="74">
        <v>5.1125899999999973</v>
      </c>
      <c r="X24" s="74">
        <v>7.302589999999995</v>
      </c>
      <c r="Y24" s="74">
        <v>-4.6344099999999884</v>
      </c>
      <c r="Z24" s="74">
        <v>21.185045198675745</v>
      </c>
      <c r="AA24" s="74">
        <v>22.747266112425557</v>
      </c>
      <c r="AB24" s="74">
        <v>9.8469485280534457</v>
      </c>
      <c r="AC24" s="74">
        <v>10.809188153960307</v>
      </c>
      <c r="AD24" s="74">
        <v>33.742456024201744</v>
      </c>
      <c r="AE24" s="74">
        <v>10.66331528865306</v>
      </c>
      <c r="AF24" s="74">
        <v>37.894185550101525</v>
      </c>
      <c r="AG24" s="74">
        <v>11.192906556814549</v>
      </c>
      <c r="AH24" s="74">
        <v>12.054763937389474</v>
      </c>
      <c r="AI24" s="74">
        <v>11.376684985939193</v>
      </c>
      <c r="AJ24" s="74">
        <v>16.082746081599382</v>
      </c>
      <c r="AK24" s="74">
        <v>-10.392887251733995</v>
      </c>
      <c r="AL24" s="74">
        <v>8.7224608390848744</v>
      </c>
      <c r="AM24" s="74">
        <v>-2.1910648864987459</v>
      </c>
      <c r="AN24" s="74">
        <v>-5.4186271420309939</v>
      </c>
      <c r="AO24" s="74">
        <v>60.251731271547129</v>
      </c>
      <c r="AP24" s="74">
        <v>-11.46811306132008</v>
      </c>
      <c r="AQ24" s="74">
        <v>22.384438392824119</v>
      </c>
      <c r="AR24" s="74">
        <v>22.136866071569862</v>
      </c>
      <c r="AS24" s="74">
        <v>0.52347769353530049</v>
      </c>
      <c r="AT24" s="74">
        <v>23.641530519798152</v>
      </c>
      <c r="AU24" s="74">
        <v>9.2268997174063347</v>
      </c>
      <c r="AV24" s="74">
        <v>-24.442054282744806</v>
      </c>
      <c r="AW24" s="74">
        <v>-12.65004435582558</v>
      </c>
      <c r="AX24" s="74">
        <v>21.890103000000003</v>
      </c>
      <c r="AY24" s="74">
        <v>30.203257999999991</v>
      </c>
      <c r="AZ24" s="74">
        <v>44.866309999999999</v>
      </c>
      <c r="BA24" s="74">
        <v>3.6296620000000068</v>
      </c>
      <c r="BB24" s="74">
        <v>28.97657000000002</v>
      </c>
      <c r="BC24" s="74">
        <v>26.423898928831978</v>
      </c>
      <c r="BD24" s="74">
        <v>-13.197387000000013</v>
      </c>
      <c r="BE24" s="74">
        <v>42.098244999999991</v>
      </c>
      <c r="BF24" s="74">
        <v>28.886881999999918</v>
      </c>
      <c r="BG24" s="74">
        <v>11.811114251288707</v>
      </c>
      <c r="BH24" s="74">
        <v>18.24978623602815</v>
      </c>
      <c r="BI24" s="74">
        <v>-7.5001882879459645</v>
      </c>
      <c r="BJ24" s="74">
        <v>9.8890000000000065</v>
      </c>
      <c r="BK24" s="74">
        <v>67.487899999999968</v>
      </c>
      <c r="BL24" s="74">
        <v>9.2640000000000313</v>
      </c>
      <c r="BM24" s="74">
        <v>-6.4312600015645067</v>
      </c>
      <c r="BN24" s="74">
        <v>32.441600000000008</v>
      </c>
      <c r="BO24" s="74">
        <v>-5.1610000000000076</v>
      </c>
      <c r="BP24" s="74">
        <v>-4.4754286259265843</v>
      </c>
      <c r="BQ24" s="74">
        <v>15.064928489314699</v>
      </c>
      <c r="BR24" s="74">
        <v>-34.749696825001593</v>
      </c>
      <c r="BS24" s="74">
        <v>-93.759859706740428</v>
      </c>
      <c r="BT24" s="74">
        <v>52.687161789934152</v>
      </c>
      <c r="BU24" s="74">
        <v>21.370062211855618</v>
      </c>
      <c r="BV24" s="74">
        <v>15.894158000000015</v>
      </c>
      <c r="BW24" s="74">
        <v>-0.57237199999995436</v>
      </c>
      <c r="BX24" s="74">
        <v>30.111461999999953</v>
      </c>
      <c r="BY24" s="74">
        <v>-85.818000001564485</v>
      </c>
      <c r="BZ24" s="74">
        <v>22.467000000000034</v>
      </c>
      <c r="CA24" s="74">
        <v>-51.967131891153393</v>
      </c>
      <c r="CB24" s="74">
        <v>-30.955169625926562</v>
      </c>
      <c r="CC24" s="74">
        <v>-33.425005760685309</v>
      </c>
      <c r="CD24" s="74">
        <v>-42.029564575001601</v>
      </c>
      <c r="CE24" s="74">
        <v>-1.1134136867404427</v>
      </c>
      <c r="CF24" s="74">
        <v>-11.769561040065879</v>
      </c>
      <c r="CG24" s="74">
        <v>-116.3226522581444</v>
      </c>
      <c r="CH24" s="74">
        <v>82.499885122200041</v>
      </c>
      <c r="CI24" s="74">
        <v>103.62236625679995</v>
      </c>
      <c r="CJ24" s="74">
        <v>49.875728495099963</v>
      </c>
      <c r="CK24" s="74">
        <v>12.721299060835459</v>
      </c>
      <c r="CL24" s="74">
        <v>115.49192598250005</v>
      </c>
      <c r="CM24" s="74">
        <v>0.29021189884660048</v>
      </c>
      <c r="CN24" s="74">
        <v>84.913820766073457</v>
      </c>
      <c r="CO24" s="74">
        <v>300.21738690131463</v>
      </c>
      <c r="CP24" s="74">
        <v>-18.300419403001573</v>
      </c>
      <c r="CQ24" s="74">
        <v>84.099786035259555</v>
      </c>
      <c r="CR24" s="74">
        <v>65.165273331934159</v>
      </c>
      <c r="CS24" s="74">
        <v>-30.884944969522838</v>
      </c>
      <c r="CT24" s="74">
        <v>46.377950211674957</v>
      </c>
      <c r="CU24" s="74">
        <v>69.694653864713402</v>
      </c>
      <c r="CV24" s="74">
        <v>86.245308663701593</v>
      </c>
      <c r="CW24" s="74">
        <v>36.205909161811832</v>
      </c>
      <c r="CX24" s="74">
        <v>89.372161475212096</v>
      </c>
      <c r="CY24" s="74">
        <v>49.22642661022573</v>
      </c>
      <c r="CZ24" s="74">
        <v>129.60618902253293</v>
      </c>
      <c r="DA24" s="74">
        <v>38.111304875982952</v>
      </c>
      <c r="DB24" s="74">
        <v>82.712137352939322</v>
      </c>
      <c r="DC24" s="74">
        <v>143.41852427389099</v>
      </c>
      <c r="DD24" s="74">
        <v>61.742636151395025</v>
      </c>
      <c r="DE24" s="74">
        <v>59.938071988690709</v>
      </c>
      <c r="DF24" s="74">
        <v>56.672161164301741</v>
      </c>
      <c r="DG24" s="74">
        <v>128.3576771796707</v>
      </c>
      <c r="DH24" s="74">
        <v>41.426423855438415</v>
      </c>
      <c r="DI24" s="74">
        <v>79.878797210080009</v>
      </c>
      <c r="DJ24" s="74">
        <v>85.732433985236895</v>
      </c>
      <c r="DK24" s="74">
        <v>99.355161684910371</v>
      </c>
      <c r="DL24" s="74">
        <v>-15.588958546735688</v>
      </c>
      <c r="DM24" s="74">
        <v>80.636067507932239</v>
      </c>
      <c r="DN24" s="74">
        <v>65.636378129686932</v>
      </c>
      <c r="DO24" s="74">
        <v>70.078325160114247</v>
      </c>
      <c r="DP24" s="74">
        <v>92.315313509930576</v>
      </c>
      <c r="DQ24" s="74">
        <v>9.748252302514345</v>
      </c>
      <c r="DR24" s="74">
        <v>105.51956129624219</v>
      </c>
      <c r="DS24" s="74">
        <v>104.95974843839625</v>
      </c>
      <c r="DT24" s="74">
        <v>130.77462700744499</v>
      </c>
      <c r="DU24" s="74">
        <v>83.3366901113925</v>
      </c>
      <c r="DV24" s="74">
        <v>114.08885434505156</v>
      </c>
      <c r="DW24" s="74">
        <v>55.323693431921278</v>
      </c>
      <c r="DX24" s="74">
        <v>79.077756888042728</v>
      </c>
      <c r="DY24" s="74">
        <v>215.95836412720547</v>
      </c>
      <c r="DZ24" s="74">
        <v>-19.592471025037227</v>
      </c>
      <c r="EA24" s="74">
        <v>151.17830024174157</v>
      </c>
      <c r="EB24" s="74">
        <v>237.54768604368689</v>
      </c>
      <c r="EC24" s="74">
        <v>88.156912002713852</v>
      </c>
      <c r="ED24" s="74">
        <v>213.52332946672101</v>
      </c>
      <c r="EE24" s="74">
        <v>133.22058756236348</v>
      </c>
      <c r="EF24" s="74">
        <v>98.472441029283416</v>
      </c>
      <c r="EG24" s="74">
        <v>117.62382733926336</v>
      </c>
      <c r="EH24" s="74">
        <v>152.7929673723267</v>
      </c>
      <c r="EI24" s="74">
        <v>112.80917012560141</v>
      </c>
      <c r="EJ24" s="74">
        <v>152.6229567141979</v>
      </c>
      <c r="EK24" s="74">
        <v>198.56858603648396</v>
      </c>
      <c r="EL24" s="74">
        <v>110.88528538288065</v>
      </c>
      <c r="EM24" s="74">
        <v>140.20045726733858</v>
      </c>
      <c r="EN24" s="74">
        <v>214.19464251393754</v>
      </c>
      <c r="EO24" s="74">
        <v>121.350000512028</v>
      </c>
      <c r="EP24" s="74">
        <v>270.11220137098815</v>
      </c>
      <c r="EQ24" s="74">
        <v>408.71268644312249</v>
      </c>
      <c r="ER24" s="74">
        <v>188.5306185295257</v>
      </c>
      <c r="ES24" s="74">
        <v>21.366648367503362</v>
      </c>
      <c r="ET24" s="74">
        <v>150.50162335151492</v>
      </c>
      <c r="EU24" s="74">
        <v>139.51968377927739</v>
      </c>
      <c r="EV24" s="74">
        <v>214.11044377940772</v>
      </c>
      <c r="EW24" s="74">
        <v>246.5100737580884</v>
      </c>
      <c r="EX24" s="74">
        <v>277.50007429152106</v>
      </c>
      <c r="EY24" s="74">
        <v>201.49739462939775</v>
      </c>
      <c r="EZ24" s="74">
        <v>207.08308774537562</v>
      </c>
      <c r="FA24" s="74">
        <v>241.90468127315066</v>
      </c>
      <c r="FB24" s="74">
        <v>318.43737069055635</v>
      </c>
      <c r="FC24" s="74">
        <v>247.3877413608063</v>
      </c>
      <c r="FD24" s="74">
        <v>108.34695455797399</v>
      </c>
      <c r="FE24" s="74">
        <v>203.31703128106861</v>
      </c>
      <c r="FF24" s="74">
        <v>336.54713068298247</v>
      </c>
      <c r="FG24" s="74">
        <v>227.81159039674912</v>
      </c>
      <c r="FH24" s="74">
        <v>430.5349062609796</v>
      </c>
      <c r="FI24" s="74">
        <v>382.07954073762647</v>
      </c>
      <c r="FJ24" s="74">
        <v>170.68426470086217</v>
      </c>
      <c r="FK24" s="74">
        <v>408.53683251794638</v>
      </c>
      <c r="FL24" s="74">
        <v>242.39910733258264</v>
      </c>
      <c r="FM24" s="74">
        <v>119.91633034332563</v>
      </c>
      <c r="FN24" s="74">
        <v>461.44299836783887</v>
      </c>
      <c r="FO24" s="74">
        <v>229.36267300091765</v>
      </c>
      <c r="FP24" s="74">
        <v>324.19060961961213</v>
      </c>
      <c r="FQ24" s="74">
        <v>386.48176254770488</v>
      </c>
      <c r="FR24" s="74">
        <v>276.85867288524673</v>
      </c>
      <c r="FS24" s="74">
        <v>529.02114214858341</v>
      </c>
      <c r="FT24" s="74">
        <v>285.23501324613477</v>
      </c>
      <c r="FU24" s="74">
        <v>406.34415775988134</v>
      </c>
      <c r="FV24" s="74">
        <v>347.09659231437956</v>
      </c>
      <c r="FW24" s="74">
        <v>282.90196311338707</v>
      </c>
      <c r="FX24" s="74">
        <v>465.15248128234674</v>
      </c>
      <c r="FY24" s="74">
        <v>192.95038548896684</v>
      </c>
      <c r="FZ24" s="74">
        <v>50.778540455359447</v>
      </c>
      <c r="GA24" s="74">
        <v>118.95189932406569</v>
      </c>
      <c r="GB24" s="74">
        <v>197.6779510723884</v>
      </c>
      <c r="GC24" s="74">
        <v>142.11200084160197</v>
      </c>
      <c r="GD24" s="74">
        <v>178.10663123405007</v>
      </c>
      <c r="GE24" s="74">
        <v>216.9566883695108</v>
      </c>
      <c r="GF24" s="74">
        <v>170.51683166448436</v>
      </c>
      <c r="GG24" s="74">
        <v>82.371319139273851</v>
      </c>
      <c r="GH24" s="74">
        <v>34.165823783568655</v>
      </c>
      <c r="GI24" s="74">
        <v>84.601878031508193</v>
      </c>
      <c r="GJ24" s="74">
        <v>-14.078933747536745</v>
      </c>
      <c r="GK24" s="74">
        <v>-185.99435123579323</v>
      </c>
      <c r="GL24" s="74">
        <v>60.961731314553617</v>
      </c>
      <c r="GM24" s="74">
        <v>70.007945266408257</v>
      </c>
      <c r="GN24" s="74">
        <v>5.1448224870852641</v>
      </c>
      <c r="GO24" s="74">
        <v>26.251249953600546</v>
      </c>
      <c r="GP24" s="74">
        <v>11.211309699845273</v>
      </c>
      <c r="GQ24" s="74">
        <v>87.159188498186666</v>
      </c>
      <c r="GR24" s="74">
        <v>26.969707566934055</v>
      </c>
      <c r="GS24" s="74">
        <v>120.47332185021658</v>
      </c>
      <c r="GT24" s="74">
        <v>60.837694947889318</v>
      </c>
      <c r="GU24" s="74">
        <v>42.229876279753704</v>
      </c>
      <c r="GV24" s="74">
        <v>72.867248672547561</v>
      </c>
      <c r="GW24" s="74">
        <v>33.738407854584054</v>
      </c>
      <c r="GX24" s="74">
        <v>308.16736833113345</v>
      </c>
      <c r="GY24" s="74">
        <v>78.997604586191983</v>
      </c>
      <c r="GZ24" s="74">
        <v>263.61775093342271</v>
      </c>
      <c r="HA24" s="74">
        <v>47.009798268143804</v>
      </c>
      <c r="HB24" s="74">
        <v>115.19175756624912</v>
      </c>
      <c r="HC24" s="74">
        <v>166.56220867788866</v>
      </c>
      <c r="HD24" s="74">
        <v>179.9433270371905</v>
      </c>
      <c r="HE24" s="74">
        <v>116.12294615414514</v>
      </c>
      <c r="HF24" s="74">
        <v>112.04301081589068</v>
      </c>
      <c r="HG24" s="74">
        <v>31.163393619159702</v>
      </c>
      <c r="HH24" s="74">
        <v>128.56175101734698</v>
      </c>
      <c r="HI24" s="74">
        <v>565.40697214657064</v>
      </c>
    </row>
    <row r="25" spans="1:217" x14ac:dyDescent="0.35">
      <c r="A25" s="170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</row>
    <row r="26" spans="1:217" x14ac:dyDescent="0.35">
      <c r="A26" s="170" t="s">
        <v>591</v>
      </c>
      <c r="B26" s="74">
        <v>146.03505684958947</v>
      </c>
      <c r="C26" s="74">
        <v>396.33361810053043</v>
      </c>
      <c r="D26" s="74">
        <v>215.69080487901721</v>
      </c>
      <c r="E26" s="74">
        <v>288.42345183163906</v>
      </c>
      <c r="F26" s="74">
        <v>279.91467964999993</v>
      </c>
      <c r="G26" s="74">
        <v>275.3658320084615</v>
      </c>
      <c r="H26" s="74">
        <v>275.2126981566667</v>
      </c>
      <c r="I26" s="74">
        <v>555.12703079666665</v>
      </c>
      <c r="J26" s="74">
        <v>281.66636071666665</v>
      </c>
      <c r="K26" s="74">
        <v>318.98873333333336</v>
      </c>
      <c r="L26" s="74">
        <v>332.00764823616953</v>
      </c>
      <c r="M26" s="74">
        <v>533.09858080353069</v>
      </c>
      <c r="N26" s="74">
        <v>371.88124887466847</v>
      </c>
      <c r="O26" s="74">
        <v>426.74668356946603</v>
      </c>
      <c r="P26" s="74">
        <v>364.90123766666665</v>
      </c>
      <c r="Q26" s="74">
        <v>325.47312869443209</v>
      </c>
      <c r="R26" s="74">
        <v>529.26924614666677</v>
      </c>
      <c r="S26" s="74">
        <v>389.73822066666662</v>
      </c>
      <c r="T26" s="74">
        <v>308.51518566666664</v>
      </c>
      <c r="U26" s="74">
        <v>452.52647366666667</v>
      </c>
      <c r="V26" s="74">
        <v>347.60370152666667</v>
      </c>
      <c r="W26" s="74">
        <v>370.85811166666667</v>
      </c>
      <c r="X26" s="74">
        <v>447.86659766666662</v>
      </c>
      <c r="Y26" s="74">
        <v>611.65966666666657</v>
      </c>
      <c r="Z26" s="74">
        <v>390.83360350161388</v>
      </c>
      <c r="AA26" s="74">
        <v>462.86577675633151</v>
      </c>
      <c r="AB26" s="74">
        <v>411.84193358015079</v>
      </c>
      <c r="AC26" s="74">
        <v>517.14384104344504</v>
      </c>
      <c r="AD26" s="74">
        <v>577.29073983503565</v>
      </c>
      <c r="AE26" s="74">
        <v>445.27955755411261</v>
      </c>
      <c r="AF26" s="74">
        <v>455.95019152380951</v>
      </c>
      <c r="AG26" s="74">
        <v>549.17973222523801</v>
      </c>
      <c r="AH26" s="74">
        <v>480.46968129485606</v>
      </c>
      <c r="AI26" s="74">
        <v>505.93826449489234</v>
      </c>
      <c r="AJ26" s="74">
        <v>637.70371027914302</v>
      </c>
      <c r="AK26" s="74">
        <v>726.69168262755761</v>
      </c>
      <c r="AL26" s="74">
        <v>411.15181177235456</v>
      </c>
      <c r="AM26" s="74">
        <v>508.69443721396993</v>
      </c>
      <c r="AN26" s="74">
        <v>451.70516330347675</v>
      </c>
      <c r="AO26" s="74">
        <v>485.89956337677847</v>
      </c>
      <c r="AP26" s="74">
        <v>549.14624688193476</v>
      </c>
      <c r="AQ26" s="74">
        <v>508.32576353042384</v>
      </c>
      <c r="AR26" s="74">
        <v>527.16853591538768</v>
      </c>
      <c r="AS26" s="74">
        <v>604.59126052447425</v>
      </c>
      <c r="AT26" s="74">
        <v>638.18269606351043</v>
      </c>
      <c r="AU26" s="74">
        <v>549.06721499111177</v>
      </c>
      <c r="AV26" s="74">
        <v>634.68465649215955</v>
      </c>
      <c r="AW26" s="74">
        <v>717.94290328454758</v>
      </c>
      <c r="AX26" s="74">
        <v>427.67934833999999</v>
      </c>
      <c r="AY26" s="74">
        <v>625.82365619000007</v>
      </c>
      <c r="AZ26" s="74">
        <v>579.45398149000005</v>
      </c>
      <c r="BA26" s="74">
        <v>609.28243985270728</v>
      </c>
      <c r="BB26" s="74">
        <v>659.11206449479232</v>
      </c>
      <c r="BC26" s="74">
        <v>593.33999716999995</v>
      </c>
      <c r="BD26" s="74">
        <v>561.05087782999999</v>
      </c>
      <c r="BE26" s="74">
        <v>680.04534616789078</v>
      </c>
      <c r="BF26" s="74">
        <v>594.3398767006787</v>
      </c>
      <c r="BG26" s="74">
        <v>579.98008904065534</v>
      </c>
      <c r="BH26" s="74">
        <v>632.83495781073373</v>
      </c>
      <c r="BI26" s="74">
        <v>950.19714645755721</v>
      </c>
      <c r="BJ26" s="74">
        <v>572.50456056640814</v>
      </c>
      <c r="BK26" s="74">
        <v>724.37728783240459</v>
      </c>
      <c r="BL26" s="74">
        <v>662.39861124333333</v>
      </c>
      <c r="BM26" s="74">
        <v>624.32338407000009</v>
      </c>
      <c r="BN26" s="74">
        <v>733.18527712504465</v>
      </c>
      <c r="BO26" s="74">
        <v>568.69012774504472</v>
      </c>
      <c r="BP26" s="74">
        <v>657.00809285088701</v>
      </c>
      <c r="BQ26" s="74">
        <v>787.88586280425613</v>
      </c>
      <c r="BR26" s="74">
        <v>963.74093755671674</v>
      </c>
      <c r="BS26" s="74">
        <v>718.31283326981168</v>
      </c>
      <c r="BT26" s="74">
        <v>753.48006936425611</v>
      </c>
      <c r="BU26" s="74">
        <v>1113.6388583009227</v>
      </c>
      <c r="BV26" s="74">
        <v>591.91474699890819</v>
      </c>
      <c r="BW26" s="74">
        <v>751.49030566583349</v>
      </c>
      <c r="BX26" s="74">
        <v>872.48762050916673</v>
      </c>
      <c r="BY26" s="74">
        <v>727.76898557805555</v>
      </c>
      <c r="BZ26" s="74">
        <v>793.49684211393367</v>
      </c>
      <c r="CA26" s="74">
        <v>822.21731164229186</v>
      </c>
      <c r="CB26" s="74">
        <v>723.48666200644254</v>
      </c>
      <c r="CC26" s="74">
        <v>873.06173175314484</v>
      </c>
      <c r="CD26" s="74">
        <v>796.156139871439</v>
      </c>
      <c r="CE26" s="74">
        <v>811.20467993314503</v>
      </c>
      <c r="CF26" s="74">
        <v>897.85725123931365</v>
      </c>
      <c r="CG26" s="74">
        <v>1266.825485162658</v>
      </c>
      <c r="CH26" s="74">
        <v>611.03501691583335</v>
      </c>
      <c r="CI26" s="74">
        <v>813.76144592166668</v>
      </c>
      <c r="CJ26" s="74">
        <v>847.58141818137938</v>
      </c>
      <c r="CK26" s="74">
        <v>856.49112653212501</v>
      </c>
      <c r="CL26" s="74">
        <v>869.63600743726693</v>
      </c>
      <c r="CM26" s="74">
        <v>889.36803322489197</v>
      </c>
      <c r="CN26" s="74">
        <v>954.92452167773411</v>
      </c>
      <c r="CO26" s="74">
        <v>1355.0858956159368</v>
      </c>
      <c r="CP26" s="74">
        <v>1050.9362761202306</v>
      </c>
      <c r="CQ26" s="74">
        <v>1210.4792275811033</v>
      </c>
      <c r="CR26" s="74">
        <v>1172.1924341132676</v>
      </c>
      <c r="CS26" s="74">
        <v>1673.9598458761434</v>
      </c>
      <c r="CT26" s="74">
        <v>1016.5659070786729</v>
      </c>
      <c r="CU26" s="74">
        <v>1204.9204657497744</v>
      </c>
      <c r="CV26" s="74">
        <v>1442.1917054109197</v>
      </c>
      <c r="CW26" s="74">
        <v>1684.0840847553211</v>
      </c>
      <c r="CX26" s="74">
        <v>1647.4382448977417</v>
      </c>
      <c r="CY26" s="74">
        <v>1648.5611070278462</v>
      </c>
      <c r="CZ26" s="74">
        <v>2074.5318391353403</v>
      </c>
      <c r="DA26" s="74">
        <v>2125.9804047023781</v>
      </c>
      <c r="DB26" s="74">
        <v>1795.795348848384</v>
      </c>
      <c r="DC26" s="74">
        <v>2136.6668384861932</v>
      </c>
      <c r="DD26" s="74">
        <v>1891.5799918003524</v>
      </c>
      <c r="DE26" s="74">
        <v>3092.7501347837187</v>
      </c>
      <c r="DF26" s="74">
        <v>1137.6010478380954</v>
      </c>
      <c r="DG26" s="74">
        <v>1360.6256314388363</v>
      </c>
      <c r="DH26" s="74">
        <v>1761.2814561377647</v>
      </c>
      <c r="DI26" s="74">
        <v>1798.0200513316679</v>
      </c>
      <c r="DJ26" s="74">
        <v>1370.0709231089893</v>
      </c>
      <c r="DK26" s="74">
        <v>1514.8466684755342</v>
      </c>
      <c r="DL26" s="74">
        <v>1535.2628283002452</v>
      </c>
      <c r="DM26" s="74">
        <v>1572.4387340630742</v>
      </c>
      <c r="DN26" s="74">
        <v>1637.4659958283892</v>
      </c>
      <c r="DO26" s="74">
        <v>2052.450357030104</v>
      </c>
      <c r="DP26" s="74">
        <v>1885.0974050485797</v>
      </c>
      <c r="DQ26" s="74">
        <v>2985.2014718152695</v>
      </c>
      <c r="DR26" s="74">
        <v>1392.4846775292369</v>
      </c>
      <c r="DS26" s="74">
        <v>1594.9073666786699</v>
      </c>
      <c r="DT26" s="74">
        <v>1910.1145636644512</v>
      </c>
      <c r="DU26" s="74">
        <v>2113.2187885088742</v>
      </c>
      <c r="DV26" s="74">
        <v>1900.387778802537</v>
      </c>
      <c r="DW26" s="74">
        <v>1883.5783668017084</v>
      </c>
      <c r="DX26" s="74">
        <v>1944.6356062468826</v>
      </c>
      <c r="DY26" s="74">
        <v>1974.6229475046805</v>
      </c>
      <c r="DZ26" s="74">
        <v>1915.5049269798715</v>
      </c>
      <c r="EA26" s="74">
        <v>2080.7738991986712</v>
      </c>
      <c r="EB26" s="74">
        <v>2159.5779192189343</v>
      </c>
      <c r="EC26" s="74">
        <v>3252.7450534636496</v>
      </c>
      <c r="ED26" s="74">
        <v>1862.1554212927147</v>
      </c>
      <c r="EE26" s="74">
        <v>2012.1981498232385</v>
      </c>
      <c r="EF26" s="74">
        <v>2664.9222336395997</v>
      </c>
      <c r="EG26" s="74">
        <v>2413.1520487087391</v>
      </c>
      <c r="EH26" s="74">
        <v>2570.9959158902702</v>
      </c>
      <c r="EI26" s="74">
        <v>2448.762546033372</v>
      </c>
      <c r="EJ26" s="74">
        <v>2456.9609744632089</v>
      </c>
      <c r="EK26" s="74">
        <v>2601.355947349075</v>
      </c>
      <c r="EL26" s="74">
        <v>2539.1695887032893</v>
      </c>
      <c r="EM26" s="74">
        <v>2772.1738271024478</v>
      </c>
      <c r="EN26" s="74">
        <v>2917.3753334751655</v>
      </c>
      <c r="EO26" s="74">
        <v>4031.0170436385797</v>
      </c>
      <c r="EP26" s="74">
        <v>2510.8050323852472</v>
      </c>
      <c r="EQ26" s="74">
        <v>2316.1815635373359</v>
      </c>
      <c r="ER26" s="74">
        <v>2680.5446612752503</v>
      </c>
      <c r="ES26" s="74">
        <v>2723.3042810242573</v>
      </c>
      <c r="ET26" s="74">
        <v>2687.4423165885191</v>
      </c>
      <c r="EU26" s="74">
        <v>2898.8363273097011</v>
      </c>
      <c r="EV26" s="74">
        <v>2605.5371202868073</v>
      </c>
      <c r="EW26" s="74">
        <v>3104.5603283534165</v>
      </c>
      <c r="EX26" s="74">
        <v>2989.3113466197892</v>
      </c>
      <c r="EY26" s="74">
        <v>3067.4081387103624</v>
      </c>
      <c r="EZ26" s="74">
        <v>3299.9371687664243</v>
      </c>
      <c r="FA26" s="74">
        <v>4509.7267151656351</v>
      </c>
      <c r="FB26" s="74">
        <v>2564.9252041874361</v>
      </c>
      <c r="FC26" s="74">
        <v>2998.4681569134073</v>
      </c>
      <c r="FD26" s="74">
        <v>3253.678080777061</v>
      </c>
      <c r="FE26" s="74">
        <v>3151.5998964416995</v>
      </c>
      <c r="FF26" s="74">
        <v>3052.633654503833</v>
      </c>
      <c r="FG26" s="74">
        <v>3342.8456999700329</v>
      </c>
      <c r="FH26" s="74">
        <v>3122.375706211039</v>
      </c>
      <c r="FI26" s="74">
        <v>3529.0504708278759</v>
      </c>
      <c r="FJ26" s="74">
        <v>3495.6514169726179</v>
      </c>
      <c r="FK26" s="74">
        <v>3762.4046626499862</v>
      </c>
      <c r="FL26" s="74">
        <v>3895.6849186813333</v>
      </c>
      <c r="FM26" s="74">
        <v>5437.9543769410739</v>
      </c>
      <c r="FN26" s="74">
        <v>2742.1559869272996</v>
      </c>
      <c r="FO26" s="74">
        <v>3245.3817288874666</v>
      </c>
      <c r="FP26" s="74">
        <v>3259.3863099615251</v>
      </c>
      <c r="FQ26" s="74">
        <v>3561.3244247361808</v>
      </c>
      <c r="FR26" s="74">
        <v>3100.2187235961028</v>
      </c>
      <c r="FS26" s="74">
        <v>3316.2689138226069</v>
      </c>
      <c r="FT26" s="74">
        <v>3567.9192034813432</v>
      </c>
      <c r="FU26" s="74">
        <v>3582.8762466532694</v>
      </c>
      <c r="FV26" s="74">
        <v>3621.244452126828</v>
      </c>
      <c r="FW26" s="74">
        <v>4139.9727831498876</v>
      </c>
      <c r="FX26" s="74">
        <v>3915.8330056482791</v>
      </c>
      <c r="FY26" s="74">
        <v>6293.6472802087046</v>
      </c>
      <c r="FZ26" s="74">
        <v>2249.0370443453021</v>
      </c>
      <c r="GA26" s="74">
        <v>3168.4785283592109</v>
      </c>
      <c r="GB26" s="74">
        <v>3349.0233278602032</v>
      </c>
      <c r="GC26" s="74">
        <v>2984.4622978246839</v>
      </c>
      <c r="GD26" s="74">
        <v>3460.9398838519314</v>
      </c>
      <c r="GE26" s="74">
        <v>3503.961237694899</v>
      </c>
      <c r="GF26" s="74">
        <v>3244.2127365595566</v>
      </c>
      <c r="GG26" s="74">
        <v>2851.6394553765058</v>
      </c>
      <c r="GH26" s="74">
        <v>3143.2459837277243</v>
      </c>
      <c r="GI26" s="74">
        <v>3252.9117847177849</v>
      </c>
      <c r="GJ26" s="74">
        <v>2885.9200624859741</v>
      </c>
      <c r="GK26" s="74">
        <v>5167.8798807370058</v>
      </c>
      <c r="GL26" s="74">
        <v>2347.0160236987685</v>
      </c>
      <c r="GM26" s="74">
        <v>2749.6545851640062</v>
      </c>
      <c r="GN26" s="74">
        <v>2991.3227760361051</v>
      </c>
      <c r="GO26" s="74">
        <v>2693.4282051943451</v>
      </c>
      <c r="GP26" s="74">
        <v>2588.5706298454979</v>
      </c>
      <c r="GQ26" s="74">
        <v>2901.2334878754937</v>
      </c>
      <c r="GR26" s="74">
        <v>2686.9898989427138</v>
      </c>
      <c r="GS26" s="74">
        <v>3228.2232264399345</v>
      </c>
      <c r="GT26" s="74">
        <v>3382.7874376496102</v>
      </c>
      <c r="GU26" s="74">
        <v>3098.4637783935673</v>
      </c>
      <c r="GV26" s="74">
        <v>3420.2553180704886</v>
      </c>
      <c r="GW26" s="74">
        <v>5539.6933691236845</v>
      </c>
      <c r="GX26" s="74">
        <v>2274.8000788946015</v>
      </c>
      <c r="GY26" s="74">
        <v>2888.1433608971529</v>
      </c>
      <c r="GZ26" s="74">
        <v>3808.6279467807531</v>
      </c>
      <c r="HA26" s="74">
        <v>3112.8168984382719</v>
      </c>
      <c r="HB26" s="74">
        <v>2849.5425879655331</v>
      </c>
      <c r="HC26" s="74">
        <v>3040.6677842065792</v>
      </c>
      <c r="HD26" s="74">
        <v>2637.7647641285262</v>
      </c>
      <c r="HE26" s="74">
        <v>2999.9257719479856</v>
      </c>
      <c r="HF26" s="74">
        <v>3054.0675667847399</v>
      </c>
      <c r="HG26" s="74">
        <v>2781.5761918066473</v>
      </c>
      <c r="HH26" s="74">
        <v>3191.7177785695799</v>
      </c>
      <c r="HI26" s="74">
        <v>5439.8197424281352</v>
      </c>
    </row>
    <row r="27" spans="1:217" x14ac:dyDescent="0.35">
      <c r="A27" s="170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</row>
    <row r="28" spans="1:217" s="69" customFormat="1" x14ac:dyDescent="0.35">
      <c r="A28" s="170" t="s">
        <v>592</v>
      </c>
      <c r="B28" s="74">
        <v>116.79095040415231</v>
      </c>
      <c r="C28" s="74">
        <v>361.48818648053043</v>
      </c>
      <c r="D28" s="74">
        <v>171.16425902901722</v>
      </c>
      <c r="E28" s="74">
        <v>216.12122888163907</v>
      </c>
      <c r="F28" s="74">
        <v>220.69403583999994</v>
      </c>
      <c r="G28" s="74">
        <v>205.7229035684615</v>
      </c>
      <c r="H28" s="74">
        <v>207.36848736000002</v>
      </c>
      <c r="I28" s="74">
        <v>481.03634987999999</v>
      </c>
      <c r="J28" s="74">
        <v>193.31948489999999</v>
      </c>
      <c r="K28" s="74">
        <v>230.21446666666668</v>
      </c>
      <c r="L28" s="74">
        <v>263.23536792932697</v>
      </c>
      <c r="M28" s="74">
        <v>436.1711964823736</v>
      </c>
      <c r="N28" s="74">
        <v>247.92523520800182</v>
      </c>
      <c r="O28" s="74">
        <v>285.33192390279936</v>
      </c>
      <c r="P28" s="74">
        <v>236.91940699999998</v>
      </c>
      <c r="Q28" s="74">
        <v>246.93723602776544</v>
      </c>
      <c r="R28" s="74">
        <v>408.75463448000005</v>
      </c>
      <c r="S28" s="74">
        <v>289.05055399999998</v>
      </c>
      <c r="T28" s="74">
        <v>228.212604</v>
      </c>
      <c r="U28" s="74">
        <v>347.226563</v>
      </c>
      <c r="V28" s="74">
        <v>226.41933485999999</v>
      </c>
      <c r="W28" s="74">
        <v>251.985445</v>
      </c>
      <c r="X28" s="74">
        <v>327.50393099999997</v>
      </c>
      <c r="Y28" s="74">
        <v>443.11099999999993</v>
      </c>
      <c r="Z28" s="74">
        <v>312.92860350061392</v>
      </c>
      <c r="AA28" s="74">
        <v>442.97539575633152</v>
      </c>
      <c r="AB28" s="74">
        <v>295.24328158015078</v>
      </c>
      <c r="AC28" s="74">
        <v>351.91451804344507</v>
      </c>
      <c r="AD28" s="74">
        <v>410.79761312074993</v>
      </c>
      <c r="AE28" s="74">
        <v>312.66691647619052</v>
      </c>
      <c r="AF28" s="74">
        <v>350.98454866666663</v>
      </c>
      <c r="AG28" s="74">
        <v>434.52113579666661</v>
      </c>
      <c r="AH28" s="74">
        <v>344.57723330019138</v>
      </c>
      <c r="AI28" s="74">
        <v>310.00513768632089</v>
      </c>
      <c r="AJ28" s="74">
        <v>421.67409367368833</v>
      </c>
      <c r="AK28" s="74">
        <v>591.29941945534983</v>
      </c>
      <c r="AL28" s="74">
        <v>301.15381177235457</v>
      </c>
      <c r="AM28" s="74">
        <v>413.79043721396994</v>
      </c>
      <c r="AN28" s="74">
        <v>379.93416330347674</v>
      </c>
      <c r="AO28" s="74">
        <v>383.22456337677846</v>
      </c>
      <c r="AP28" s="74">
        <v>455.0299091042092</v>
      </c>
      <c r="AQ28" s="74">
        <v>392.85065050692481</v>
      </c>
      <c r="AR28" s="74">
        <v>406.71165631943757</v>
      </c>
      <c r="AS28" s="74">
        <v>472.79846119789073</v>
      </c>
      <c r="AT28" s="74">
        <v>457.4606960635104</v>
      </c>
      <c r="AU28" s="74">
        <v>416.12241566452826</v>
      </c>
      <c r="AV28" s="74">
        <v>495.47985716557605</v>
      </c>
      <c r="AW28" s="74">
        <v>551.63010395796414</v>
      </c>
      <c r="AX28" s="74">
        <v>380.49471610000001</v>
      </c>
      <c r="AY28" s="74">
        <v>525.34146872666668</v>
      </c>
      <c r="AZ28" s="74">
        <v>426.21211245666666</v>
      </c>
      <c r="BA28" s="74">
        <v>470.78744346937401</v>
      </c>
      <c r="BB28" s="74">
        <v>512.10300480145906</v>
      </c>
      <c r="BC28" s="74">
        <v>449.81848504666664</v>
      </c>
      <c r="BD28" s="74">
        <v>445.23606501999996</v>
      </c>
      <c r="BE28" s="74">
        <v>565.33031879789075</v>
      </c>
      <c r="BF28" s="74">
        <v>477.39169708067868</v>
      </c>
      <c r="BG28" s="74">
        <v>439.31478043230055</v>
      </c>
      <c r="BH28" s="74">
        <v>515.83407220237893</v>
      </c>
      <c r="BI28" s="74">
        <v>677.49116884920238</v>
      </c>
      <c r="BJ28" s="74">
        <v>450.16591048307487</v>
      </c>
      <c r="BK28" s="74">
        <v>577.77970433907126</v>
      </c>
      <c r="BL28" s="74">
        <v>491.49275421000004</v>
      </c>
      <c r="BM28" s="74">
        <v>474.83529128000009</v>
      </c>
      <c r="BN28" s="74">
        <v>576.01318944583329</v>
      </c>
      <c r="BO28" s="74">
        <v>474.95928674583337</v>
      </c>
      <c r="BP28" s="74">
        <v>541.84148855583339</v>
      </c>
      <c r="BQ28" s="74">
        <v>639.96631629583339</v>
      </c>
      <c r="BR28" s="74">
        <v>792.77299888671678</v>
      </c>
      <c r="BS28" s="74">
        <v>603.70587692138895</v>
      </c>
      <c r="BT28" s="74">
        <v>595.90315710583343</v>
      </c>
      <c r="BU28" s="74">
        <v>829.4985111824999</v>
      </c>
      <c r="BV28" s="74">
        <v>505.52133970557486</v>
      </c>
      <c r="BW28" s="74">
        <v>653.38297233250012</v>
      </c>
      <c r="BX28" s="74">
        <v>650.09568151250005</v>
      </c>
      <c r="BY28" s="74">
        <v>608.6073528513889</v>
      </c>
      <c r="BZ28" s="74">
        <v>643.05410180138892</v>
      </c>
      <c r="CA28" s="74">
        <v>633.81451528974719</v>
      </c>
      <c r="CB28" s="74">
        <v>597.42607436138894</v>
      </c>
      <c r="CC28" s="74">
        <v>717.0936112813888</v>
      </c>
      <c r="CD28" s="74">
        <v>659.26116697810562</v>
      </c>
      <c r="CE28" s="74">
        <v>668.77831220138899</v>
      </c>
      <c r="CF28" s="74">
        <v>628.85235171755767</v>
      </c>
      <c r="CG28" s="74">
        <v>1018.6181040375687</v>
      </c>
      <c r="CH28" s="74">
        <v>481.31668438999998</v>
      </c>
      <c r="CI28" s="74">
        <v>703.20412768583333</v>
      </c>
      <c r="CJ28" s="74">
        <v>555.68886358583336</v>
      </c>
      <c r="CK28" s="74">
        <v>645.45771443629167</v>
      </c>
      <c r="CL28" s="74">
        <v>623.93884395555551</v>
      </c>
      <c r="CM28" s="74">
        <v>632.51734732018065</v>
      </c>
      <c r="CN28" s="74">
        <v>687.61577391018045</v>
      </c>
      <c r="CO28" s="74">
        <v>980.8230653741806</v>
      </c>
      <c r="CP28" s="74">
        <v>707.93741461689729</v>
      </c>
      <c r="CQ28" s="74">
        <v>845.59198954018052</v>
      </c>
      <c r="CR28" s="74">
        <v>871.04812708234499</v>
      </c>
      <c r="CS28" s="74">
        <v>1225.9181421118874</v>
      </c>
      <c r="CT28" s="74">
        <v>739.18324600873439</v>
      </c>
      <c r="CU28" s="74">
        <v>986.21691486300278</v>
      </c>
      <c r="CV28" s="74">
        <v>1017.6137318284798</v>
      </c>
      <c r="CW28" s="74">
        <v>1227.7117679765579</v>
      </c>
      <c r="CX28" s="74">
        <v>1164.2237916875897</v>
      </c>
      <c r="CY28" s="74">
        <v>1222.018571204972</v>
      </c>
      <c r="CZ28" s="74">
        <v>1451.3368699023999</v>
      </c>
      <c r="DA28" s="74">
        <v>1415.9411175594612</v>
      </c>
      <c r="DB28" s="74">
        <v>1124.4681273694605</v>
      </c>
      <c r="DC28" s="74">
        <v>1470.6948537357925</v>
      </c>
      <c r="DD28" s="74">
        <v>1116.3488575141637</v>
      </c>
      <c r="DE28" s="74">
        <v>1824.535339749656</v>
      </c>
      <c r="DF28" s="74">
        <v>849.38325318727925</v>
      </c>
      <c r="DG28" s="74">
        <v>993.56600139418833</v>
      </c>
      <c r="DH28" s="74">
        <v>1185.3146182318465</v>
      </c>
      <c r="DI28" s="74">
        <v>1197.3412291623472</v>
      </c>
      <c r="DJ28" s="74">
        <v>1033.7980392282916</v>
      </c>
      <c r="DK28" s="74">
        <v>988.5561670591353</v>
      </c>
      <c r="DL28" s="74">
        <v>1053.693982035415</v>
      </c>
      <c r="DM28" s="74">
        <v>1060.66846550386</v>
      </c>
      <c r="DN28" s="74">
        <v>1033.1608779155949</v>
      </c>
      <c r="DO28" s="74">
        <v>1351.8176687878104</v>
      </c>
      <c r="DP28" s="74">
        <v>1153.8557184954709</v>
      </c>
      <c r="DQ28" s="74">
        <v>2029.0581114984461</v>
      </c>
      <c r="DR28" s="74">
        <v>1099.4513573983374</v>
      </c>
      <c r="DS28" s="74">
        <v>1302.1054704294797</v>
      </c>
      <c r="DT28" s="74">
        <v>1457.3528441217991</v>
      </c>
      <c r="DU28" s="74">
        <v>1334.9334781623104</v>
      </c>
      <c r="DV28" s="74">
        <v>1265.5743773227668</v>
      </c>
      <c r="DW28" s="74">
        <v>1336.5385320920436</v>
      </c>
      <c r="DX28" s="74">
        <v>1304.7835304698488</v>
      </c>
      <c r="DY28" s="74">
        <v>1426.0858103405678</v>
      </c>
      <c r="DZ28" s="74">
        <v>1296.6328620377199</v>
      </c>
      <c r="EA28" s="74">
        <v>1384.0893926507279</v>
      </c>
      <c r="EB28" s="74">
        <v>1519.0620087300026</v>
      </c>
      <c r="EC28" s="74">
        <v>2178.4731527179356</v>
      </c>
      <c r="ED28" s="74">
        <v>1306.2545162525803</v>
      </c>
      <c r="EE28" s="74">
        <v>1523.4331607876109</v>
      </c>
      <c r="EF28" s="74">
        <v>1759.3176063584392</v>
      </c>
      <c r="EG28" s="74">
        <v>1890.3911421591788</v>
      </c>
      <c r="EH28" s="74">
        <v>1794.6700490698613</v>
      </c>
      <c r="EI28" s="74">
        <v>1814.1535955947729</v>
      </c>
      <c r="EJ28" s="74">
        <v>1796.9419038065134</v>
      </c>
      <c r="EK28" s="74">
        <v>1889.0181767327676</v>
      </c>
      <c r="EL28" s="74">
        <v>1808.591557648203</v>
      </c>
      <c r="EM28" s="74">
        <v>1792.1121603648292</v>
      </c>
      <c r="EN28" s="74">
        <v>1878.9628171121412</v>
      </c>
      <c r="EO28" s="74">
        <v>2688.7557692718474</v>
      </c>
      <c r="EP28" s="74">
        <v>1576.5556782793255</v>
      </c>
      <c r="EQ28" s="74">
        <v>1707.0215882657435</v>
      </c>
      <c r="ER28" s="74">
        <v>2041.7222260990234</v>
      </c>
      <c r="ES28" s="74">
        <v>1976.2251628978515</v>
      </c>
      <c r="ET28" s="74">
        <v>1960.2888189809605</v>
      </c>
      <c r="EU28" s="74">
        <v>2023.1765927494444</v>
      </c>
      <c r="EV28" s="74">
        <v>1866.5086421006438</v>
      </c>
      <c r="EW28" s="74">
        <v>2127.6931905950996</v>
      </c>
      <c r="EX28" s="74">
        <v>2004.625198867692</v>
      </c>
      <c r="EY28" s="74">
        <v>2100.2400388897267</v>
      </c>
      <c r="EZ28" s="74">
        <v>2109.8707740005093</v>
      </c>
      <c r="FA28" s="74">
        <v>2937.1553141737095</v>
      </c>
      <c r="FB28" s="74">
        <v>1769.4578737631628</v>
      </c>
      <c r="FC28" s="74">
        <v>2050.2839003990157</v>
      </c>
      <c r="FD28" s="74">
        <v>2318.8222574030888</v>
      </c>
      <c r="FE28" s="74">
        <v>2109.9098075482775</v>
      </c>
      <c r="FF28" s="74">
        <v>2085.2691004727067</v>
      </c>
      <c r="FG28" s="74">
        <v>2288.7684116695282</v>
      </c>
      <c r="FH28" s="74">
        <v>1980.3437544273015</v>
      </c>
      <c r="FI28" s="74">
        <v>2363.0611125759633</v>
      </c>
      <c r="FJ28" s="74">
        <v>2191.283406728855</v>
      </c>
      <c r="FK28" s="74">
        <v>2185.7946900728421</v>
      </c>
      <c r="FL28" s="74">
        <v>2272.7756526636558</v>
      </c>
      <c r="FM28" s="74">
        <v>3360.8792193764675</v>
      </c>
      <c r="FN28" s="74">
        <v>1894.0208507559323</v>
      </c>
      <c r="FO28" s="74">
        <v>2005.0427640354205</v>
      </c>
      <c r="FP28" s="74">
        <v>2167.4014133162018</v>
      </c>
      <c r="FQ28" s="74">
        <v>2417.9260537402092</v>
      </c>
      <c r="FR28" s="74">
        <v>2044.631427635881</v>
      </c>
      <c r="FS28" s="74">
        <v>2179.2762672346148</v>
      </c>
      <c r="FT28" s="74">
        <v>2349.8646691587242</v>
      </c>
      <c r="FU28" s="74">
        <v>2385.3942980567376</v>
      </c>
      <c r="FV28" s="74">
        <v>2284.6158293849453</v>
      </c>
      <c r="FW28" s="74">
        <v>2509.0698245303306</v>
      </c>
      <c r="FX28" s="74">
        <v>2456.921310477549</v>
      </c>
      <c r="FY28" s="74">
        <v>4297.6843945029459</v>
      </c>
      <c r="FZ28" s="74">
        <v>1687.3865513365456</v>
      </c>
      <c r="GA28" s="74">
        <v>2117.3622262092167</v>
      </c>
      <c r="GB28" s="74">
        <v>2434.0803113973434</v>
      </c>
      <c r="GC28" s="74">
        <v>2139.2012663641995</v>
      </c>
      <c r="GD28" s="74">
        <v>2157.0754252993115</v>
      </c>
      <c r="GE28" s="74">
        <v>2436.6289154625351</v>
      </c>
      <c r="GF28" s="74">
        <v>2274.5003405427597</v>
      </c>
      <c r="GG28" s="74">
        <v>2265.4228412706116</v>
      </c>
      <c r="GH28" s="74">
        <v>2427.6378050074154</v>
      </c>
      <c r="GI28" s="74">
        <v>2152.734134379587</v>
      </c>
      <c r="GJ28" s="74">
        <v>2214.3255090428911</v>
      </c>
      <c r="GK28" s="74">
        <v>3243.6950274161904</v>
      </c>
      <c r="GL28" s="74">
        <v>1820.3430668127385</v>
      </c>
      <c r="GM28" s="74">
        <v>2122.2138166855689</v>
      </c>
      <c r="GN28" s="74">
        <v>2326.3776976385739</v>
      </c>
      <c r="GO28" s="74">
        <v>2054.1384834343453</v>
      </c>
      <c r="GP28" s="74">
        <v>1984.339972379034</v>
      </c>
      <c r="GQ28" s="74">
        <v>2212.8435434649505</v>
      </c>
      <c r="GR28" s="74">
        <v>1897.1919666708923</v>
      </c>
      <c r="GS28" s="74">
        <v>2278.588035802431</v>
      </c>
      <c r="GT28" s="74">
        <v>2245.411887992133</v>
      </c>
      <c r="GU28" s="74">
        <v>2204.56087275035</v>
      </c>
      <c r="GV28" s="74">
        <v>2158.3742448531484</v>
      </c>
      <c r="GW28" s="74">
        <v>3299.3164527325766</v>
      </c>
      <c r="GX28" s="74">
        <v>1865.6438472698376</v>
      </c>
      <c r="GY28" s="74">
        <v>2054.8318935398988</v>
      </c>
      <c r="GZ28" s="74">
        <v>2715.8401371309355</v>
      </c>
      <c r="HA28" s="74">
        <v>2250.6126985487563</v>
      </c>
      <c r="HB28" s="74">
        <v>2214.0088991441166</v>
      </c>
      <c r="HC28" s="74">
        <v>2459.7053846781687</v>
      </c>
      <c r="HD28" s="74">
        <v>2081.6059647489956</v>
      </c>
      <c r="HE28" s="74">
        <v>2401.9707155067663</v>
      </c>
      <c r="HF28" s="74">
        <v>2475.6402875127424</v>
      </c>
      <c r="HG28" s="74">
        <v>2132.410626064695</v>
      </c>
      <c r="HH28" s="74">
        <v>2211.6766444327031</v>
      </c>
      <c r="HI28" s="74">
        <v>3543.3918576545375</v>
      </c>
    </row>
    <row r="29" spans="1:217" s="69" customFormat="1" x14ac:dyDescent="0.35">
      <c r="A29" s="166" t="s">
        <v>593</v>
      </c>
      <c r="B29" s="76">
        <v>53.103459400540316</v>
      </c>
      <c r="C29" s="76">
        <v>195.29571438000002</v>
      </c>
      <c r="D29" s="76">
        <v>43.616672504535373</v>
      </c>
      <c r="E29" s="76">
        <v>77.40068337999999</v>
      </c>
      <c r="F29" s="76">
        <v>96.987106579999988</v>
      </c>
      <c r="G29" s="76">
        <v>48.982275749999999</v>
      </c>
      <c r="H29" s="76">
        <v>56.136904440000002</v>
      </c>
      <c r="I29" s="76">
        <v>287.91571738000005</v>
      </c>
      <c r="J29" s="76">
        <v>46.498449540000003</v>
      </c>
      <c r="K29" s="76">
        <v>41.659080000000003</v>
      </c>
      <c r="L29" s="76">
        <v>54.85830969203586</v>
      </c>
      <c r="M29" s="76">
        <v>49.945</v>
      </c>
      <c r="N29" s="76">
        <v>73.287181000000004</v>
      </c>
      <c r="O29" s="76">
        <v>113.847058</v>
      </c>
      <c r="P29" s="76">
        <v>42.261406999999998</v>
      </c>
      <c r="Q29" s="76">
        <v>45.393519000000005</v>
      </c>
      <c r="R29" s="76">
        <v>186.51463448000001</v>
      </c>
      <c r="S29" s="76">
        <v>47.495453999999995</v>
      </c>
      <c r="T29" s="76">
        <v>52.075294</v>
      </c>
      <c r="U29" s="76">
        <v>140.00139999999999</v>
      </c>
      <c r="V29" s="76">
        <v>44.936434859999999</v>
      </c>
      <c r="W29" s="76">
        <v>34.809244999999997</v>
      </c>
      <c r="X29" s="76">
        <v>123.30603099999999</v>
      </c>
      <c r="Y29" s="76">
        <v>92.18</v>
      </c>
      <c r="Z29" s="76">
        <v>59.297530008722177</v>
      </c>
      <c r="AA29" s="76">
        <v>115.38043875633157</v>
      </c>
      <c r="AB29" s="76">
        <v>35.502203580150756</v>
      </c>
      <c r="AC29" s="76">
        <v>51.624704043445092</v>
      </c>
      <c r="AD29" s="76">
        <v>107.50669634809525</v>
      </c>
      <c r="AE29" s="76">
        <v>39.209940476190475</v>
      </c>
      <c r="AF29" s="76">
        <v>41.974321666666661</v>
      </c>
      <c r="AG29" s="76">
        <v>129.25263579666668</v>
      </c>
      <c r="AH29" s="76">
        <v>32.082825386666663</v>
      </c>
      <c r="AI29" s="76">
        <v>30.024416666666664</v>
      </c>
      <c r="AJ29" s="76">
        <v>116.14137265403419</v>
      </c>
      <c r="AK29" s="76">
        <v>83.554204608201985</v>
      </c>
      <c r="AL29" s="76">
        <v>36.103462342055522</v>
      </c>
      <c r="AM29" s="76">
        <v>122.17901789761108</v>
      </c>
      <c r="AN29" s="76">
        <v>24.389017897611073</v>
      </c>
      <c r="AO29" s="76">
        <v>45.200563376778433</v>
      </c>
      <c r="AP29" s="76">
        <v>113.97390472479245</v>
      </c>
      <c r="AQ29" s="76">
        <v>41.459815479941192</v>
      </c>
      <c r="AR29" s="76">
        <v>33.744989652770869</v>
      </c>
      <c r="AS29" s="76">
        <v>126.83846119789075</v>
      </c>
      <c r="AT29" s="76">
        <v>34.86</v>
      </c>
      <c r="AU29" s="76">
        <v>65.695141378967264</v>
      </c>
      <c r="AV29" s="76">
        <v>121.77128275793453</v>
      </c>
      <c r="AW29" s="76">
        <v>53.34477062463079</v>
      </c>
      <c r="AX29" s="76">
        <v>37.298000000000002</v>
      </c>
      <c r="AY29" s="76">
        <v>138.97559799999999</v>
      </c>
      <c r="AZ29" s="76">
        <v>36.256786999999996</v>
      </c>
      <c r="BA29" s="76">
        <v>55.87192130937413</v>
      </c>
      <c r="BB29" s="76">
        <v>100.94707772479245</v>
      </c>
      <c r="BC29" s="76">
        <v>40.855555555555561</v>
      </c>
      <c r="BD29" s="76">
        <v>26.717000000000002</v>
      </c>
      <c r="BE29" s="76">
        <v>128.32546119789075</v>
      </c>
      <c r="BF29" s="76">
        <v>31.539000000000001</v>
      </c>
      <c r="BG29" s="76">
        <v>39.980141378967268</v>
      </c>
      <c r="BH29" s="76">
        <v>96.686282757934521</v>
      </c>
      <c r="BI29" s="76">
        <v>63.138787738091281</v>
      </c>
      <c r="BJ29" s="76">
        <v>33.329881999999998</v>
      </c>
      <c r="BK29" s="76">
        <v>146.23312182240468</v>
      </c>
      <c r="BL29" s="76">
        <v>27.133063</v>
      </c>
      <c r="BM29" s="76">
        <v>53.186931000000001</v>
      </c>
      <c r="BN29" s="76">
        <v>95.995409999999993</v>
      </c>
      <c r="BO29" s="76">
        <v>29.913245</v>
      </c>
      <c r="BP29" s="76">
        <v>32.987112999999994</v>
      </c>
      <c r="BQ29" s="76">
        <v>145.65334200000001</v>
      </c>
      <c r="BR29" s="76">
        <v>23.930156799999999</v>
      </c>
      <c r="BS29" s="76">
        <v>50.937781000000001</v>
      </c>
      <c r="BT29" s="76">
        <v>116.27897899999999</v>
      </c>
      <c r="BU29" s="76">
        <v>51.112748999999994</v>
      </c>
      <c r="BV29" s="76">
        <v>36.57553944</v>
      </c>
      <c r="BW29" s="76">
        <v>152.33117317</v>
      </c>
      <c r="BX29" s="76">
        <v>22.035857630000002</v>
      </c>
      <c r="BY29" s="76">
        <v>64.10470866</v>
      </c>
      <c r="BZ29" s="76">
        <v>100.17287254</v>
      </c>
      <c r="CA29" s="76">
        <v>74.059599779999999</v>
      </c>
      <c r="CB29" s="76">
        <v>21.333184969999998</v>
      </c>
      <c r="CC29" s="76">
        <v>177.64344353999999</v>
      </c>
      <c r="CD29" s="76">
        <v>36.818171100000001</v>
      </c>
      <c r="CE29" s="76">
        <v>65.679443200000009</v>
      </c>
      <c r="CF29" s="76">
        <v>58.562307770629729</v>
      </c>
      <c r="CG29" s="76">
        <v>86.865522315168718</v>
      </c>
      <c r="CH29" s="76">
        <v>21.994916380000006</v>
      </c>
      <c r="CI29" s="76">
        <v>170.34982371999999</v>
      </c>
      <c r="CJ29" s="76">
        <v>30.104544009999998</v>
      </c>
      <c r="CK29" s="76">
        <v>74.919682389999991</v>
      </c>
      <c r="CL29" s="76">
        <v>51.651672389999995</v>
      </c>
      <c r="CM29" s="76">
        <v>67.240720330000002</v>
      </c>
      <c r="CN29" s="76">
        <v>14.163494190000002</v>
      </c>
      <c r="CO29" s="76">
        <v>166.01413889999998</v>
      </c>
      <c r="CP29" s="76">
        <v>26.291448599999999</v>
      </c>
      <c r="CQ29" s="76">
        <v>69.109839219999998</v>
      </c>
      <c r="CR29" s="76">
        <v>69.282980119627126</v>
      </c>
      <c r="CS29" s="76">
        <v>100.50771384755667</v>
      </c>
      <c r="CT29" s="76">
        <v>16.765039180000002</v>
      </c>
      <c r="CU29" s="76">
        <v>159.27100296999998</v>
      </c>
      <c r="CV29" s="76">
        <v>17.265811960000001</v>
      </c>
      <c r="CW29" s="76">
        <v>74.558939080000002</v>
      </c>
      <c r="CX29" s="76">
        <v>45.294385859999998</v>
      </c>
      <c r="CY29" s="76">
        <v>77.65670381000001</v>
      </c>
      <c r="CZ29" s="76">
        <v>9.785928590000001</v>
      </c>
      <c r="DA29" s="76">
        <v>151.59252221999998</v>
      </c>
      <c r="DB29" s="76">
        <v>12.855115510000001</v>
      </c>
      <c r="DC29" s="76">
        <v>52.154872059999995</v>
      </c>
      <c r="DD29" s="76">
        <v>14.433000000000002</v>
      </c>
      <c r="DE29" s="76">
        <v>72.960278340000002</v>
      </c>
      <c r="DF29" s="76">
        <v>10.863704949999999</v>
      </c>
      <c r="DG29" s="76">
        <v>21.484633219999999</v>
      </c>
      <c r="DH29" s="76">
        <v>11.504350160000001</v>
      </c>
      <c r="DI29" s="76">
        <v>53.605278730000009</v>
      </c>
      <c r="DJ29" s="76">
        <v>12.957931115882353</v>
      </c>
      <c r="DK29" s="76">
        <v>70.176259415882356</v>
      </c>
      <c r="DL29" s="76">
        <v>8.4902992799999986</v>
      </c>
      <c r="DM29" s="76">
        <v>20.506488614621848</v>
      </c>
      <c r="DN29" s="76">
        <v>10.684950028655461</v>
      </c>
      <c r="DO29" s="76">
        <v>43.792127149999999</v>
      </c>
      <c r="DP29" s="76">
        <v>12.060708038151258</v>
      </c>
      <c r="DQ29" s="76">
        <v>72.910091943706817</v>
      </c>
      <c r="DR29" s="76">
        <v>17.394753205740837</v>
      </c>
      <c r="DS29" s="76">
        <v>25.907482032624802</v>
      </c>
      <c r="DT29" s="76">
        <v>14.167673476544097</v>
      </c>
      <c r="DU29" s="76">
        <v>41.984929098980082</v>
      </c>
      <c r="DV29" s="76">
        <v>15.798555840519878</v>
      </c>
      <c r="DW29" s="76">
        <v>80.056795492135848</v>
      </c>
      <c r="DX29" s="76">
        <v>16.731309099448026</v>
      </c>
      <c r="DY29" s="76">
        <v>33.068465650941192</v>
      </c>
      <c r="DZ29" s="76">
        <v>24.921154241954444</v>
      </c>
      <c r="EA29" s="76">
        <v>37.267601184264052</v>
      </c>
      <c r="EB29" s="76">
        <v>22.873148378670933</v>
      </c>
      <c r="EC29" s="76">
        <v>82.48211265562793</v>
      </c>
      <c r="ED29" s="76">
        <v>13.184999888214978</v>
      </c>
      <c r="EE29" s="76">
        <v>37.023555775984761</v>
      </c>
      <c r="EF29" s="76">
        <v>26.46798267663894</v>
      </c>
      <c r="EG29" s="76">
        <v>38.239888653877593</v>
      </c>
      <c r="EH29" s="76">
        <v>43.479864622295501</v>
      </c>
      <c r="EI29" s="76">
        <v>79.909130069822183</v>
      </c>
      <c r="EJ29" s="76">
        <v>16.431320479591214</v>
      </c>
      <c r="EK29" s="76">
        <v>39.925634772602123</v>
      </c>
      <c r="EL29" s="76">
        <v>29.456893910000002</v>
      </c>
      <c r="EM29" s="76">
        <v>30.61027364434435</v>
      </c>
      <c r="EN29" s="76">
        <v>42.836108002739337</v>
      </c>
      <c r="EO29" s="76">
        <v>104.52479538022315</v>
      </c>
      <c r="EP29" s="76">
        <v>15.003595542486831</v>
      </c>
      <c r="EQ29" s="76">
        <v>36.56378496259584</v>
      </c>
      <c r="ER29" s="76">
        <v>71.330700687210509</v>
      </c>
      <c r="ES29" s="76">
        <v>32.505777165004403</v>
      </c>
      <c r="ET29" s="76">
        <v>43.592109896781281</v>
      </c>
      <c r="EU29" s="76">
        <v>137.62834883319027</v>
      </c>
      <c r="EV29" s="76">
        <v>14.248877988439446</v>
      </c>
      <c r="EW29" s="76">
        <v>49.330795410507577</v>
      </c>
      <c r="EX29" s="76">
        <v>70.196804358888471</v>
      </c>
      <c r="EY29" s="76">
        <v>29.310687646362904</v>
      </c>
      <c r="EZ29" s="76">
        <v>37.534839472325366</v>
      </c>
      <c r="FA29" s="76">
        <v>114.86072845818083</v>
      </c>
      <c r="FB29" s="76">
        <v>21.482383402085265</v>
      </c>
      <c r="FC29" s="76">
        <v>40.078373557394386</v>
      </c>
      <c r="FD29" s="76">
        <v>106.98260189706606</v>
      </c>
      <c r="FE29" s="76">
        <v>33.313418346134021</v>
      </c>
      <c r="FF29" s="76">
        <v>88.680338142871051</v>
      </c>
      <c r="FG29" s="76">
        <v>185.181347519719</v>
      </c>
      <c r="FH29" s="76">
        <v>9.8533465208517068</v>
      </c>
      <c r="FI29" s="76">
        <v>34.566190295181791</v>
      </c>
      <c r="FJ29" s="76">
        <v>131.37255746272899</v>
      </c>
      <c r="FK29" s="76">
        <v>40.087030008881925</v>
      </c>
      <c r="FL29" s="76">
        <v>90.860552059538705</v>
      </c>
      <c r="FM29" s="76">
        <v>188.16802577576016</v>
      </c>
      <c r="FN29" s="76">
        <v>31.305672713686278</v>
      </c>
      <c r="FO29" s="76">
        <v>48.57153359969999</v>
      </c>
      <c r="FP29" s="76">
        <v>155.58246695580604</v>
      </c>
      <c r="FQ29" s="76">
        <v>44.718939310154568</v>
      </c>
      <c r="FR29" s="76">
        <v>40.859833725653203</v>
      </c>
      <c r="FS29" s="76">
        <v>142.92785600436639</v>
      </c>
      <c r="FT29" s="76">
        <v>26.470465174349862</v>
      </c>
      <c r="FU29" s="76">
        <v>40.581345086737578</v>
      </c>
      <c r="FV29" s="76">
        <v>148.93745886537042</v>
      </c>
      <c r="FW29" s="76">
        <v>42.48829895028193</v>
      </c>
      <c r="FX29" s="76">
        <v>48.478425152027732</v>
      </c>
      <c r="FY29" s="76">
        <v>252.68352935802986</v>
      </c>
      <c r="FZ29" s="76">
        <v>28.999294625951467</v>
      </c>
      <c r="GA29" s="76">
        <v>47.338474118949009</v>
      </c>
      <c r="GB29" s="76">
        <v>241.89580674494258</v>
      </c>
      <c r="GC29" s="76">
        <v>39.394990211438291</v>
      </c>
      <c r="GD29" s="76">
        <v>77.252677892850159</v>
      </c>
      <c r="GE29" s="76">
        <v>252.47906901800411</v>
      </c>
      <c r="GF29" s="76">
        <v>36.500304762671249</v>
      </c>
      <c r="GG29" s="76">
        <v>51.58839386061198</v>
      </c>
      <c r="GH29" s="76">
        <v>269.42796909614231</v>
      </c>
      <c r="GI29" s="76">
        <v>44.509335116614636</v>
      </c>
      <c r="GJ29" s="76">
        <v>78.342232210884347</v>
      </c>
      <c r="GK29" s="76">
        <v>253.59005007698227</v>
      </c>
      <c r="GL29" s="76">
        <v>47.111114911184657</v>
      </c>
      <c r="GM29" s="76">
        <v>47.53784272182321</v>
      </c>
      <c r="GN29" s="76">
        <v>266.67980234972424</v>
      </c>
      <c r="GO29" s="76">
        <v>40.687825683302108</v>
      </c>
      <c r="GP29" s="76">
        <v>75.02308416531902</v>
      </c>
      <c r="GQ29" s="76">
        <v>255.45138640477825</v>
      </c>
      <c r="GR29" s="76">
        <v>61.280394815709485</v>
      </c>
      <c r="GS29" s="76">
        <v>61.927210478258026</v>
      </c>
      <c r="GT29" s="76">
        <v>269.37507816655295</v>
      </c>
      <c r="GU29" s="76">
        <v>68.906312349331756</v>
      </c>
      <c r="GV29" s="76">
        <v>67.904028711990989</v>
      </c>
      <c r="GW29" s="76">
        <v>298.78322245876768</v>
      </c>
      <c r="GX29" s="73">
        <v>78.818726165150451</v>
      </c>
      <c r="GY29" s="73">
        <v>73.836784202821931</v>
      </c>
      <c r="GZ29" s="73">
        <v>421.75303294164507</v>
      </c>
      <c r="HA29" s="73">
        <v>77.500801772780804</v>
      </c>
      <c r="HB29" s="73">
        <v>105.76514312001869</v>
      </c>
      <c r="HC29" s="73">
        <v>303.63811106944956</v>
      </c>
      <c r="HD29" s="73">
        <v>88.823008989908161</v>
      </c>
      <c r="HE29" s="73">
        <v>91.620497666653563</v>
      </c>
      <c r="HF29" s="73">
        <v>408.53330682262799</v>
      </c>
      <c r="HG29" s="73">
        <v>85.81455800458815</v>
      </c>
      <c r="HH29" s="73">
        <v>82.182852852590159</v>
      </c>
      <c r="HI29" s="73">
        <v>391.10210152440987</v>
      </c>
    </row>
    <row r="30" spans="1:217" s="69" customFormat="1" x14ac:dyDescent="0.35">
      <c r="A30" s="166" t="s">
        <v>498</v>
      </c>
      <c r="B30" s="76">
        <v>33.41596360348862</v>
      </c>
      <c r="C30" s="76">
        <v>176.82217700000001</v>
      </c>
      <c r="D30" s="76">
        <v>40.320396504535374</v>
      </c>
      <c r="E30" s="76">
        <v>50.471879689999994</v>
      </c>
      <c r="F30" s="76">
        <v>62.960656739999997</v>
      </c>
      <c r="G30" s="76">
        <v>37.566166000000003</v>
      </c>
      <c r="H30" s="76">
        <v>41.112448010000001</v>
      </c>
      <c r="I30" s="76">
        <v>270.09810757000002</v>
      </c>
      <c r="J30" s="76">
        <v>37.763124040000001</v>
      </c>
      <c r="K30" s="76">
        <v>23.92708</v>
      </c>
      <c r="L30" s="76">
        <v>37.565069692035863</v>
      </c>
      <c r="M30" s="76">
        <v>41.395000000000003</v>
      </c>
      <c r="N30" s="76">
        <v>47.669999999999995</v>
      </c>
      <c r="O30" s="76">
        <v>94.114000000000004</v>
      </c>
      <c r="P30" s="76">
        <v>35.808999999999997</v>
      </c>
      <c r="Q30" s="76">
        <v>23.326000000000001</v>
      </c>
      <c r="R30" s="76">
        <v>177.53300000000002</v>
      </c>
      <c r="S30" s="76">
        <v>44.070999999999998</v>
      </c>
      <c r="T30" s="76">
        <v>37.636000000000003</v>
      </c>
      <c r="U30" s="76">
        <v>110.179</v>
      </c>
      <c r="V30" s="76">
        <v>36.199599999999997</v>
      </c>
      <c r="W30" s="76">
        <v>18.370999999999999</v>
      </c>
      <c r="X30" s="76">
        <v>114.22399999999999</v>
      </c>
      <c r="Y30" s="76">
        <v>39.9</v>
      </c>
      <c r="Z30" s="76">
        <v>29.889416666666666</v>
      </c>
      <c r="AA30" s="76">
        <v>102.42433741427605</v>
      </c>
      <c r="AB30" s="76">
        <v>31.67984523809524</v>
      </c>
      <c r="AC30" s="76">
        <v>35.304416666666668</v>
      </c>
      <c r="AD30" s="76">
        <v>105.18434523809525</v>
      </c>
      <c r="AE30" s="76">
        <v>31.293940476190478</v>
      </c>
      <c r="AF30" s="76">
        <v>23.284416666666665</v>
      </c>
      <c r="AG30" s="76">
        <v>106.42941666666668</v>
      </c>
      <c r="AH30" s="76">
        <v>30.636416666666666</v>
      </c>
      <c r="AI30" s="76">
        <v>19.170416666666664</v>
      </c>
      <c r="AJ30" s="76">
        <v>110.04137265403419</v>
      </c>
      <c r="AK30" s="76">
        <v>39.413416870110694</v>
      </c>
      <c r="AL30" s="76">
        <v>21.3</v>
      </c>
      <c r="AM30" s="76">
        <v>120.5</v>
      </c>
      <c r="AN30" s="76">
        <v>21.1</v>
      </c>
      <c r="AO30" s="76">
        <v>29.6</v>
      </c>
      <c r="AP30" s="76">
        <v>97.5</v>
      </c>
      <c r="AQ30" s="76">
        <v>26.7</v>
      </c>
      <c r="AR30" s="76">
        <v>19.8</v>
      </c>
      <c r="AS30" s="76">
        <v>113.6</v>
      </c>
      <c r="AT30" s="76">
        <v>23</v>
      </c>
      <c r="AU30" s="76">
        <v>31.6</v>
      </c>
      <c r="AV30" s="76">
        <v>93.1</v>
      </c>
      <c r="AW30" s="76">
        <v>36.299999999999997</v>
      </c>
      <c r="AX30" s="76">
        <v>16</v>
      </c>
      <c r="AY30" s="76">
        <v>124.5</v>
      </c>
      <c r="AZ30" s="76">
        <v>24.8</v>
      </c>
      <c r="BA30" s="76">
        <v>31</v>
      </c>
      <c r="BB30" s="76">
        <v>92.2</v>
      </c>
      <c r="BC30" s="76">
        <v>22.5</v>
      </c>
      <c r="BD30" s="76">
        <v>15.441000000000001</v>
      </c>
      <c r="BE30" s="76">
        <v>123.3</v>
      </c>
      <c r="BF30" s="76">
        <v>27.2</v>
      </c>
      <c r="BG30" s="76">
        <v>28.6</v>
      </c>
      <c r="BH30" s="76">
        <v>93.1</v>
      </c>
      <c r="BI30" s="76">
        <v>24</v>
      </c>
      <c r="BJ30" s="76">
        <v>16.039000000000001</v>
      </c>
      <c r="BK30" s="76">
        <v>136.346</v>
      </c>
      <c r="BL30" s="76">
        <v>19.646000000000001</v>
      </c>
      <c r="BM30" s="76">
        <v>36.911999999999999</v>
      </c>
      <c r="BN30" s="76">
        <v>94.8</v>
      </c>
      <c r="BO30" s="76">
        <v>23.428000000000001</v>
      </c>
      <c r="BP30" s="76">
        <v>17.553999999999998</v>
      </c>
      <c r="BQ30" s="76">
        <v>134.41600000000003</v>
      </c>
      <c r="BR30" s="76">
        <v>19.593999999999998</v>
      </c>
      <c r="BS30" s="76">
        <v>28.594000000000001</v>
      </c>
      <c r="BT30" s="76">
        <v>109.199</v>
      </c>
      <c r="BU30" s="76">
        <v>25.125999999999998</v>
      </c>
      <c r="BV30" s="76">
        <v>16.407</v>
      </c>
      <c r="BW30" s="76">
        <v>145.78</v>
      </c>
      <c r="BX30" s="76">
        <v>18.925000000000001</v>
      </c>
      <c r="BY30" s="76">
        <v>49.286000000000001</v>
      </c>
      <c r="BZ30" s="76">
        <v>97.905000000000001</v>
      </c>
      <c r="CA30" s="76">
        <v>63.573</v>
      </c>
      <c r="CB30" s="76">
        <v>12.984999999999999</v>
      </c>
      <c r="CC30" s="76">
        <v>156.625</v>
      </c>
      <c r="CD30" s="76">
        <v>21.658999999999999</v>
      </c>
      <c r="CE30" s="76">
        <v>55.349000000000004</v>
      </c>
      <c r="CF30" s="76">
        <v>51.37</v>
      </c>
      <c r="CG30" s="76">
        <v>62.413999999999994</v>
      </c>
      <c r="CH30" s="76">
        <v>11.316000000000001</v>
      </c>
      <c r="CI30" s="76">
        <v>165.21299999999999</v>
      </c>
      <c r="CJ30" s="76">
        <v>26.482999999999997</v>
      </c>
      <c r="CK30" s="76">
        <v>60.480999999999995</v>
      </c>
      <c r="CL30" s="76">
        <v>48.854999999999997</v>
      </c>
      <c r="CM30" s="76">
        <v>59.939</v>
      </c>
      <c r="CN30" s="76">
        <v>9.3480000000000008</v>
      </c>
      <c r="CO30" s="76">
        <v>156.44399999999999</v>
      </c>
      <c r="CP30" s="76">
        <v>21.498999999999999</v>
      </c>
      <c r="CQ30" s="76">
        <v>56.8</v>
      </c>
      <c r="CR30" s="76">
        <v>65.28</v>
      </c>
      <c r="CS30" s="76">
        <v>83.106000000000009</v>
      </c>
      <c r="CT30" s="76">
        <v>10.855</v>
      </c>
      <c r="CU30" s="76">
        <v>156.077</v>
      </c>
      <c r="CV30" s="76">
        <v>15.908000000000001</v>
      </c>
      <c r="CW30" s="76">
        <v>64.417000000000002</v>
      </c>
      <c r="CX30" s="76">
        <v>44.917999999999999</v>
      </c>
      <c r="CY30" s="76">
        <v>73.553000000000011</v>
      </c>
      <c r="CZ30" s="76">
        <v>8.83</v>
      </c>
      <c r="DA30" s="76">
        <v>150.08699999999999</v>
      </c>
      <c r="DB30" s="76">
        <v>10.728</v>
      </c>
      <c r="DC30" s="76">
        <v>43.794000000000004</v>
      </c>
      <c r="DD30" s="76">
        <v>14.311000000000002</v>
      </c>
      <c r="DE30" s="76">
        <v>66.658000000000001</v>
      </c>
      <c r="DF30" s="76">
        <v>9.907</v>
      </c>
      <c r="DG30" s="76">
        <v>21.003</v>
      </c>
      <c r="DH30" s="76">
        <v>10.651000000000002</v>
      </c>
      <c r="DI30" s="76">
        <v>48.669000000000004</v>
      </c>
      <c r="DJ30" s="76">
        <v>12.651</v>
      </c>
      <c r="DK30" s="76">
        <v>66.603999999999999</v>
      </c>
      <c r="DL30" s="76">
        <v>8.3509999999999991</v>
      </c>
      <c r="DM30" s="76">
        <v>19.201999999999998</v>
      </c>
      <c r="DN30" s="76">
        <v>8.4459999999999997</v>
      </c>
      <c r="DO30" s="76">
        <v>41.061</v>
      </c>
      <c r="DP30" s="76">
        <v>10.636999999999997</v>
      </c>
      <c r="DQ30" s="76">
        <v>65.510999999999996</v>
      </c>
      <c r="DR30" s="76">
        <v>15.526386975740838</v>
      </c>
      <c r="DS30" s="76">
        <v>25.816979312624799</v>
      </c>
      <c r="DT30" s="76">
        <v>13.232119186544097</v>
      </c>
      <c r="DU30" s="76">
        <v>36.829797822201655</v>
      </c>
      <c r="DV30" s="76">
        <v>15.525006391282986</v>
      </c>
      <c r="DW30" s="76">
        <v>77.667736012135848</v>
      </c>
      <c r="DX30" s="76">
        <v>15.564977749448026</v>
      </c>
      <c r="DY30" s="76">
        <v>21.145722613923134</v>
      </c>
      <c r="DZ30" s="76">
        <v>23.117961561954445</v>
      </c>
      <c r="EA30" s="76">
        <v>33.743685495296774</v>
      </c>
      <c r="EB30" s="76">
        <v>21.483885260736386</v>
      </c>
      <c r="EC30" s="76">
        <v>77.58955164975886</v>
      </c>
      <c r="ED30" s="76">
        <v>11.772675398215013</v>
      </c>
      <c r="EE30" s="76">
        <v>33.165247185984754</v>
      </c>
      <c r="EF30" s="76">
        <v>24.36225763663894</v>
      </c>
      <c r="EG30" s="76">
        <v>34.081697317099163</v>
      </c>
      <c r="EH30" s="76">
        <v>37.618556737295492</v>
      </c>
      <c r="EI30" s="76">
        <v>76.402826349822178</v>
      </c>
      <c r="EJ30" s="76">
        <v>15.201496549591209</v>
      </c>
      <c r="EK30" s="76">
        <v>38.473557673483853</v>
      </c>
      <c r="EL30" s="76">
        <v>27.92</v>
      </c>
      <c r="EM30" s="76">
        <v>27.82543775434435</v>
      </c>
      <c r="EN30" s="76">
        <v>34.668521091439331</v>
      </c>
      <c r="EO30" s="76">
        <v>90.136242020223165</v>
      </c>
      <c r="EP30" s="76">
        <v>12.921592502486828</v>
      </c>
      <c r="EQ30" s="76">
        <v>35.09956445259585</v>
      </c>
      <c r="ER30" s="76">
        <v>68.986149737210511</v>
      </c>
      <c r="ES30" s="76">
        <v>26.7563401750044</v>
      </c>
      <c r="ET30" s="76">
        <v>29.206127536381274</v>
      </c>
      <c r="EU30" s="76">
        <v>109.42550354319027</v>
      </c>
      <c r="EV30" s="76">
        <v>10.97945986843944</v>
      </c>
      <c r="EW30" s="76">
        <v>29.21198813600758</v>
      </c>
      <c r="EX30" s="76">
        <v>55.683079920354366</v>
      </c>
      <c r="EY30" s="76">
        <v>21.841726746228808</v>
      </c>
      <c r="EZ30" s="76">
        <v>27.284920088375902</v>
      </c>
      <c r="FA30" s="76">
        <v>106.03265137124167</v>
      </c>
      <c r="FB30" s="76">
        <v>18.682711968676344</v>
      </c>
      <c r="FC30" s="76">
        <v>25.696393203635878</v>
      </c>
      <c r="FD30" s="76">
        <v>91.900396347881681</v>
      </c>
      <c r="FE30" s="76">
        <v>20.029282621678526</v>
      </c>
      <c r="FF30" s="76">
        <v>21.075133193490775</v>
      </c>
      <c r="FG30" s="76">
        <v>171.7050391796767</v>
      </c>
      <c r="FH30" s="76">
        <v>6.2998416441811571</v>
      </c>
      <c r="FI30" s="76">
        <v>25.970691598226175</v>
      </c>
      <c r="FJ30" s="76">
        <v>115.46083725290714</v>
      </c>
      <c r="FK30" s="76">
        <v>27.66087593408167</v>
      </c>
      <c r="FL30" s="76">
        <v>21.25797315376634</v>
      </c>
      <c r="FM30" s="76">
        <v>167.99080863230185</v>
      </c>
      <c r="FN30" s="76">
        <v>24.721472027922708</v>
      </c>
      <c r="FO30" s="76">
        <v>41.424902936381898</v>
      </c>
      <c r="FP30" s="76">
        <v>137.06108089057346</v>
      </c>
      <c r="FQ30" s="76">
        <v>25.406955360152651</v>
      </c>
      <c r="FR30" s="76">
        <v>20.28749575115398</v>
      </c>
      <c r="FS30" s="76">
        <v>125.43710088066675</v>
      </c>
      <c r="FT30" s="76">
        <v>19.374736452755027</v>
      </c>
      <c r="FU30" s="76">
        <v>29.321233505270328</v>
      </c>
      <c r="FV30" s="76">
        <v>128.86361493163849</v>
      </c>
      <c r="FW30" s="76">
        <v>23.341954360754265</v>
      </c>
      <c r="FX30" s="76">
        <v>25.46763111204929</v>
      </c>
      <c r="FY30" s="76">
        <v>227.81672697041779</v>
      </c>
      <c r="FZ30" s="76">
        <v>19.592072047357597</v>
      </c>
      <c r="GA30" s="76">
        <v>34.731825151216498</v>
      </c>
      <c r="GB30" s="76">
        <v>218.72879069430843</v>
      </c>
      <c r="GC30" s="76">
        <v>19.00862055137636</v>
      </c>
      <c r="GD30" s="76">
        <v>28.728640017006374</v>
      </c>
      <c r="GE30" s="76">
        <v>230.60007756686895</v>
      </c>
      <c r="GF30" s="76">
        <v>28.163976770045409</v>
      </c>
      <c r="GG30" s="76">
        <v>39.189641925448896</v>
      </c>
      <c r="GH30" s="76">
        <v>243.28384830237809</v>
      </c>
      <c r="GI30" s="76">
        <v>22.348236541383489</v>
      </c>
      <c r="GJ30" s="76">
        <v>28.835758275369898</v>
      </c>
      <c r="GK30" s="76">
        <v>230.14547289021172</v>
      </c>
      <c r="GL30" s="76">
        <v>36.67753074905761</v>
      </c>
      <c r="GM30" s="76">
        <v>34.576766925838911</v>
      </c>
      <c r="GN30" s="76">
        <v>243.19787755574777</v>
      </c>
      <c r="GO30" s="76">
        <v>19.261527436230015</v>
      </c>
      <c r="GP30" s="76">
        <v>58.826185416445739</v>
      </c>
      <c r="GQ30" s="76">
        <v>231.15020001723846</v>
      </c>
      <c r="GR30" s="76">
        <v>47.411855520761961</v>
      </c>
      <c r="GS30" s="76">
        <v>47.705862798492952</v>
      </c>
      <c r="GT30" s="76">
        <v>244.52019363714621</v>
      </c>
      <c r="GU30" s="76">
        <v>48.851304098277268</v>
      </c>
      <c r="GV30" s="76">
        <v>48.728147140266159</v>
      </c>
      <c r="GW30" s="76">
        <v>273.89592184222568</v>
      </c>
      <c r="GX30" s="73">
        <v>65.03626095666462</v>
      </c>
      <c r="GY30" s="73">
        <v>50.57426467770059</v>
      </c>
      <c r="GZ30" s="73">
        <v>391.14416510129024</v>
      </c>
      <c r="HA30" s="73">
        <v>56.641637758665077</v>
      </c>
      <c r="HB30" s="73">
        <v>65.014821890233733</v>
      </c>
      <c r="HC30" s="73">
        <v>278.97287425700694</v>
      </c>
      <c r="HD30" s="73">
        <v>71.306806385170958</v>
      </c>
      <c r="HE30" s="73">
        <v>48.803113493828576</v>
      </c>
      <c r="HF30" s="73">
        <v>353.16727501545301</v>
      </c>
      <c r="HG30" s="73">
        <v>57.298197869413123</v>
      </c>
      <c r="HH30" s="73">
        <v>51.048720347503313</v>
      </c>
      <c r="HI30" s="73">
        <v>361.38615987980984</v>
      </c>
    </row>
    <row r="31" spans="1:217" s="69" customFormat="1" x14ac:dyDescent="0.35">
      <c r="A31" s="166" t="s">
        <v>499</v>
      </c>
      <c r="B31" s="76">
        <v>19.687495797051692</v>
      </c>
      <c r="C31" s="76">
        <v>18.47353738</v>
      </c>
      <c r="D31" s="76">
        <v>3.2962759999999998</v>
      </c>
      <c r="E31" s="76">
        <v>26.928803689999999</v>
      </c>
      <c r="F31" s="76">
        <v>34.026449839999998</v>
      </c>
      <c r="G31" s="76">
        <v>11.41610975</v>
      </c>
      <c r="H31" s="76">
        <v>15.024456430000001</v>
      </c>
      <c r="I31" s="76">
        <v>17.81760981</v>
      </c>
      <c r="J31" s="76">
        <v>8.7353255000000001</v>
      </c>
      <c r="K31" s="76">
        <v>17.731999999999999</v>
      </c>
      <c r="L31" s="76">
        <v>17.293240000000001</v>
      </c>
      <c r="M31" s="76">
        <v>8.5499999999999989</v>
      </c>
      <c r="N31" s="76">
        <v>25.617181000000002</v>
      </c>
      <c r="O31" s="76">
        <v>19.733058000000003</v>
      </c>
      <c r="P31" s="76">
        <v>6.452407</v>
      </c>
      <c r="Q31" s="76">
        <v>22.067519000000004</v>
      </c>
      <c r="R31" s="76">
        <v>8.9816344800000003</v>
      </c>
      <c r="S31" s="76">
        <v>3.4244540000000003</v>
      </c>
      <c r="T31" s="76">
        <v>14.439293999999997</v>
      </c>
      <c r="U31" s="76">
        <v>29.822399999999998</v>
      </c>
      <c r="V31" s="76">
        <v>8.7368348600000001</v>
      </c>
      <c r="W31" s="76">
        <v>16.438244999999998</v>
      </c>
      <c r="X31" s="76">
        <v>9.0820309999999989</v>
      </c>
      <c r="Y31" s="76">
        <v>52.28</v>
      </c>
      <c r="Z31" s="76">
        <v>29.408113342055515</v>
      </c>
      <c r="AA31" s="76">
        <v>12.956101342055515</v>
      </c>
      <c r="AB31" s="76">
        <v>3.8223583420555167</v>
      </c>
      <c r="AC31" s="76">
        <v>16.320287376778424</v>
      </c>
      <c r="AD31" s="76">
        <v>2.3223511099999996</v>
      </c>
      <c r="AE31" s="76">
        <v>7.9159999999999995</v>
      </c>
      <c r="AF31" s="76">
        <v>18.689904999999996</v>
      </c>
      <c r="AG31" s="76">
        <v>22.823219129999998</v>
      </c>
      <c r="AH31" s="76">
        <v>1.44640872</v>
      </c>
      <c r="AI31" s="76">
        <v>10.853999999999999</v>
      </c>
      <c r="AJ31" s="76">
        <v>6.1</v>
      </c>
      <c r="AK31" s="76">
        <v>44.140787738091291</v>
      </c>
      <c r="AL31" s="76">
        <v>14.803462342055518</v>
      </c>
      <c r="AM31" s="76">
        <v>1.6790178976110723</v>
      </c>
      <c r="AN31" s="76">
        <v>3.2890178976110711</v>
      </c>
      <c r="AO31" s="76">
        <v>15.60056337677843</v>
      </c>
      <c r="AP31" s="76">
        <v>16.473904724792451</v>
      </c>
      <c r="AQ31" s="76">
        <v>14.759815479941192</v>
      </c>
      <c r="AR31" s="76">
        <v>13.944989652770866</v>
      </c>
      <c r="AS31" s="76">
        <v>13.238461197890757</v>
      </c>
      <c r="AT31" s="76">
        <v>11.86</v>
      </c>
      <c r="AU31" s="76">
        <v>34.09514137896727</v>
      </c>
      <c r="AV31" s="76">
        <v>28.671282757934538</v>
      </c>
      <c r="AW31" s="76">
        <v>17.044770624630793</v>
      </c>
      <c r="AX31" s="76">
        <v>21.297999999999998</v>
      </c>
      <c r="AY31" s="76">
        <v>14.475598</v>
      </c>
      <c r="AZ31" s="76">
        <v>11.456786999999997</v>
      </c>
      <c r="BA31" s="76">
        <v>24.871921309374134</v>
      </c>
      <c r="BB31" s="76">
        <v>8.7470777247924474</v>
      </c>
      <c r="BC31" s="76">
        <v>18.355555555555561</v>
      </c>
      <c r="BD31" s="76">
        <v>11.276000000000002</v>
      </c>
      <c r="BE31" s="76">
        <v>5.025461197890758</v>
      </c>
      <c r="BF31" s="76">
        <v>4.3390000000000004</v>
      </c>
      <c r="BG31" s="76">
        <v>11.380141378967267</v>
      </c>
      <c r="BH31" s="76">
        <v>3.5862827579345335</v>
      </c>
      <c r="BI31" s="76">
        <v>39.138787738091281</v>
      </c>
      <c r="BJ31" s="76">
        <v>17.290882</v>
      </c>
      <c r="BK31" s="76">
        <v>9.8871218224046693</v>
      </c>
      <c r="BL31" s="76">
        <v>7.4870629999999982</v>
      </c>
      <c r="BM31" s="76">
        <v>16.274930999999999</v>
      </c>
      <c r="BN31" s="76">
        <v>1.1954100000000007</v>
      </c>
      <c r="BO31" s="76">
        <v>6.4852449999999999</v>
      </c>
      <c r="BP31" s="76">
        <v>15.433112999999999</v>
      </c>
      <c r="BQ31" s="76">
        <v>11.237341999999998</v>
      </c>
      <c r="BR31" s="76">
        <v>4.3361568000000004</v>
      </c>
      <c r="BS31" s="76">
        <v>22.343781000000003</v>
      </c>
      <c r="BT31" s="76">
        <v>7.0799789999999998</v>
      </c>
      <c r="BU31" s="76">
        <v>25.986749</v>
      </c>
      <c r="BV31" s="76">
        <v>20.168539440000004</v>
      </c>
      <c r="BW31" s="76">
        <v>6.5511731699999984</v>
      </c>
      <c r="BX31" s="76">
        <v>3.1108576299999999</v>
      </c>
      <c r="BY31" s="76">
        <v>14.81870866</v>
      </c>
      <c r="BZ31" s="76">
        <v>2.2678725399999964</v>
      </c>
      <c r="CA31" s="76">
        <v>10.486599779999999</v>
      </c>
      <c r="CB31" s="76">
        <v>8.3481849700000001</v>
      </c>
      <c r="CC31" s="76">
        <v>21.01844354</v>
      </c>
      <c r="CD31" s="76">
        <v>15.1591711</v>
      </c>
      <c r="CE31" s="76">
        <v>10.330443199999998</v>
      </c>
      <c r="CF31" s="76">
        <v>7.1923077706297303</v>
      </c>
      <c r="CG31" s="76">
        <v>24.451522315168724</v>
      </c>
      <c r="CH31" s="76">
        <v>10.678916380000004</v>
      </c>
      <c r="CI31" s="76">
        <v>5.1368237200000006</v>
      </c>
      <c r="CJ31" s="76">
        <v>3.62154401</v>
      </c>
      <c r="CK31" s="76">
        <v>14.438682389999995</v>
      </c>
      <c r="CL31" s="76">
        <v>2.7966723899999995</v>
      </c>
      <c r="CM31" s="76">
        <v>7.3017203299999984</v>
      </c>
      <c r="CN31" s="76">
        <v>4.8154941900000008</v>
      </c>
      <c r="CO31" s="76">
        <v>9.5701389000000017</v>
      </c>
      <c r="CP31" s="76">
        <v>4.7924485999999993</v>
      </c>
      <c r="CQ31" s="76">
        <v>12.309839220000004</v>
      </c>
      <c r="CR31" s="76">
        <v>4.0029801196271304</v>
      </c>
      <c r="CS31" s="76">
        <v>17.401713847556664</v>
      </c>
      <c r="CT31" s="76">
        <v>5.9100391800000009</v>
      </c>
      <c r="CU31" s="76">
        <v>3.1940029699999992</v>
      </c>
      <c r="CV31" s="76">
        <v>1.3578119600000005</v>
      </c>
      <c r="CW31" s="76">
        <v>10.141939080000002</v>
      </c>
      <c r="CX31" s="76">
        <v>0.37638586000000007</v>
      </c>
      <c r="CY31" s="76">
        <v>4.1037038100000007</v>
      </c>
      <c r="CZ31" s="76">
        <v>0.95592859000000008</v>
      </c>
      <c r="DA31" s="76">
        <v>1.5055222199999996</v>
      </c>
      <c r="DB31" s="76">
        <v>2.1271155100000003</v>
      </c>
      <c r="DC31" s="76">
        <v>8.3608720599999931</v>
      </c>
      <c r="DD31" s="76">
        <v>0.12200000000000011</v>
      </c>
      <c r="DE31" s="76">
        <v>6.3022783399999991</v>
      </c>
      <c r="DF31" s="76">
        <v>0.95670494999999967</v>
      </c>
      <c r="DG31" s="76">
        <v>0.4816332200000002</v>
      </c>
      <c r="DH31" s="76">
        <v>0.85335016000000008</v>
      </c>
      <c r="DI31" s="76">
        <v>4.9362787300000033</v>
      </c>
      <c r="DJ31" s="76">
        <v>0.30693111588235289</v>
      </c>
      <c r="DK31" s="76">
        <v>3.5722594158823524</v>
      </c>
      <c r="DL31" s="76">
        <v>0.13929928000000003</v>
      </c>
      <c r="DM31" s="76">
        <v>1.3044886146218482</v>
      </c>
      <c r="DN31" s="76">
        <v>2.2389500286554616</v>
      </c>
      <c r="DO31" s="76">
        <v>2.7311271499999989</v>
      </c>
      <c r="DP31" s="76">
        <v>1.4237080381512608</v>
      </c>
      <c r="DQ31" s="76">
        <v>7.3990919437068197</v>
      </c>
      <c r="DR31" s="76">
        <v>1.8683662299999997</v>
      </c>
      <c r="DS31" s="76">
        <v>9.0502720000003034E-2</v>
      </c>
      <c r="DT31" s="76">
        <v>0.9355542899999999</v>
      </c>
      <c r="DU31" s="76">
        <v>5.1551312767784276</v>
      </c>
      <c r="DV31" s="76">
        <v>0.27354944923689195</v>
      </c>
      <c r="DW31" s="76">
        <v>2.3890594800000007</v>
      </c>
      <c r="DX31" s="76">
        <v>1.1663313500000001</v>
      </c>
      <c r="DY31" s="76">
        <v>11.922743037018058</v>
      </c>
      <c r="DZ31" s="76">
        <v>1.8031926799999998</v>
      </c>
      <c r="EA31" s="76">
        <v>3.5239156889672776</v>
      </c>
      <c r="EB31" s="76">
        <v>1.3892631179345485</v>
      </c>
      <c r="EC31" s="76">
        <v>4.8925610058690676</v>
      </c>
      <c r="ED31" s="76">
        <v>1.4123244899999652</v>
      </c>
      <c r="EE31" s="76">
        <v>3.8583085900000071</v>
      </c>
      <c r="EF31" s="76">
        <v>2.1057250400000012</v>
      </c>
      <c r="EG31" s="76">
        <v>4.1581913367784269</v>
      </c>
      <c r="EH31" s="76">
        <v>5.8613078850000075</v>
      </c>
      <c r="EI31" s="76">
        <v>3.5063037200000116</v>
      </c>
      <c r="EJ31" s="76">
        <v>1.229823930000004</v>
      </c>
      <c r="EK31" s="76">
        <v>1.4520770991182712</v>
      </c>
      <c r="EL31" s="76">
        <v>1.5368939100000003</v>
      </c>
      <c r="EM31" s="76">
        <v>2.7848358900000014</v>
      </c>
      <c r="EN31" s="76">
        <v>8.1675869113000079</v>
      </c>
      <c r="EO31" s="76">
        <v>14.388553359999989</v>
      </c>
      <c r="EP31" s="76">
        <v>2.0820030400000027</v>
      </c>
      <c r="EQ31" s="76">
        <v>1.4642205099999881</v>
      </c>
      <c r="ER31" s="76">
        <v>2.3445509499999968</v>
      </c>
      <c r="ES31" s="76">
        <v>5.7494369900000057</v>
      </c>
      <c r="ET31" s="76">
        <v>14.385982360400009</v>
      </c>
      <c r="EU31" s="76">
        <v>28.202845289999999</v>
      </c>
      <c r="EV31" s="76">
        <v>3.2694181200000054</v>
      </c>
      <c r="EW31" s="76">
        <v>20.118807274499996</v>
      </c>
      <c r="EX31" s="76">
        <v>14.513724438534107</v>
      </c>
      <c r="EY31" s="76">
        <v>7.4689609001340962</v>
      </c>
      <c r="EZ31" s="76">
        <v>10.249919383949463</v>
      </c>
      <c r="FA31" s="76">
        <v>8.8280770869391585</v>
      </c>
      <c r="FB31" s="76">
        <v>2.7996714334089225</v>
      </c>
      <c r="FC31" s="76">
        <v>14.381980353758504</v>
      </c>
      <c r="FD31" s="76">
        <v>15.082205549184385</v>
      </c>
      <c r="FE31" s="76">
        <v>13.284135724455496</v>
      </c>
      <c r="FF31" s="76">
        <v>67.60520494938028</v>
      </c>
      <c r="FG31" s="76">
        <v>13.476308340042305</v>
      </c>
      <c r="FH31" s="76">
        <v>3.5535048766705497</v>
      </c>
      <c r="FI31" s="76">
        <v>8.595498696955616</v>
      </c>
      <c r="FJ31" s="76">
        <v>15.911720209821862</v>
      </c>
      <c r="FK31" s="76">
        <v>12.426154074800252</v>
      </c>
      <c r="FL31" s="76">
        <v>69.602578905772361</v>
      </c>
      <c r="FM31" s="76">
        <v>20.177217143458318</v>
      </c>
      <c r="FN31" s="76">
        <v>6.5842006857635687</v>
      </c>
      <c r="FO31" s="76">
        <v>7.1466306633180938</v>
      </c>
      <c r="FP31" s="76">
        <v>18.521386065232569</v>
      </c>
      <c r="FQ31" s="76">
        <v>19.311983950001913</v>
      </c>
      <c r="FR31" s="76">
        <v>20.572337974499227</v>
      </c>
      <c r="FS31" s="76">
        <v>17.490755123699657</v>
      </c>
      <c r="FT31" s="76">
        <v>7.0957287215948366</v>
      </c>
      <c r="FU31" s="76">
        <v>11.260111581467248</v>
      </c>
      <c r="FV31" s="76">
        <v>20.073843933731926</v>
      </c>
      <c r="FW31" s="76">
        <v>19.146344589527665</v>
      </c>
      <c r="FX31" s="76">
        <v>23.010794039978443</v>
      </c>
      <c r="FY31" s="76">
        <v>24.866802387612076</v>
      </c>
      <c r="FZ31" s="76">
        <v>9.4072225785938706</v>
      </c>
      <c r="GA31" s="76">
        <v>12.606648967732514</v>
      </c>
      <c r="GB31" s="76">
        <v>23.167016050634139</v>
      </c>
      <c r="GC31" s="76">
        <v>20.386369660061931</v>
      </c>
      <c r="GD31" s="76">
        <v>48.524037875843781</v>
      </c>
      <c r="GE31" s="76">
        <v>21.878991451135157</v>
      </c>
      <c r="GF31" s="76">
        <v>8.3363279926258365</v>
      </c>
      <c r="GG31" s="76">
        <v>12.398751935163085</v>
      </c>
      <c r="GH31" s="76">
        <v>26.144120793764209</v>
      </c>
      <c r="GI31" s="76">
        <v>22.161098575231144</v>
      </c>
      <c r="GJ31" s="76">
        <v>49.50647393551445</v>
      </c>
      <c r="GK31" s="76">
        <v>23.444577186770537</v>
      </c>
      <c r="GL31" s="76">
        <v>10.433584162127048</v>
      </c>
      <c r="GM31" s="76">
        <v>12.961075795984296</v>
      </c>
      <c r="GN31" s="76">
        <v>23.481924793976447</v>
      </c>
      <c r="GO31" s="76">
        <v>21.426298247072094</v>
      </c>
      <c r="GP31" s="76">
        <v>16.196898748873277</v>
      </c>
      <c r="GQ31" s="76">
        <v>24.301186387539783</v>
      </c>
      <c r="GR31" s="76">
        <v>13.868539294947526</v>
      </c>
      <c r="GS31" s="76">
        <v>14.221347679765074</v>
      </c>
      <c r="GT31" s="76">
        <v>24.854884529406743</v>
      </c>
      <c r="GU31" s="76">
        <v>20.055008251054488</v>
      </c>
      <c r="GV31" s="76">
        <v>19.175881571724826</v>
      </c>
      <c r="GW31" s="76">
        <v>24.887300616541985</v>
      </c>
      <c r="GX31" s="73">
        <v>13.782465208485839</v>
      </c>
      <c r="GY31" s="73">
        <v>23.262519525121338</v>
      </c>
      <c r="GZ31" s="73">
        <v>30.608867840354847</v>
      </c>
      <c r="HA31" s="73">
        <v>20.859164014115727</v>
      </c>
      <c r="HB31" s="73">
        <v>40.750321229784959</v>
      </c>
      <c r="HC31" s="73">
        <v>24.665236812442643</v>
      </c>
      <c r="HD31" s="73">
        <v>17.516202604737199</v>
      </c>
      <c r="HE31" s="73">
        <v>42.817384172824987</v>
      </c>
      <c r="HF31" s="73">
        <v>55.366031807174998</v>
      </c>
      <c r="HG31" s="73">
        <v>28.51636013517502</v>
      </c>
      <c r="HH31" s="73">
        <v>31.134132505086846</v>
      </c>
      <c r="HI31" s="73">
        <v>29.715941644600015</v>
      </c>
    </row>
    <row r="32" spans="1:217" s="69" customFormat="1" x14ac:dyDescent="0.35">
      <c r="A32" s="166" t="s">
        <v>594</v>
      </c>
      <c r="B32" s="76">
        <v>5.0834106769427132</v>
      </c>
      <c r="C32" s="76">
        <v>76.140046438461539</v>
      </c>
      <c r="D32" s="76">
        <v>47.612526428461543</v>
      </c>
      <c r="E32" s="76">
        <v>45.337873698461543</v>
      </c>
      <c r="F32" s="76">
        <v>47.782719898461529</v>
      </c>
      <c r="G32" s="76">
        <v>57.056738348461543</v>
      </c>
      <c r="H32" s="76">
        <v>62.032084928461543</v>
      </c>
      <c r="I32" s="76">
        <v>70.840883438461532</v>
      </c>
      <c r="J32" s="76">
        <v>63.421063648461541</v>
      </c>
      <c r="K32" s="76">
        <v>68.159541538461539</v>
      </c>
      <c r="L32" s="76">
        <v>93.931981538461528</v>
      </c>
      <c r="M32" s="76">
        <v>123.59982153846153</v>
      </c>
      <c r="N32" s="76">
        <v>79.467483373085571</v>
      </c>
      <c r="O32" s="76">
        <v>92.226933414310366</v>
      </c>
      <c r="P32" s="76">
        <v>109.81659999999999</v>
      </c>
      <c r="Q32" s="76">
        <v>105.90344714806413</v>
      </c>
      <c r="R32" s="76">
        <v>115.486</v>
      </c>
      <c r="S32" s="76">
        <v>120.009</v>
      </c>
      <c r="T32" s="76">
        <v>89.780500000000004</v>
      </c>
      <c r="U32" s="76">
        <v>89.355999999999995</v>
      </c>
      <c r="V32" s="76">
        <v>101.03619999999999</v>
      </c>
      <c r="W32" s="76">
        <v>116.18860000000001</v>
      </c>
      <c r="X32" s="76">
        <v>112.94200000000001</v>
      </c>
      <c r="Y32" s="76">
        <v>224.922</v>
      </c>
      <c r="Z32" s="76">
        <v>126.516884</v>
      </c>
      <c r="AA32" s="76">
        <v>139.07695699999999</v>
      </c>
      <c r="AB32" s="76">
        <v>134.96151599999999</v>
      </c>
      <c r="AC32" s="76">
        <v>169.67099999999999</v>
      </c>
      <c r="AD32" s="76">
        <v>165.92249800000002</v>
      </c>
      <c r="AE32" s="76">
        <v>157.79583500000001</v>
      </c>
      <c r="AF32" s="76">
        <v>173.08449999999999</v>
      </c>
      <c r="AG32" s="76">
        <v>153.61750000000001</v>
      </c>
      <c r="AH32" s="76">
        <v>169.65746321999998</v>
      </c>
      <c r="AI32" s="76">
        <v>157.87714514000001</v>
      </c>
      <c r="AJ32" s="76">
        <v>178.00214513999998</v>
      </c>
      <c r="AK32" s="76">
        <v>281.41714514</v>
      </c>
      <c r="AL32" s="76">
        <v>149.6</v>
      </c>
      <c r="AM32" s="76">
        <v>153.4</v>
      </c>
      <c r="AN32" s="76">
        <v>210.4</v>
      </c>
      <c r="AO32" s="76">
        <v>168.81</v>
      </c>
      <c r="AP32" s="76">
        <v>184.8</v>
      </c>
      <c r="AQ32" s="76">
        <v>178.4</v>
      </c>
      <c r="AR32" s="76">
        <v>174</v>
      </c>
      <c r="AS32" s="76">
        <v>176.9</v>
      </c>
      <c r="AT32" s="76">
        <v>208.3</v>
      </c>
      <c r="AU32" s="76">
        <v>168.6</v>
      </c>
      <c r="AV32" s="76">
        <v>212.3</v>
      </c>
      <c r="AW32" s="76">
        <v>303.51</v>
      </c>
      <c r="AX32" s="76">
        <v>183.50193499999997</v>
      </c>
      <c r="AY32" s="76">
        <v>214.61629686999999</v>
      </c>
      <c r="AZ32" s="76">
        <v>218.068004</v>
      </c>
      <c r="BA32" s="76">
        <v>209.56601425999997</v>
      </c>
      <c r="BB32" s="76">
        <v>218.31842279999998</v>
      </c>
      <c r="BC32" s="76">
        <v>197.38619444444444</v>
      </c>
      <c r="BD32" s="76">
        <v>217.97659544999999</v>
      </c>
      <c r="BE32" s="76">
        <v>210.3767</v>
      </c>
      <c r="BF32" s="76">
        <v>219.09900000000002</v>
      </c>
      <c r="BG32" s="76">
        <v>200.53899999999996</v>
      </c>
      <c r="BH32" s="76">
        <v>204.63044444444444</v>
      </c>
      <c r="BI32" s="76">
        <v>291.94300000000004</v>
      </c>
      <c r="BJ32" s="76">
        <v>208.22020487</v>
      </c>
      <c r="BK32" s="76">
        <v>221.91069335999998</v>
      </c>
      <c r="BL32" s="76">
        <v>254.99293352000001</v>
      </c>
      <c r="BM32" s="76">
        <v>215.36045777000004</v>
      </c>
      <c r="BN32" s="76">
        <v>231.07757533999995</v>
      </c>
      <c r="BO32" s="76">
        <v>226.13381237000002</v>
      </c>
      <c r="BP32" s="76">
        <v>230.47523180000005</v>
      </c>
      <c r="BQ32" s="76">
        <v>251.07468642000003</v>
      </c>
      <c r="BR32" s="76">
        <v>233.50499883000001</v>
      </c>
      <c r="BS32" s="76">
        <v>215.27355555555553</v>
      </c>
      <c r="BT32" s="76">
        <v>225.11626701000006</v>
      </c>
      <c r="BU32" s="76">
        <v>393.66574045333329</v>
      </c>
      <c r="BV32" s="76">
        <v>221.64678569</v>
      </c>
      <c r="BW32" s="76">
        <v>230.47602815999997</v>
      </c>
      <c r="BX32" s="76">
        <v>255.98728174999999</v>
      </c>
      <c r="BY32" s="76">
        <v>246.50075496999997</v>
      </c>
      <c r="BZ32" s="76">
        <v>239.49183378999999</v>
      </c>
      <c r="CA32" s="76">
        <v>249.75524624000002</v>
      </c>
      <c r="CB32" s="76">
        <v>254.94816018</v>
      </c>
      <c r="CC32" s="76">
        <v>261.06712625999995</v>
      </c>
      <c r="CD32" s="76">
        <v>255.80415740999999</v>
      </c>
      <c r="CE32" s="76">
        <v>253.61102147999998</v>
      </c>
      <c r="CF32" s="76">
        <v>249.11430680000001</v>
      </c>
      <c r="CG32" s="76">
        <v>443.48346081</v>
      </c>
      <c r="CH32" s="76">
        <v>245.21823676</v>
      </c>
      <c r="CI32" s="76">
        <v>294.88852392000001</v>
      </c>
      <c r="CJ32" s="76">
        <v>268.58574014000004</v>
      </c>
      <c r="CK32" s="76">
        <v>285.63020448000003</v>
      </c>
      <c r="CL32" s="76">
        <v>287.31806245999996</v>
      </c>
      <c r="CM32" s="76">
        <v>274.40755220000005</v>
      </c>
      <c r="CN32" s="76">
        <v>332.30186488999999</v>
      </c>
      <c r="CO32" s="76">
        <v>319.33903022800007</v>
      </c>
      <c r="CP32" s="76">
        <v>307.37916452999997</v>
      </c>
      <c r="CQ32" s="76">
        <v>324.20108720999997</v>
      </c>
      <c r="CR32" s="76">
        <v>274.2238513018039</v>
      </c>
      <c r="CS32" s="76">
        <v>479.08134106913639</v>
      </c>
      <c r="CT32" s="76">
        <v>277.08424510999993</v>
      </c>
      <c r="CU32" s="76">
        <v>346.67021641999997</v>
      </c>
      <c r="CV32" s="76">
        <v>370.36835866004321</v>
      </c>
      <c r="CW32" s="76">
        <v>406.46501129875662</v>
      </c>
      <c r="CX32" s="76">
        <v>289.47865503188888</v>
      </c>
      <c r="CY32" s="76">
        <v>383.62346911425232</v>
      </c>
      <c r="CZ32" s="76">
        <v>464.51857078636937</v>
      </c>
      <c r="DA32" s="76">
        <v>459.45362557573696</v>
      </c>
      <c r="DB32" s="76">
        <v>280.18599567004355</v>
      </c>
      <c r="DC32" s="76">
        <v>498.62869954771713</v>
      </c>
      <c r="DD32" s="76">
        <v>311.92226321398027</v>
      </c>
      <c r="DE32" s="76">
        <v>781.26826929722449</v>
      </c>
      <c r="DF32" s="76">
        <v>322.57853161999992</v>
      </c>
      <c r="DG32" s="76">
        <v>474.01509976999995</v>
      </c>
      <c r="DH32" s="76">
        <v>573.53734027004316</v>
      </c>
      <c r="DI32" s="76">
        <v>454.5830531985485</v>
      </c>
      <c r="DJ32" s="76">
        <v>423.19475416780739</v>
      </c>
      <c r="DK32" s="76">
        <v>431.51668939629701</v>
      </c>
      <c r="DL32" s="76">
        <v>536.31493952551068</v>
      </c>
      <c r="DM32" s="76">
        <v>476.28634580196871</v>
      </c>
      <c r="DN32" s="76">
        <v>433.93050255014867</v>
      </c>
      <c r="DO32" s="76">
        <v>493.94622010638562</v>
      </c>
      <c r="DP32" s="76">
        <v>397.39015233537486</v>
      </c>
      <c r="DQ32" s="76">
        <v>911.92811591619363</v>
      </c>
      <c r="DR32" s="76">
        <v>346.76303349</v>
      </c>
      <c r="DS32" s="76">
        <v>560.19486128000005</v>
      </c>
      <c r="DT32" s="76">
        <v>636.29020904999993</v>
      </c>
      <c r="DU32" s="76">
        <v>515.41411255999992</v>
      </c>
      <c r="DV32" s="76">
        <v>486.36980302999996</v>
      </c>
      <c r="DW32" s="76">
        <v>520.45122641</v>
      </c>
      <c r="DX32" s="76">
        <v>517.41573062999998</v>
      </c>
      <c r="DY32" s="76">
        <v>601.37976750999997</v>
      </c>
      <c r="DZ32" s="76">
        <v>502.97510395000006</v>
      </c>
      <c r="EA32" s="76">
        <v>575.21890918999998</v>
      </c>
      <c r="EB32" s="76">
        <v>551.48560831999998</v>
      </c>
      <c r="EC32" s="76">
        <v>971.93268313999999</v>
      </c>
      <c r="ED32" s="76">
        <v>434.62902931999997</v>
      </c>
      <c r="EE32" s="76">
        <v>511.7149948899999</v>
      </c>
      <c r="EF32" s="76">
        <v>600.30529203000003</v>
      </c>
      <c r="EG32" s="76">
        <v>644.98466394000002</v>
      </c>
      <c r="EH32" s="76">
        <v>554.95301999999992</v>
      </c>
      <c r="EI32" s="76">
        <v>578.73105485999986</v>
      </c>
      <c r="EJ32" s="76">
        <v>562.0017390700001</v>
      </c>
      <c r="EK32" s="76">
        <v>639.92025362242214</v>
      </c>
      <c r="EL32" s="76">
        <v>564.06471174000001</v>
      </c>
      <c r="EM32" s="76">
        <v>546.41632963000006</v>
      </c>
      <c r="EN32" s="76">
        <v>569.09764889000007</v>
      </c>
      <c r="EO32" s="76">
        <v>1057.8209145399999</v>
      </c>
      <c r="EP32" s="76">
        <v>509.35886800000003</v>
      </c>
      <c r="EQ32" s="76">
        <v>659.74868100000003</v>
      </c>
      <c r="ER32" s="76">
        <v>718.68103450000001</v>
      </c>
      <c r="ES32" s="76">
        <v>625.5630910000001</v>
      </c>
      <c r="ET32" s="76">
        <v>633.55324299999995</v>
      </c>
      <c r="EU32" s="76">
        <v>615.72852300000011</v>
      </c>
      <c r="EV32" s="76">
        <v>646.21662800000001</v>
      </c>
      <c r="EW32" s="76">
        <v>744.05892593668614</v>
      </c>
      <c r="EX32" s="76">
        <v>621.70023700000002</v>
      </c>
      <c r="EY32" s="76">
        <v>683.93061900000009</v>
      </c>
      <c r="EZ32" s="76">
        <v>698.29955099999995</v>
      </c>
      <c r="FA32" s="76">
        <v>1188.6503968999998</v>
      </c>
      <c r="FB32" s="76">
        <v>590.24530969999989</v>
      </c>
      <c r="FC32" s="76">
        <v>673.01492100999997</v>
      </c>
      <c r="FD32" s="76">
        <v>783.80014989000006</v>
      </c>
      <c r="FE32" s="76">
        <v>675.8437429999999</v>
      </c>
      <c r="FF32" s="76">
        <v>671.77501599999982</v>
      </c>
      <c r="FG32" s="76">
        <v>655.86853379999991</v>
      </c>
      <c r="FH32" s="76">
        <v>700.04449950000003</v>
      </c>
      <c r="FI32" s="76">
        <v>793.00140209999995</v>
      </c>
      <c r="FJ32" s="76">
        <v>674.03079975000014</v>
      </c>
      <c r="FK32" s="76">
        <v>701.56332060000011</v>
      </c>
      <c r="FL32" s="76">
        <v>710.62475170000005</v>
      </c>
      <c r="FM32" s="76">
        <v>1266.6136018999998</v>
      </c>
      <c r="FN32" s="76">
        <v>558.85304900000006</v>
      </c>
      <c r="FO32" s="76">
        <v>768.57291270000007</v>
      </c>
      <c r="FP32" s="76">
        <v>751.86521100000004</v>
      </c>
      <c r="FQ32" s="76">
        <v>758.94158039999979</v>
      </c>
      <c r="FR32" s="76">
        <v>693.79769118999991</v>
      </c>
      <c r="FS32" s="76">
        <v>622.78597755002204</v>
      </c>
      <c r="FT32" s="76">
        <v>829.94922499999996</v>
      </c>
      <c r="FU32" s="76">
        <v>848.1496484999999</v>
      </c>
      <c r="FV32" s="76">
        <v>680.86029299999996</v>
      </c>
      <c r="FW32" s="76">
        <v>823.59658500000012</v>
      </c>
      <c r="FX32" s="76">
        <v>782.24692539999978</v>
      </c>
      <c r="FY32" s="76">
        <v>1358.7207598</v>
      </c>
      <c r="FZ32" s="76">
        <v>540.74345916000004</v>
      </c>
      <c r="GA32" s="76">
        <v>835.70888043000014</v>
      </c>
      <c r="GB32" s="76">
        <v>847.04378197999995</v>
      </c>
      <c r="GC32" s="76">
        <v>804.21228669000004</v>
      </c>
      <c r="GD32" s="76">
        <v>736.43864917999997</v>
      </c>
      <c r="GE32" s="76">
        <v>766.95939167000006</v>
      </c>
      <c r="GF32" s="76">
        <v>798.43691881999996</v>
      </c>
      <c r="GG32" s="76">
        <v>884.04428797999992</v>
      </c>
      <c r="GH32" s="76">
        <v>772.14122333</v>
      </c>
      <c r="GI32" s="76">
        <v>801.83982402000015</v>
      </c>
      <c r="GJ32" s="76">
        <v>758.58338190999996</v>
      </c>
      <c r="GK32" s="76">
        <v>1357.657166</v>
      </c>
      <c r="GL32" s="76">
        <v>648.82230754</v>
      </c>
      <c r="GM32" s="76">
        <v>828.20763624999995</v>
      </c>
      <c r="GN32" s="76">
        <v>871.91294678000008</v>
      </c>
      <c r="GO32" s="76">
        <v>800.57156236999981</v>
      </c>
      <c r="GP32" s="76">
        <v>765.7886722500009</v>
      </c>
      <c r="GQ32" s="76">
        <v>788.9478690799989</v>
      </c>
      <c r="GR32" s="76">
        <v>765.19322510000075</v>
      </c>
      <c r="GS32" s="76">
        <v>897.28280402999917</v>
      </c>
      <c r="GT32" s="76">
        <v>772.54135293000786</v>
      </c>
      <c r="GU32" s="76">
        <v>785.88097353999945</v>
      </c>
      <c r="GV32" s="76">
        <v>771.57923866998397</v>
      </c>
      <c r="GW32" s="76">
        <v>1317.034503599964</v>
      </c>
      <c r="GX32" s="73">
        <v>707.99592577999931</v>
      </c>
      <c r="GY32" s="73">
        <v>833.9054707199972</v>
      </c>
      <c r="GZ32" s="73">
        <v>871.89658600101177</v>
      </c>
      <c r="HA32" s="73">
        <v>844.26007925001727</v>
      </c>
      <c r="HB32" s="73">
        <v>792.27975602009553</v>
      </c>
      <c r="HC32" s="73">
        <v>807.39559228112046</v>
      </c>
      <c r="HD32" s="73">
        <v>796.21253336908433</v>
      </c>
      <c r="HE32" s="73">
        <v>938.72217508261053</v>
      </c>
      <c r="HF32" s="73">
        <v>793.83186542261524</v>
      </c>
      <c r="HG32" s="73">
        <v>813.64388418759779</v>
      </c>
      <c r="HH32" s="73">
        <v>802.473261032614</v>
      </c>
      <c r="HI32" s="73">
        <v>1362.8763402801283</v>
      </c>
    </row>
    <row r="33" spans="1:217" s="69" customFormat="1" x14ac:dyDescent="0.35">
      <c r="A33" s="166" t="s">
        <v>595</v>
      </c>
      <c r="B33" s="76">
        <v>28.343358953839608</v>
      </c>
      <c r="C33" s="76">
        <v>22.008969389999997</v>
      </c>
      <c r="D33" s="76">
        <v>26.232688320000001</v>
      </c>
      <c r="E33" s="76">
        <v>20.681452999999998</v>
      </c>
      <c r="F33" s="76">
        <v>28.204444350000003</v>
      </c>
      <c r="G33" s="76">
        <v>34.471105850000001</v>
      </c>
      <c r="H33" s="76">
        <v>34.365728179999998</v>
      </c>
      <c r="I33" s="76">
        <v>34.603116110000002</v>
      </c>
      <c r="J33" s="76">
        <v>34.60641553</v>
      </c>
      <c r="K33" s="76">
        <v>48.396680000000003</v>
      </c>
      <c r="L33" s="76">
        <v>44.926558464047631</v>
      </c>
      <c r="M33" s="76">
        <v>53.045542614842219</v>
      </c>
      <c r="N33" s="76">
        <v>29.131584834916261</v>
      </c>
      <c r="O33" s="76">
        <v>41.538916488488965</v>
      </c>
      <c r="P33" s="76">
        <v>42.858999999999995</v>
      </c>
      <c r="Q33" s="76">
        <v>50.266170879701285</v>
      </c>
      <c r="R33" s="76">
        <v>64.180000000000007</v>
      </c>
      <c r="S33" s="76">
        <v>42.927</v>
      </c>
      <c r="T33" s="76">
        <v>49.683999999999997</v>
      </c>
      <c r="U33" s="76">
        <v>64.552999999999997</v>
      </c>
      <c r="V33" s="76">
        <v>35.836500000000001</v>
      </c>
      <c r="W33" s="76">
        <v>53.017600000000002</v>
      </c>
      <c r="X33" s="76">
        <v>46.545900000000003</v>
      </c>
      <c r="Y33" s="76">
        <v>60.486000000000004</v>
      </c>
      <c r="Z33" s="76">
        <v>73.369</v>
      </c>
      <c r="AA33" s="76">
        <v>74.676000000000002</v>
      </c>
      <c r="AB33" s="76">
        <v>80.866562000000002</v>
      </c>
      <c r="AC33" s="76">
        <v>81.277000000000001</v>
      </c>
      <c r="AD33" s="76">
        <v>78.881867999999997</v>
      </c>
      <c r="AE33" s="76">
        <v>69.402141</v>
      </c>
      <c r="AF33" s="76">
        <v>71.947000000000003</v>
      </c>
      <c r="AG33" s="76">
        <v>80.447000000000003</v>
      </c>
      <c r="AH33" s="76">
        <v>70.585000000000008</v>
      </c>
      <c r="AI33" s="76">
        <v>66.878983296320854</v>
      </c>
      <c r="AJ33" s="76">
        <v>72.848983296320853</v>
      </c>
      <c r="AK33" s="76">
        <v>79.55151954022989</v>
      </c>
      <c r="AL33" s="76">
        <v>52.999999999999993</v>
      </c>
      <c r="AM33" s="76">
        <v>61.6</v>
      </c>
      <c r="AN33" s="76">
        <v>67.975173500143967</v>
      </c>
      <c r="AO33" s="76">
        <v>82.77</v>
      </c>
      <c r="AP33" s="76">
        <v>77.904606658220544</v>
      </c>
      <c r="AQ33" s="76">
        <v>84.585891215540286</v>
      </c>
      <c r="AR33" s="76">
        <v>94.8</v>
      </c>
      <c r="AS33" s="76">
        <v>79</v>
      </c>
      <c r="AT33" s="76">
        <v>91.789999999999992</v>
      </c>
      <c r="AU33" s="76">
        <v>95.17</v>
      </c>
      <c r="AV33" s="76">
        <v>78.149999999999991</v>
      </c>
      <c r="AW33" s="76">
        <v>81.542000000000002</v>
      </c>
      <c r="AX33" s="76">
        <v>68.809364240000008</v>
      </c>
      <c r="AY33" s="76">
        <v>75.029730819999997</v>
      </c>
      <c r="AZ33" s="76">
        <v>73.66260720999999</v>
      </c>
      <c r="BA33" s="76">
        <v>82.760616999999982</v>
      </c>
      <c r="BB33" s="76">
        <v>83.440751900000009</v>
      </c>
      <c r="BC33" s="76">
        <v>86.025000000000006</v>
      </c>
      <c r="BD33" s="76">
        <v>88.356999999999999</v>
      </c>
      <c r="BE33" s="76">
        <v>91.747</v>
      </c>
      <c r="BF33" s="76">
        <v>87.894999999999996</v>
      </c>
      <c r="BG33" s="76">
        <v>80.73</v>
      </c>
      <c r="BH33" s="76">
        <v>76.502999999999986</v>
      </c>
      <c r="BI33" s="76">
        <v>138.29711111111112</v>
      </c>
      <c r="BJ33" s="76">
        <v>82.760687959999998</v>
      </c>
      <c r="BK33" s="76">
        <v>78.929292679999989</v>
      </c>
      <c r="BL33" s="76">
        <v>88.029156720000003</v>
      </c>
      <c r="BM33" s="76">
        <v>80.550351179999993</v>
      </c>
      <c r="BN33" s="76">
        <v>95.018587020000012</v>
      </c>
      <c r="BO33" s="76">
        <v>92.02137664</v>
      </c>
      <c r="BP33" s="76">
        <v>93.658079199999989</v>
      </c>
      <c r="BQ33" s="76">
        <v>99.042989689999999</v>
      </c>
      <c r="BR33" s="76">
        <v>101.06336398000001</v>
      </c>
      <c r="BS33" s="76">
        <v>97.735314639999984</v>
      </c>
      <c r="BT33" s="76">
        <v>95.846209939999994</v>
      </c>
      <c r="BU33" s="76">
        <v>132.99724258000001</v>
      </c>
      <c r="BV33" s="76">
        <v>96.254102669999995</v>
      </c>
      <c r="BW33" s="76">
        <v>93.975387300000008</v>
      </c>
      <c r="BX33" s="76">
        <v>135.52340513999999</v>
      </c>
      <c r="BY33" s="76">
        <v>114.84744302000001</v>
      </c>
      <c r="BZ33" s="76">
        <v>122.53574263</v>
      </c>
      <c r="CA33" s="76">
        <v>130.81547956</v>
      </c>
      <c r="CB33" s="76">
        <v>115.14943833000001</v>
      </c>
      <c r="CC33" s="76">
        <v>119.86177857999999</v>
      </c>
      <c r="CD33" s="76">
        <v>122.92816451</v>
      </c>
      <c r="CE33" s="76">
        <v>133.16949857</v>
      </c>
      <c r="CF33" s="76">
        <v>125.937608</v>
      </c>
      <c r="CG33" s="76">
        <v>195.78000751989998</v>
      </c>
      <c r="CH33" s="76">
        <v>99.985639629999994</v>
      </c>
      <c r="CI33" s="76">
        <v>101.31423146</v>
      </c>
      <c r="CJ33" s="76">
        <v>95.037895710000001</v>
      </c>
      <c r="CK33" s="76">
        <v>116.41495722000002</v>
      </c>
      <c r="CL33" s="76">
        <v>105.94355825</v>
      </c>
      <c r="CM33" s="76">
        <v>108.01586938</v>
      </c>
      <c r="CN33" s="76">
        <v>184.83897785000002</v>
      </c>
      <c r="CO33" s="76">
        <v>126.37345374</v>
      </c>
      <c r="CP33" s="76">
        <v>119.66119115999999</v>
      </c>
      <c r="CQ33" s="76">
        <v>138.50538098999999</v>
      </c>
      <c r="CR33" s="76">
        <v>137.06694562908334</v>
      </c>
      <c r="CS33" s="76">
        <v>243.06234573908333</v>
      </c>
      <c r="CT33" s="76">
        <v>104.98897095999997</v>
      </c>
      <c r="CU33" s="76">
        <v>96.063589120000003</v>
      </c>
      <c r="CV33" s="76">
        <v>131.17222385800017</v>
      </c>
      <c r="CW33" s="76">
        <v>168.76794286635754</v>
      </c>
      <c r="CX33" s="76">
        <v>156.18244220543838</v>
      </c>
      <c r="CY33" s="76">
        <v>154.55652560030072</v>
      </c>
      <c r="CZ33" s="76">
        <v>195.15897419240008</v>
      </c>
      <c r="DA33" s="76">
        <v>190.1876197162222</v>
      </c>
      <c r="DB33" s="76">
        <v>199.08647205147312</v>
      </c>
      <c r="DC33" s="76">
        <v>204.07253760657505</v>
      </c>
      <c r="DD33" s="76">
        <v>183.01136301747019</v>
      </c>
      <c r="DE33" s="76">
        <v>303.65853352196234</v>
      </c>
      <c r="DF33" s="76">
        <v>115.67130517513743</v>
      </c>
      <c r="DG33" s="76">
        <v>125.65799893437162</v>
      </c>
      <c r="DH33" s="76">
        <v>140.36298313495831</v>
      </c>
      <c r="DI33" s="76">
        <v>195.64827677886737</v>
      </c>
      <c r="DJ33" s="76">
        <v>135.81988773142945</v>
      </c>
      <c r="DK33" s="76">
        <v>151.53385479704434</v>
      </c>
      <c r="DL33" s="76">
        <v>170.96705846912599</v>
      </c>
      <c r="DM33" s="76">
        <v>145.27280066790016</v>
      </c>
      <c r="DN33" s="76">
        <v>131.51101972308618</v>
      </c>
      <c r="DO33" s="76">
        <v>164.11980992383505</v>
      </c>
      <c r="DP33" s="76">
        <v>150.12999612389098</v>
      </c>
      <c r="DQ33" s="76">
        <v>297.46118692223297</v>
      </c>
      <c r="DR33" s="76">
        <v>104.53585572</v>
      </c>
      <c r="DS33" s="76">
        <v>120.21405146000001</v>
      </c>
      <c r="DT33" s="76">
        <v>163.00564355</v>
      </c>
      <c r="DU33" s="76">
        <v>146.64338977</v>
      </c>
      <c r="DV33" s="76">
        <v>138.78873797999998</v>
      </c>
      <c r="DW33" s="76">
        <v>158.02395504</v>
      </c>
      <c r="DX33" s="76">
        <v>173.16751379999999</v>
      </c>
      <c r="DY33" s="76">
        <v>184.60837594999998</v>
      </c>
      <c r="DZ33" s="76">
        <v>188.95141638999999</v>
      </c>
      <c r="EA33" s="76">
        <v>195.22427890999998</v>
      </c>
      <c r="EB33" s="76">
        <v>198.18272461000004</v>
      </c>
      <c r="EC33" s="76">
        <v>318.85583106000001</v>
      </c>
      <c r="ED33" s="76">
        <v>122.96841653</v>
      </c>
      <c r="EE33" s="76">
        <v>154.64703675999996</v>
      </c>
      <c r="EF33" s="76">
        <v>190.24883231000001</v>
      </c>
      <c r="EG33" s="76">
        <v>196.60812676</v>
      </c>
      <c r="EH33" s="76">
        <v>194.71196671189225</v>
      </c>
      <c r="EI33" s="76">
        <v>210.27879565000001</v>
      </c>
      <c r="EJ33" s="76">
        <v>207.26814390000001</v>
      </c>
      <c r="EK33" s="76">
        <v>217.23209364161499</v>
      </c>
      <c r="EL33" s="76">
        <v>206.44669228000001</v>
      </c>
      <c r="EM33" s="76">
        <v>222.20169800000002</v>
      </c>
      <c r="EN33" s="76">
        <v>272.21351997000005</v>
      </c>
      <c r="EO33" s="76">
        <v>348.35476193</v>
      </c>
      <c r="EP33" s="76">
        <v>171.10499100000001</v>
      </c>
      <c r="EQ33" s="76">
        <v>242.435923</v>
      </c>
      <c r="ER33" s="76">
        <v>283.10509300000001</v>
      </c>
      <c r="ES33" s="76">
        <v>324.54069529999998</v>
      </c>
      <c r="ET33" s="76">
        <v>267.76074299999999</v>
      </c>
      <c r="EU33" s="76">
        <v>284.26902600000005</v>
      </c>
      <c r="EV33" s="76">
        <v>313.44268099999999</v>
      </c>
      <c r="EW33" s="76">
        <v>297.42947600000002</v>
      </c>
      <c r="EX33" s="76">
        <v>262.03749700000003</v>
      </c>
      <c r="EY33" s="76">
        <v>300.42162389999999</v>
      </c>
      <c r="EZ33" s="76">
        <v>315.17648410000004</v>
      </c>
      <c r="FA33" s="76">
        <v>411.02647800000005</v>
      </c>
      <c r="FB33" s="76">
        <v>253.12851809999995</v>
      </c>
      <c r="FC33" s="76">
        <v>271.49168172000003</v>
      </c>
      <c r="FD33" s="76">
        <v>342.81863112999997</v>
      </c>
      <c r="FE33" s="76">
        <v>367.28344702999999</v>
      </c>
      <c r="FF33" s="76">
        <v>349.77718511</v>
      </c>
      <c r="FG33" s="76">
        <v>333.91637239999994</v>
      </c>
      <c r="FH33" s="76">
        <v>376.64073150000007</v>
      </c>
      <c r="FI33" s="76">
        <v>370.75714500999999</v>
      </c>
      <c r="FJ33" s="76">
        <v>349.57383182000007</v>
      </c>
      <c r="FK33" s="76">
        <v>363.19439886000009</v>
      </c>
      <c r="FL33" s="76">
        <v>430.74787309999999</v>
      </c>
      <c r="FM33" s="76">
        <v>625.76691910000011</v>
      </c>
      <c r="FN33" s="76">
        <v>145.4390563</v>
      </c>
      <c r="FO33" s="76">
        <v>244.69515319999999</v>
      </c>
      <c r="FP33" s="76">
        <v>267.41474890000006</v>
      </c>
      <c r="FQ33" s="76">
        <v>333.97277380000003</v>
      </c>
      <c r="FR33" s="76">
        <v>322.80687456000032</v>
      </c>
      <c r="FS33" s="76">
        <v>342.99355104999898</v>
      </c>
      <c r="FT33" s="76">
        <v>375.60953510000002</v>
      </c>
      <c r="FU33" s="76">
        <v>400.23845827000002</v>
      </c>
      <c r="FV33" s="76">
        <v>426.49228340000008</v>
      </c>
      <c r="FW33" s="76">
        <v>587.37875900000006</v>
      </c>
      <c r="FX33" s="76">
        <v>635.29560129999993</v>
      </c>
      <c r="FY33" s="76">
        <v>1245.3322836473913</v>
      </c>
      <c r="FZ33" s="76">
        <v>284.87518789000001</v>
      </c>
      <c r="GA33" s="76">
        <v>342.18741473</v>
      </c>
      <c r="GB33" s="76">
        <v>432.71789779000005</v>
      </c>
      <c r="GC33" s="76">
        <v>413.36712706000009</v>
      </c>
      <c r="GD33" s="76">
        <v>398.50793811999995</v>
      </c>
      <c r="GE33" s="76">
        <v>442.98995613</v>
      </c>
      <c r="GF33" s="76">
        <v>487.06040154999999</v>
      </c>
      <c r="GG33" s="76">
        <v>407.07125623000002</v>
      </c>
      <c r="GH33" s="76">
        <v>460.35063240000005</v>
      </c>
      <c r="GI33" s="76">
        <v>429.58203384999996</v>
      </c>
      <c r="GJ33" s="76">
        <v>488.95624447999995</v>
      </c>
      <c r="GK33" s="76">
        <v>524.63165400000003</v>
      </c>
      <c r="GL33" s="76">
        <v>251.05258684999981</v>
      </c>
      <c r="GM33" s="76">
        <v>300.42567520999978</v>
      </c>
      <c r="GN33" s="76">
        <v>367.05280289000058</v>
      </c>
      <c r="GO33" s="76">
        <v>392.33357327999818</v>
      </c>
      <c r="GP33" s="76">
        <v>407.45570662000313</v>
      </c>
      <c r="GQ33" s="76">
        <v>385.81598006999997</v>
      </c>
      <c r="GR33" s="76">
        <v>361.11018635999994</v>
      </c>
      <c r="GS33" s="76">
        <v>400.84064266999997</v>
      </c>
      <c r="GT33" s="76">
        <v>401.12253330000789</v>
      </c>
      <c r="GU33" s="76">
        <v>439.20668316999979</v>
      </c>
      <c r="GV33" s="76">
        <v>439.19021982999999</v>
      </c>
      <c r="GW33" s="76">
        <v>538.26328995003564</v>
      </c>
      <c r="GX33" s="73">
        <v>249.62394123999988</v>
      </c>
      <c r="GY33" s="73">
        <v>340.98423372999957</v>
      </c>
      <c r="GZ33" s="73">
        <v>468.81804501999875</v>
      </c>
      <c r="HA33" s="73">
        <v>409.01702221999818</v>
      </c>
      <c r="HB33" s="73">
        <v>443.83494014000223</v>
      </c>
      <c r="HC33" s="73">
        <v>489.27869492999884</v>
      </c>
      <c r="HD33" s="73">
        <v>430.3790651300032</v>
      </c>
      <c r="HE33" s="73">
        <v>372.61119983750228</v>
      </c>
      <c r="HF33" s="73">
        <v>395.60169210749905</v>
      </c>
      <c r="HG33" s="73">
        <v>394.51929481250886</v>
      </c>
      <c r="HH33" s="73">
        <v>401.58048522749925</v>
      </c>
      <c r="HI33" s="73">
        <v>659.8012756499993</v>
      </c>
    </row>
    <row r="34" spans="1:217" x14ac:dyDescent="0.35">
      <c r="A34" s="166" t="s">
        <v>596</v>
      </c>
      <c r="B34" s="76">
        <v>11.601378430121249</v>
      </c>
      <c r="C34" s="76">
        <v>12.025519999999998</v>
      </c>
      <c r="D34" s="76">
        <v>12.019539999999999</v>
      </c>
      <c r="E34" s="76">
        <v>8.9</v>
      </c>
      <c r="F34" s="76">
        <v>8.5028399999999991</v>
      </c>
      <c r="G34" s="76">
        <v>18.285519999999998</v>
      </c>
      <c r="H34" s="76">
        <v>5.00352</v>
      </c>
      <c r="I34" s="76">
        <v>4.5520800000000001</v>
      </c>
      <c r="J34" s="76">
        <v>6.6933999999999996</v>
      </c>
      <c r="K34" s="76">
        <v>5.4874000000000001</v>
      </c>
      <c r="L34" s="76">
        <v>12.221373874262696</v>
      </c>
      <c r="M34" s="76">
        <v>14.512368649115237</v>
      </c>
      <c r="N34" s="76">
        <v>12.2</v>
      </c>
      <c r="O34" s="76">
        <v>10.572000000000001</v>
      </c>
      <c r="P34" s="76">
        <v>18.216999999999999</v>
      </c>
      <c r="Q34" s="76">
        <v>10.641</v>
      </c>
      <c r="R34" s="76">
        <v>13.603999999999999</v>
      </c>
      <c r="S34" s="76">
        <v>12.492000000000001</v>
      </c>
      <c r="T34" s="76">
        <v>10.407999999999999</v>
      </c>
      <c r="U34" s="76">
        <v>10.359299999999999</v>
      </c>
      <c r="V34" s="76">
        <v>12.148999999999999</v>
      </c>
      <c r="W34" s="76">
        <v>12.2</v>
      </c>
      <c r="X34" s="76">
        <v>12.5</v>
      </c>
      <c r="Y34" s="76">
        <v>15.9</v>
      </c>
      <c r="Z34" s="76">
        <v>16.503</v>
      </c>
      <c r="AA34" s="76">
        <v>17.378</v>
      </c>
      <c r="AB34" s="76">
        <v>17.378</v>
      </c>
      <c r="AC34" s="76">
        <v>16.603000000000002</v>
      </c>
      <c r="AD34" s="76">
        <v>16.603000000000002</v>
      </c>
      <c r="AE34" s="76">
        <v>17.699000000000002</v>
      </c>
      <c r="AF34" s="76">
        <v>25.786999999999999</v>
      </c>
      <c r="AG34" s="76">
        <v>25.786999999999999</v>
      </c>
      <c r="AH34" s="76">
        <v>26.707000000000001</v>
      </c>
      <c r="AI34" s="76">
        <v>23.859000000000002</v>
      </c>
      <c r="AJ34" s="76">
        <v>23.843</v>
      </c>
      <c r="AK34" s="76">
        <v>81.097000000000008</v>
      </c>
      <c r="AL34" s="76">
        <v>27.6</v>
      </c>
      <c r="AM34" s="76">
        <v>37.9</v>
      </c>
      <c r="AN34" s="76">
        <v>34</v>
      </c>
      <c r="AO34" s="76">
        <v>41.54</v>
      </c>
      <c r="AP34" s="76">
        <v>34.5</v>
      </c>
      <c r="AQ34" s="76">
        <v>32.4</v>
      </c>
      <c r="AR34" s="76">
        <v>46</v>
      </c>
      <c r="AS34" s="76">
        <v>54</v>
      </c>
      <c r="AT34" s="76">
        <v>56</v>
      </c>
      <c r="AU34" s="76">
        <v>40</v>
      </c>
      <c r="AV34" s="76">
        <v>38.5</v>
      </c>
      <c r="AW34" s="76">
        <v>73.5</v>
      </c>
      <c r="AX34" s="76">
        <v>40.569416860000004</v>
      </c>
      <c r="AY34" s="76">
        <v>43.382042370000001</v>
      </c>
      <c r="AZ34" s="76">
        <v>41.896325210000001</v>
      </c>
      <c r="BA34" s="76">
        <v>51.25032203</v>
      </c>
      <c r="BB34" s="76">
        <v>42.917159210000001</v>
      </c>
      <c r="BC34" s="76">
        <v>70.3</v>
      </c>
      <c r="BD34" s="76">
        <v>43.2</v>
      </c>
      <c r="BE34" s="76">
        <v>60.192</v>
      </c>
      <c r="BF34" s="76">
        <v>69.478999999999999</v>
      </c>
      <c r="BG34" s="76">
        <v>52.819999999999993</v>
      </c>
      <c r="BH34" s="76">
        <v>57.875999999999998</v>
      </c>
      <c r="BI34" s="76">
        <v>91.691999999999993</v>
      </c>
      <c r="BJ34" s="76">
        <v>51.45092957</v>
      </c>
      <c r="BK34" s="76">
        <v>56.084737519999997</v>
      </c>
      <c r="BL34" s="76">
        <v>55.766470830000003</v>
      </c>
      <c r="BM34" s="76">
        <v>62.901844560000001</v>
      </c>
      <c r="BN34" s="76">
        <v>55.252650889999998</v>
      </c>
      <c r="BO34" s="76">
        <v>59.236604010000001</v>
      </c>
      <c r="BP34" s="76">
        <v>61.506800730000002</v>
      </c>
      <c r="BQ34" s="76">
        <v>59.519280370000004</v>
      </c>
      <c r="BR34" s="76">
        <v>366.21748007999997</v>
      </c>
      <c r="BS34" s="76">
        <v>165.49537156000002</v>
      </c>
      <c r="BT34" s="76">
        <v>86.74433289000001</v>
      </c>
      <c r="BU34" s="76">
        <v>103.97461005000001</v>
      </c>
      <c r="BV34" s="76">
        <v>86.260999999999996</v>
      </c>
      <c r="BW34" s="76">
        <v>101.496</v>
      </c>
      <c r="BX34" s="76">
        <v>127.18700000000001</v>
      </c>
      <c r="BY34" s="76">
        <v>115.245</v>
      </c>
      <c r="BZ34" s="76">
        <v>110.71000000000001</v>
      </c>
      <c r="CA34" s="76">
        <v>89.266999999999996</v>
      </c>
      <c r="CB34" s="76">
        <v>110.905</v>
      </c>
      <c r="CC34" s="76">
        <v>88.404000000000011</v>
      </c>
      <c r="CD34" s="76">
        <v>113.843</v>
      </c>
      <c r="CE34" s="76">
        <v>89.704000000000008</v>
      </c>
      <c r="CF34" s="76">
        <v>78.456999999999994</v>
      </c>
      <c r="CG34" s="76">
        <v>114.378</v>
      </c>
      <c r="CH34" s="76">
        <v>67.780619839999986</v>
      </c>
      <c r="CI34" s="76">
        <v>68.191816399999993</v>
      </c>
      <c r="CJ34" s="76">
        <v>84.266219400000011</v>
      </c>
      <c r="CK34" s="76">
        <v>80.284437889999992</v>
      </c>
      <c r="CL34" s="76">
        <v>99.133743039999999</v>
      </c>
      <c r="CM34" s="76">
        <v>79.374224130000002</v>
      </c>
      <c r="CN34" s="76">
        <v>74.251243479999999</v>
      </c>
      <c r="CO34" s="76">
        <v>103.01602643000001</v>
      </c>
      <c r="CP34" s="76">
        <v>83.58266236</v>
      </c>
      <c r="CQ34" s="76">
        <v>77.20687731000001</v>
      </c>
      <c r="CR34" s="76">
        <v>254.36739399999999</v>
      </c>
      <c r="CS34" s="76">
        <v>204.09918300000001</v>
      </c>
      <c r="CT34" s="76">
        <v>112.43499999999999</v>
      </c>
      <c r="CU34" s="76">
        <v>116.041</v>
      </c>
      <c r="CV34" s="76">
        <v>141.209</v>
      </c>
      <c r="CW34" s="76">
        <v>185.82299999999998</v>
      </c>
      <c r="CX34" s="76">
        <v>122.435</v>
      </c>
      <c r="CY34" s="76">
        <v>106.744</v>
      </c>
      <c r="CZ34" s="76">
        <v>105.286</v>
      </c>
      <c r="DA34" s="76">
        <v>133.78</v>
      </c>
      <c r="DB34" s="76">
        <v>100.389</v>
      </c>
      <c r="DC34" s="76">
        <v>145.744</v>
      </c>
      <c r="DD34" s="76">
        <v>117.379</v>
      </c>
      <c r="DE34" s="76">
        <v>175.83199999999999</v>
      </c>
      <c r="DF34" s="76">
        <v>105.483</v>
      </c>
      <c r="DG34" s="76">
        <v>106.39599999999999</v>
      </c>
      <c r="DH34" s="76">
        <v>135.89499999999998</v>
      </c>
      <c r="DI34" s="76">
        <v>143.22999999999999</v>
      </c>
      <c r="DJ34" s="76">
        <v>136.55100000000002</v>
      </c>
      <c r="DK34" s="76">
        <v>130.08799999999999</v>
      </c>
      <c r="DL34" s="76">
        <v>113.16800000000001</v>
      </c>
      <c r="DM34" s="76">
        <v>176.57799999999997</v>
      </c>
      <c r="DN34" s="76">
        <v>150.07400000000001</v>
      </c>
      <c r="DO34" s="76">
        <v>263.19600000000003</v>
      </c>
      <c r="DP34" s="76">
        <v>189.87799999999999</v>
      </c>
      <c r="DQ34" s="76">
        <v>224.21800000000002</v>
      </c>
      <c r="DR34" s="76">
        <v>167.56200000000001</v>
      </c>
      <c r="DS34" s="76">
        <v>159.79399999999998</v>
      </c>
      <c r="DT34" s="76">
        <v>190.923</v>
      </c>
      <c r="DU34" s="76">
        <v>205.61448621</v>
      </c>
      <c r="DV34" s="76">
        <v>149.33019706000002</v>
      </c>
      <c r="DW34" s="76">
        <v>163.062273</v>
      </c>
      <c r="DX34" s="76">
        <v>173.92736400000001</v>
      </c>
      <c r="DY34" s="76">
        <v>229.232</v>
      </c>
      <c r="DZ34" s="76">
        <v>170.172359</v>
      </c>
      <c r="EA34" s="76">
        <v>159.54176799999999</v>
      </c>
      <c r="EB34" s="76">
        <v>220.03500000000003</v>
      </c>
      <c r="EC34" s="76">
        <v>256.08199999999999</v>
      </c>
      <c r="ED34" s="76">
        <v>227.37316290999999</v>
      </c>
      <c r="EE34" s="76">
        <v>244.84709862999995</v>
      </c>
      <c r="EF34" s="76">
        <v>271.86756336999997</v>
      </c>
      <c r="EG34" s="76">
        <v>250.61800195000001</v>
      </c>
      <c r="EH34" s="76">
        <v>256.73289144</v>
      </c>
      <c r="EI34" s="76">
        <v>261.55309160000002</v>
      </c>
      <c r="EJ34" s="76">
        <v>271.28393986000003</v>
      </c>
      <c r="EK34" s="76">
        <v>344.40909999999997</v>
      </c>
      <c r="EL34" s="76">
        <v>261.97663699999993</v>
      </c>
      <c r="EM34" s="76">
        <v>235.24207699999999</v>
      </c>
      <c r="EN34" s="76">
        <v>206.58193299999996</v>
      </c>
      <c r="EO34" s="76">
        <v>372.07757300000003</v>
      </c>
      <c r="EP34" s="76">
        <v>211.407197</v>
      </c>
      <c r="EQ34" s="76">
        <v>214.76409600000005</v>
      </c>
      <c r="ER34" s="76">
        <v>271.98532599999999</v>
      </c>
      <c r="ES34" s="76">
        <v>270.51300000000003</v>
      </c>
      <c r="ET34" s="76">
        <v>244.50671900000003</v>
      </c>
      <c r="EU34" s="76">
        <v>256.39709199999999</v>
      </c>
      <c r="EV34" s="76">
        <v>232.71276899999998</v>
      </c>
      <c r="EW34" s="76">
        <v>252.33099799999999</v>
      </c>
      <c r="EX34" s="76">
        <v>316.829228</v>
      </c>
      <c r="EY34" s="76">
        <v>302.58259399999997</v>
      </c>
      <c r="EZ34" s="76">
        <v>306.23289</v>
      </c>
      <c r="FA34" s="76">
        <v>454.390603</v>
      </c>
      <c r="FB34" s="76">
        <v>227.92549981461175</v>
      </c>
      <c r="FC34" s="76">
        <v>268.04638593062077</v>
      </c>
      <c r="FD34" s="76">
        <v>285.25188104386564</v>
      </c>
      <c r="FE34" s="76">
        <v>322.17611768112408</v>
      </c>
      <c r="FF34" s="76">
        <v>247.25365907020023</v>
      </c>
      <c r="FG34" s="76">
        <v>244.35898829570593</v>
      </c>
      <c r="FH34" s="76">
        <v>245.8902586934397</v>
      </c>
      <c r="FI34" s="76">
        <v>313.39571922502017</v>
      </c>
      <c r="FJ34" s="76">
        <v>246.21632481971915</v>
      </c>
      <c r="FK34" s="76">
        <v>248.03888049603989</v>
      </c>
      <c r="FL34" s="76">
        <v>273.24717712345148</v>
      </c>
      <c r="FM34" s="76">
        <v>488.12900800620122</v>
      </c>
      <c r="FN34" s="76">
        <v>252.15817300000001</v>
      </c>
      <c r="FO34" s="76">
        <v>260.57786449999998</v>
      </c>
      <c r="FP34" s="76">
        <v>325.2789927</v>
      </c>
      <c r="FQ34" s="76">
        <v>268.64640929999996</v>
      </c>
      <c r="FR34" s="76">
        <v>272.70679799999999</v>
      </c>
      <c r="FS34" s="76">
        <v>274.00718360000002</v>
      </c>
      <c r="FT34" s="76">
        <v>272.958754</v>
      </c>
      <c r="FU34" s="76">
        <v>384.42709100000002</v>
      </c>
      <c r="FV34" s="76">
        <v>277.82200499999999</v>
      </c>
      <c r="FW34" s="76">
        <v>281.337895</v>
      </c>
      <c r="FX34" s="76">
        <v>278.130743</v>
      </c>
      <c r="FY34" s="76">
        <v>517.11523290000002</v>
      </c>
      <c r="FZ34" s="76">
        <v>287.05981565000002</v>
      </c>
      <c r="GA34" s="76">
        <v>305.42710120999999</v>
      </c>
      <c r="GB34" s="76">
        <v>364.27171114999999</v>
      </c>
      <c r="GC34" s="76">
        <v>321.83054433000001</v>
      </c>
      <c r="GD34" s="76">
        <v>309.28621132999996</v>
      </c>
      <c r="GE34" s="76">
        <v>358.00266377000003</v>
      </c>
      <c r="GF34" s="76">
        <v>337.32585649999999</v>
      </c>
      <c r="GG34" s="76">
        <v>407.91549313000007</v>
      </c>
      <c r="GH34" s="76">
        <v>322.85611000000006</v>
      </c>
      <c r="GI34" s="76">
        <v>328.85124940000003</v>
      </c>
      <c r="GJ34" s="76">
        <v>329.13016900000002</v>
      </c>
      <c r="GK34" s="76">
        <v>550.22265700000003</v>
      </c>
      <c r="GL34" s="76">
        <v>334.84600423000001</v>
      </c>
      <c r="GM34" s="76">
        <v>341.69927739999997</v>
      </c>
      <c r="GN34" s="76">
        <v>398.53124717000003</v>
      </c>
      <c r="GO34" s="76">
        <v>347.08786799000001</v>
      </c>
      <c r="GP34" s="76">
        <v>346.98700603999998</v>
      </c>
      <c r="GQ34" s="76">
        <v>352.32965115000002</v>
      </c>
      <c r="GR34" s="76">
        <v>345.98581738999997</v>
      </c>
      <c r="GS34" s="76">
        <v>467.89557292000006</v>
      </c>
      <c r="GT34" s="76">
        <v>372.47153472000002</v>
      </c>
      <c r="GU34" s="76">
        <v>367.85965736000009</v>
      </c>
      <c r="GV34" s="76">
        <v>362.78856817999991</v>
      </c>
      <c r="GW34" s="76">
        <v>616.06699868999999</v>
      </c>
      <c r="GX34" s="73">
        <v>369.1694152</v>
      </c>
      <c r="GY34" s="73">
        <v>387.04697966000003</v>
      </c>
      <c r="GZ34" s="73">
        <v>426.06618979999996</v>
      </c>
      <c r="HA34" s="73">
        <v>381.46853500000003</v>
      </c>
      <c r="HB34" s="73">
        <v>383.73227519</v>
      </c>
      <c r="HC34" s="73">
        <v>406.19223387</v>
      </c>
      <c r="HD34" s="73">
        <v>366.41794384000002</v>
      </c>
      <c r="HE34" s="73">
        <v>492.73363341999993</v>
      </c>
      <c r="HF34" s="73">
        <v>398.21923584000007</v>
      </c>
      <c r="HG34" s="73">
        <v>401.24372403999996</v>
      </c>
      <c r="HH34" s="73">
        <v>397.25138264000003</v>
      </c>
      <c r="HI34" s="73">
        <v>589.71097335000002</v>
      </c>
    </row>
    <row r="35" spans="1:217" x14ac:dyDescent="0.35">
      <c r="A35" s="166" t="s">
        <v>597</v>
      </c>
      <c r="B35" s="76">
        <v>18.659342942708431</v>
      </c>
      <c r="C35" s="76">
        <v>56.017936272068866</v>
      </c>
      <c r="D35" s="76">
        <v>41.682831776020279</v>
      </c>
      <c r="E35" s="76">
        <v>63.801218803177534</v>
      </c>
      <c r="F35" s="76">
        <v>39.216925011538457</v>
      </c>
      <c r="G35" s="76">
        <v>46.927263620000005</v>
      </c>
      <c r="H35" s="76">
        <v>49.830249811538458</v>
      </c>
      <c r="I35" s="76">
        <v>83.124552951538448</v>
      </c>
      <c r="J35" s="76">
        <v>42.100156181538459</v>
      </c>
      <c r="K35" s="76">
        <v>66.511765128205127</v>
      </c>
      <c r="L35" s="76">
        <v>57.297144360519241</v>
      </c>
      <c r="M35" s="76">
        <v>195.06846367995462</v>
      </c>
      <c r="N35" s="76">
        <v>53.838985999999991</v>
      </c>
      <c r="O35" s="76">
        <v>27.147016000000008</v>
      </c>
      <c r="P35" s="76">
        <v>23.7654</v>
      </c>
      <c r="Q35" s="76">
        <v>34.733098999999996</v>
      </c>
      <c r="R35" s="76">
        <v>28.97</v>
      </c>
      <c r="S35" s="76">
        <v>66.127099999999999</v>
      </c>
      <c r="T35" s="76">
        <v>26.264809999999997</v>
      </c>
      <c r="U35" s="76">
        <v>42.956863000000006</v>
      </c>
      <c r="V35" s="76">
        <v>32.461200000000005</v>
      </c>
      <c r="W35" s="76">
        <v>35.770000000000003</v>
      </c>
      <c r="X35" s="76">
        <v>32.209999999999994</v>
      </c>
      <c r="Y35" s="76">
        <v>49.622999999999983</v>
      </c>
      <c r="Z35" s="76">
        <v>37.242189491891764</v>
      </c>
      <c r="AA35" s="76">
        <v>96.463999999999999</v>
      </c>
      <c r="AB35" s="76">
        <v>26.535</v>
      </c>
      <c r="AC35" s="76">
        <v>32.738814000000005</v>
      </c>
      <c r="AD35" s="76">
        <v>41.883550772654615</v>
      </c>
      <c r="AE35" s="76">
        <v>28.56</v>
      </c>
      <c r="AF35" s="76">
        <v>38.191727</v>
      </c>
      <c r="AG35" s="76">
        <v>45.417000000000002</v>
      </c>
      <c r="AH35" s="76">
        <v>45.544944693524755</v>
      </c>
      <c r="AI35" s="76">
        <v>31.365592583333331</v>
      </c>
      <c r="AJ35" s="76">
        <v>30.838592583333334</v>
      </c>
      <c r="AK35" s="76">
        <v>65.679550166917863</v>
      </c>
      <c r="AL35" s="76">
        <v>34.850349430299048</v>
      </c>
      <c r="AM35" s="76">
        <v>38.71141931635885</v>
      </c>
      <c r="AN35" s="76">
        <v>43.169971905721688</v>
      </c>
      <c r="AO35" s="76">
        <v>44.904000000000003</v>
      </c>
      <c r="AP35" s="76">
        <v>43.851397721196165</v>
      </c>
      <c r="AQ35" s="76">
        <v>56.004943811443376</v>
      </c>
      <c r="AR35" s="76">
        <v>58.166666666666671</v>
      </c>
      <c r="AS35" s="76">
        <v>36.059999999999995</v>
      </c>
      <c r="AT35" s="76">
        <v>66.510696063510352</v>
      </c>
      <c r="AU35" s="76">
        <v>46.65727428556103</v>
      </c>
      <c r="AV35" s="76">
        <v>44.758574407641497</v>
      </c>
      <c r="AW35" s="76">
        <v>39.733333333333334</v>
      </c>
      <c r="AX35" s="76">
        <v>50.31600000000001</v>
      </c>
      <c r="AY35" s="76">
        <v>53.337800666666666</v>
      </c>
      <c r="AZ35" s="76">
        <v>56.328389036666678</v>
      </c>
      <c r="BA35" s="76">
        <v>71.338568869999989</v>
      </c>
      <c r="BB35" s="76">
        <v>66.47959316666666</v>
      </c>
      <c r="BC35" s="76">
        <v>55.251735046666653</v>
      </c>
      <c r="BD35" s="76">
        <v>68.985469569999992</v>
      </c>
      <c r="BE35" s="76">
        <v>74.689157600000016</v>
      </c>
      <c r="BF35" s="76">
        <v>69.379697080678696</v>
      </c>
      <c r="BG35" s="76">
        <v>65.245639053333321</v>
      </c>
      <c r="BH35" s="76">
        <v>80.138345000000001</v>
      </c>
      <c r="BI35" s="76">
        <v>92.420270000000002</v>
      </c>
      <c r="BJ35" s="76">
        <v>74.404206083074897</v>
      </c>
      <c r="BK35" s="76">
        <v>74.621858956666657</v>
      </c>
      <c r="BL35" s="76">
        <v>65.571130140000008</v>
      </c>
      <c r="BM35" s="76">
        <v>62.835706770000002</v>
      </c>
      <c r="BN35" s="76">
        <v>98.668966195833335</v>
      </c>
      <c r="BO35" s="76">
        <v>67.654248725833341</v>
      </c>
      <c r="BP35" s="76">
        <v>123.21426382583331</v>
      </c>
      <c r="BQ35" s="76">
        <v>84.676017815833319</v>
      </c>
      <c r="BR35" s="76">
        <v>68.056999196716731</v>
      </c>
      <c r="BS35" s="76">
        <v>74.263854165833322</v>
      </c>
      <c r="BT35" s="76">
        <v>71.917368265833332</v>
      </c>
      <c r="BU35" s="76">
        <v>147.74816909916666</v>
      </c>
      <c r="BV35" s="76">
        <v>64.783911905574897</v>
      </c>
      <c r="BW35" s="76">
        <v>75.104383702500016</v>
      </c>
      <c r="BX35" s="76">
        <v>109.36213699250003</v>
      </c>
      <c r="BY35" s="76">
        <v>67.909446201388903</v>
      </c>
      <c r="BZ35" s="76">
        <v>70.143652841388899</v>
      </c>
      <c r="CA35" s="76">
        <v>89.917189709747234</v>
      </c>
      <c r="CB35" s="76">
        <v>95.090290881388896</v>
      </c>
      <c r="CC35" s="76">
        <v>70.117262901388912</v>
      </c>
      <c r="CD35" s="76">
        <v>129.86767395810563</v>
      </c>
      <c r="CE35" s="76">
        <v>126.61434895138889</v>
      </c>
      <c r="CF35" s="76">
        <v>116.7811291469279</v>
      </c>
      <c r="CG35" s="76">
        <v>178.11111339249999</v>
      </c>
      <c r="CH35" s="76">
        <v>46.337271779999995</v>
      </c>
      <c r="CI35" s="76">
        <v>68.459732185833332</v>
      </c>
      <c r="CJ35" s="76">
        <v>77.694464325833323</v>
      </c>
      <c r="CK35" s="76">
        <v>88.208432456291661</v>
      </c>
      <c r="CL35" s="76">
        <v>79.891807815555566</v>
      </c>
      <c r="CM35" s="76">
        <v>103.47898128018058</v>
      </c>
      <c r="CN35" s="76">
        <v>82.06019350018056</v>
      </c>
      <c r="CO35" s="76">
        <v>266.08041607618054</v>
      </c>
      <c r="CP35" s="76">
        <v>171.02294796689728</v>
      </c>
      <c r="CQ35" s="76">
        <v>236.56880481018058</v>
      </c>
      <c r="CR35" s="76">
        <v>136.10695603183066</v>
      </c>
      <c r="CS35" s="76">
        <v>199.16755845611112</v>
      </c>
      <c r="CT35" s="76">
        <v>227.90999075873447</v>
      </c>
      <c r="CU35" s="76">
        <v>268.17110635300293</v>
      </c>
      <c r="CV35" s="76">
        <v>357.5983373504364</v>
      </c>
      <c r="CW35" s="76">
        <v>392.0968747314439</v>
      </c>
      <c r="CX35" s="76">
        <v>550.83330859026262</v>
      </c>
      <c r="CY35" s="76">
        <v>499.43787268041899</v>
      </c>
      <c r="CZ35" s="76">
        <v>676.58739633363052</v>
      </c>
      <c r="DA35" s="76">
        <v>480.9273500475021</v>
      </c>
      <c r="DB35" s="76">
        <v>531.95154413794376</v>
      </c>
      <c r="DC35" s="76">
        <v>570.09474452150016</v>
      </c>
      <c r="DD35" s="76">
        <v>489.6032312827133</v>
      </c>
      <c r="DE35" s="76">
        <v>490.81625859046932</v>
      </c>
      <c r="DF35" s="76">
        <v>294.78671144214195</v>
      </c>
      <c r="DG35" s="76">
        <v>266.01226946981683</v>
      </c>
      <c r="DH35" s="76">
        <v>324.01494466684505</v>
      </c>
      <c r="DI35" s="76">
        <v>350.27462045493127</v>
      </c>
      <c r="DJ35" s="76">
        <v>325.27446621317245</v>
      </c>
      <c r="DK35" s="76">
        <v>205.24136344991166</v>
      </c>
      <c r="DL35" s="76">
        <v>224.75368476077841</v>
      </c>
      <c r="DM35" s="76">
        <v>242.02483041936924</v>
      </c>
      <c r="DN35" s="76">
        <v>306.96040561370444</v>
      </c>
      <c r="DO35" s="76">
        <v>386.76351160758963</v>
      </c>
      <c r="DP35" s="76">
        <v>404.39686199805391</v>
      </c>
      <c r="DQ35" s="76">
        <v>522.54071671631277</v>
      </c>
      <c r="DR35" s="76">
        <v>463.19571498259666</v>
      </c>
      <c r="DS35" s="76">
        <v>435.99507565685497</v>
      </c>
      <c r="DT35" s="76">
        <v>452.96631804525498</v>
      </c>
      <c r="DU35" s="76">
        <v>425.27656052333043</v>
      </c>
      <c r="DV35" s="76">
        <v>475.28708341224683</v>
      </c>
      <c r="DW35" s="76">
        <v>414.94428214990762</v>
      </c>
      <c r="DX35" s="76">
        <v>423.54161294040068</v>
      </c>
      <c r="DY35" s="76">
        <v>377.79720122962652</v>
      </c>
      <c r="DZ35" s="76">
        <v>409.6128284557654</v>
      </c>
      <c r="EA35" s="76">
        <v>416.83683536646396</v>
      </c>
      <c r="EB35" s="76">
        <v>526.48552742133154</v>
      </c>
      <c r="EC35" s="76">
        <v>549.12052586230766</v>
      </c>
      <c r="ED35" s="76">
        <v>508.09890760436531</v>
      </c>
      <c r="EE35" s="76">
        <v>575.20047473162617</v>
      </c>
      <c r="EF35" s="76">
        <v>670.42793597180014</v>
      </c>
      <c r="EG35" s="76">
        <v>759.94046085530101</v>
      </c>
      <c r="EH35" s="76">
        <v>744.7923062956736</v>
      </c>
      <c r="EI35" s="76">
        <v>683.68152341495068</v>
      </c>
      <c r="EJ35" s="76">
        <v>739.9567604969219</v>
      </c>
      <c r="EK35" s="76">
        <v>647.53109469612855</v>
      </c>
      <c r="EL35" s="76">
        <v>746.64662271820316</v>
      </c>
      <c r="EM35" s="76">
        <v>757.64178209048464</v>
      </c>
      <c r="EN35" s="76">
        <v>788.23360724940176</v>
      </c>
      <c r="EO35" s="76">
        <v>805.9777244216242</v>
      </c>
      <c r="EP35" s="76">
        <v>669.68102673683859</v>
      </c>
      <c r="EQ35" s="76">
        <v>553.50910330314753</v>
      </c>
      <c r="ER35" s="76">
        <v>696.62007191181283</v>
      </c>
      <c r="ES35" s="76">
        <v>723.102599432847</v>
      </c>
      <c r="ET35" s="76">
        <v>770.8760040841795</v>
      </c>
      <c r="EU35" s="76">
        <v>729.15360291625427</v>
      </c>
      <c r="EV35" s="76">
        <v>659.88768611220439</v>
      </c>
      <c r="EW35" s="76">
        <v>784.54299524790576</v>
      </c>
      <c r="EX35" s="76">
        <v>733.86143250880355</v>
      </c>
      <c r="EY35" s="76">
        <v>783.99451434336356</v>
      </c>
      <c r="EZ35" s="76">
        <v>752.62700942818401</v>
      </c>
      <c r="FA35" s="76">
        <v>768.22710781552883</v>
      </c>
      <c r="FB35" s="76">
        <v>676.67616274646593</v>
      </c>
      <c r="FC35" s="76">
        <v>797.65253818100041</v>
      </c>
      <c r="FD35" s="76">
        <v>799.96899344215706</v>
      </c>
      <c r="FE35" s="76">
        <v>711.29308149101962</v>
      </c>
      <c r="FF35" s="76">
        <v>727.78290214963545</v>
      </c>
      <c r="FG35" s="76">
        <v>869.44316965410326</v>
      </c>
      <c r="FH35" s="76">
        <v>647.91491821300986</v>
      </c>
      <c r="FI35" s="76">
        <v>851.34065594576168</v>
      </c>
      <c r="FJ35" s="76">
        <v>790.08989287640634</v>
      </c>
      <c r="FK35" s="76">
        <v>832.91106010791987</v>
      </c>
      <c r="FL35" s="76">
        <v>767.29529868066584</v>
      </c>
      <c r="FM35" s="76">
        <v>792.2016645945065</v>
      </c>
      <c r="FN35" s="76">
        <v>906.26489974224592</v>
      </c>
      <c r="FO35" s="76">
        <v>682.62530003572044</v>
      </c>
      <c r="FP35" s="76">
        <v>667.2599937603959</v>
      </c>
      <c r="FQ35" s="76">
        <v>1011.6463509300547</v>
      </c>
      <c r="FR35" s="76">
        <v>714.46023016022764</v>
      </c>
      <c r="FS35" s="76">
        <v>796.56169903022749</v>
      </c>
      <c r="FT35" s="76">
        <v>844.87668988437429</v>
      </c>
      <c r="FU35" s="76">
        <v>711.99775519999992</v>
      </c>
      <c r="FV35" s="76">
        <v>750.50378911957466</v>
      </c>
      <c r="FW35" s="76">
        <v>774.26828658004831</v>
      </c>
      <c r="FX35" s="76">
        <v>712.76961562552174</v>
      </c>
      <c r="FY35" s="76">
        <v>923.83258879752464</v>
      </c>
      <c r="FZ35" s="76">
        <v>545.70879401059415</v>
      </c>
      <c r="GA35" s="76">
        <v>586.70035572026779</v>
      </c>
      <c r="GB35" s="76">
        <v>548.15111373240074</v>
      </c>
      <c r="GC35" s="76">
        <v>560.39631807276101</v>
      </c>
      <c r="GD35" s="76">
        <v>635.58994877646171</v>
      </c>
      <c r="GE35" s="76">
        <v>616.19783487453071</v>
      </c>
      <c r="GF35" s="76">
        <v>615.17685891008841</v>
      </c>
      <c r="GG35" s="76">
        <v>514.80341006999993</v>
      </c>
      <c r="GH35" s="76">
        <v>602.86187018127293</v>
      </c>
      <c r="GI35" s="76">
        <v>547.95169199297197</v>
      </c>
      <c r="GJ35" s="76">
        <v>559.31348144200706</v>
      </c>
      <c r="GK35" s="76">
        <v>557.59350033920839</v>
      </c>
      <c r="GL35" s="76">
        <v>538.51105328155404</v>
      </c>
      <c r="GM35" s="76">
        <v>604.34338510374585</v>
      </c>
      <c r="GN35" s="76">
        <v>422.20089844884893</v>
      </c>
      <c r="GO35" s="76">
        <v>473.45765411104503</v>
      </c>
      <c r="GP35" s="76">
        <v>389.08550330371111</v>
      </c>
      <c r="GQ35" s="76">
        <v>430.29865676017346</v>
      </c>
      <c r="GR35" s="76">
        <v>363.62234300518202</v>
      </c>
      <c r="GS35" s="76">
        <v>450.64180570417386</v>
      </c>
      <c r="GT35" s="76">
        <v>429.90138887556424</v>
      </c>
      <c r="GU35" s="76">
        <v>542.70724633101895</v>
      </c>
      <c r="GV35" s="76">
        <v>516.9121894611734</v>
      </c>
      <c r="GW35" s="76">
        <v>529.16843803380868</v>
      </c>
      <c r="GX35" s="73">
        <v>460.03583888468796</v>
      </c>
      <c r="GY35" s="73">
        <v>419.05842522707997</v>
      </c>
      <c r="GZ35" s="73">
        <v>527.30628336827999</v>
      </c>
      <c r="HA35" s="73">
        <v>538.36626030595994</v>
      </c>
      <c r="HB35" s="73">
        <v>488.396784674</v>
      </c>
      <c r="HC35" s="73">
        <v>453.2007525276</v>
      </c>
      <c r="HD35" s="73">
        <v>399.77341342000005</v>
      </c>
      <c r="HE35" s="73">
        <v>506.2832095</v>
      </c>
      <c r="HF35" s="73">
        <v>479.45418732000002</v>
      </c>
      <c r="HG35" s="73">
        <v>437.18916502000002</v>
      </c>
      <c r="HH35" s="73">
        <v>528.18866267999988</v>
      </c>
      <c r="HI35" s="73">
        <v>539.90116684999998</v>
      </c>
    </row>
    <row r="36" spans="1:217" x14ac:dyDescent="0.35">
      <c r="A36" s="16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</row>
    <row r="37" spans="1:217" x14ac:dyDescent="0.35">
      <c r="A37" s="170" t="s">
        <v>598</v>
      </c>
      <c r="B37" s="74">
        <v>29.244106445437147</v>
      </c>
      <c r="C37" s="74">
        <v>34.845431620000006</v>
      </c>
      <c r="D37" s="74">
        <v>44.526545849999998</v>
      </c>
      <c r="E37" s="74">
        <v>72.302222950000001</v>
      </c>
      <c r="F37" s="74">
        <v>59.220643809999999</v>
      </c>
      <c r="G37" s="74">
        <v>69.642928440000006</v>
      </c>
      <c r="H37" s="74">
        <v>67.844210796666673</v>
      </c>
      <c r="I37" s="74">
        <v>74.090680916666656</v>
      </c>
      <c r="J37" s="74">
        <v>88.346875816666667</v>
      </c>
      <c r="K37" s="74">
        <v>88.774266666666662</v>
      </c>
      <c r="L37" s="74">
        <v>68.772280306842575</v>
      </c>
      <c r="M37" s="74">
        <v>96.927384321157149</v>
      </c>
      <c r="N37" s="74">
        <v>123.95601366666668</v>
      </c>
      <c r="O37" s="74">
        <v>141.41475966666667</v>
      </c>
      <c r="P37" s="74">
        <v>127.98183066666667</v>
      </c>
      <c r="Q37" s="74">
        <v>78.535892666666655</v>
      </c>
      <c r="R37" s="74">
        <v>120.51461166666667</v>
      </c>
      <c r="S37" s="74">
        <v>100.68766666666667</v>
      </c>
      <c r="T37" s="74">
        <v>80.302581666666669</v>
      </c>
      <c r="U37" s="74">
        <v>105.29991066666668</v>
      </c>
      <c r="V37" s="74">
        <v>121.18436666666666</v>
      </c>
      <c r="W37" s="74">
        <v>118.87266666666667</v>
      </c>
      <c r="X37" s="74">
        <v>120.36266666666666</v>
      </c>
      <c r="Y37" s="74">
        <v>168.54866666666661</v>
      </c>
      <c r="Z37" s="74">
        <v>77.905000000999991</v>
      </c>
      <c r="AA37" s="74">
        <v>19.890381000000005</v>
      </c>
      <c r="AB37" s="74">
        <v>116.598652</v>
      </c>
      <c r="AC37" s="74">
        <v>165.22932299999999</v>
      </c>
      <c r="AD37" s="74">
        <v>166.49312671428572</v>
      </c>
      <c r="AE37" s="74">
        <v>132.61264107792209</v>
      </c>
      <c r="AF37" s="74">
        <v>104.96564285714287</v>
      </c>
      <c r="AG37" s="74">
        <v>114.65859642857144</v>
      </c>
      <c r="AH37" s="74">
        <v>135.89244799466468</v>
      </c>
      <c r="AI37" s="74">
        <v>195.93312680857144</v>
      </c>
      <c r="AJ37" s="74">
        <v>216.02961660545469</v>
      </c>
      <c r="AK37" s="74">
        <v>135.39226317220778</v>
      </c>
      <c r="AL37" s="74">
        <v>109.99799999999999</v>
      </c>
      <c r="AM37" s="74">
        <v>94.903999999999996</v>
      </c>
      <c r="AN37" s="74">
        <v>71.771000000000001</v>
      </c>
      <c r="AO37" s="74">
        <v>102.67500000000001</v>
      </c>
      <c r="AP37" s="74">
        <v>94.116337777725533</v>
      </c>
      <c r="AQ37" s="74">
        <v>115.47511302349906</v>
      </c>
      <c r="AR37" s="74">
        <v>120.45687959595011</v>
      </c>
      <c r="AS37" s="74">
        <v>131.79279932658352</v>
      </c>
      <c r="AT37" s="74">
        <v>180.72200000000001</v>
      </c>
      <c r="AU37" s="74">
        <v>132.94479932658351</v>
      </c>
      <c r="AV37" s="74">
        <v>139.2047993265835</v>
      </c>
      <c r="AW37" s="74">
        <v>166.3127993265835</v>
      </c>
      <c r="AX37" s="74">
        <v>47.184632240000006</v>
      </c>
      <c r="AY37" s="74">
        <v>100.48218746333333</v>
      </c>
      <c r="AZ37" s="74">
        <v>153.24186903333336</v>
      </c>
      <c r="BA37" s="74">
        <v>138.49499638333333</v>
      </c>
      <c r="BB37" s="74">
        <v>147.00905969333331</v>
      </c>
      <c r="BC37" s="74">
        <v>143.52151212333334</v>
      </c>
      <c r="BD37" s="74">
        <v>115.81481281000001</v>
      </c>
      <c r="BE37" s="74">
        <v>114.71502737</v>
      </c>
      <c r="BF37" s="74">
        <v>116.94817962</v>
      </c>
      <c r="BG37" s="74">
        <v>140.66530860835482</v>
      </c>
      <c r="BH37" s="74">
        <v>117.00088560835484</v>
      </c>
      <c r="BI37" s="74">
        <v>272.70597760835483</v>
      </c>
      <c r="BJ37" s="74">
        <v>122.33865008333333</v>
      </c>
      <c r="BK37" s="74">
        <v>146.59758349333333</v>
      </c>
      <c r="BL37" s="74">
        <v>170.90585703333335</v>
      </c>
      <c r="BM37" s="74">
        <v>149.48809279</v>
      </c>
      <c r="BN37" s="74">
        <v>157.17208767921136</v>
      </c>
      <c r="BO37" s="74">
        <v>93.730840999211352</v>
      </c>
      <c r="BP37" s="74">
        <v>115.16660429505363</v>
      </c>
      <c r="BQ37" s="74">
        <v>147.91954650842271</v>
      </c>
      <c r="BR37" s="74">
        <v>170.96793867</v>
      </c>
      <c r="BS37" s="74">
        <v>114.60695634842268</v>
      </c>
      <c r="BT37" s="74">
        <v>157.57691225842271</v>
      </c>
      <c r="BU37" s="74">
        <v>284.14034711842277</v>
      </c>
      <c r="BV37" s="74">
        <v>86.393407293333325</v>
      </c>
      <c r="BW37" s="74">
        <v>98.10733333333333</v>
      </c>
      <c r="BX37" s="74">
        <v>222.39193899666671</v>
      </c>
      <c r="BY37" s="74">
        <v>119.16163272666665</v>
      </c>
      <c r="BZ37" s="74">
        <v>150.44274031254471</v>
      </c>
      <c r="CA37" s="74">
        <v>188.40279635254467</v>
      </c>
      <c r="CB37" s="74">
        <v>126.06058764505362</v>
      </c>
      <c r="CC37" s="74">
        <v>155.96812047175604</v>
      </c>
      <c r="CD37" s="74">
        <v>136.89497289333335</v>
      </c>
      <c r="CE37" s="74">
        <v>142.42636773175602</v>
      </c>
      <c r="CF37" s="74">
        <v>269.00489952175599</v>
      </c>
      <c r="CG37" s="74">
        <v>248.20738112508934</v>
      </c>
      <c r="CH37" s="74">
        <v>129.71833252583335</v>
      </c>
      <c r="CI37" s="74">
        <v>110.55731823583334</v>
      </c>
      <c r="CJ37" s="74">
        <v>291.89255459554607</v>
      </c>
      <c r="CK37" s="74">
        <v>211.03341209583334</v>
      </c>
      <c r="CL37" s="74">
        <v>245.69716348171136</v>
      </c>
      <c r="CM37" s="74">
        <v>256.85068590471133</v>
      </c>
      <c r="CN37" s="74">
        <v>267.30874776755365</v>
      </c>
      <c r="CO37" s="74">
        <v>374.26283024175609</v>
      </c>
      <c r="CP37" s="74">
        <v>342.99886150333333</v>
      </c>
      <c r="CQ37" s="74">
        <v>364.88723804092263</v>
      </c>
      <c r="CR37" s="74">
        <v>301.14430703092273</v>
      </c>
      <c r="CS37" s="74">
        <v>448.04170376425606</v>
      </c>
      <c r="CT37" s="74">
        <v>277.38266106993854</v>
      </c>
      <c r="CU37" s="74">
        <v>218.70355088677155</v>
      </c>
      <c r="CV37" s="74">
        <v>424.57797358243988</v>
      </c>
      <c r="CW37" s="74">
        <v>456.37231677876321</v>
      </c>
      <c r="CX37" s="74">
        <v>483.21445321015193</v>
      </c>
      <c r="CY37" s="74">
        <v>426.5425358228743</v>
      </c>
      <c r="CZ37" s="74">
        <v>623.19496923294025</v>
      </c>
      <c r="DA37" s="74">
        <v>710.03928714291715</v>
      </c>
      <c r="DB37" s="74">
        <v>671.32722147892355</v>
      </c>
      <c r="DC37" s="74">
        <v>665.97198475040091</v>
      </c>
      <c r="DD37" s="74">
        <v>775.23113428618876</v>
      </c>
      <c r="DE37" s="74">
        <v>1268.2147950340625</v>
      </c>
      <c r="DF37" s="74">
        <v>288.21779465081613</v>
      </c>
      <c r="DG37" s="74">
        <v>367.05963004464792</v>
      </c>
      <c r="DH37" s="74">
        <v>575.96683790591828</v>
      </c>
      <c r="DI37" s="74">
        <v>600.67882216932071</v>
      </c>
      <c r="DJ37" s="74">
        <v>336.27288388069769</v>
      </c>
      <c r="DK37" s="74">
        <v>526.29050141639891</v>
      </c>
      <c r="DL37" s="74">
        <v>481.5688462648302</v>
      </c>
      <c r="DM37" s="74">
        <v>511.77026855921417</v>
      </c>
      <c r="DN37" s="74">
        <v>604.30511791279434</v>
      </c>
      <c r="DO37" s="74">
        <v>700.6326882422934</v>
      </c>
      <c r="DP37" s="74">
        <v>731.24168655310893</v>
      </c>
      <c r="DQ37" s="74">
        <v>956.1433603168233</v>
      </c>
      <c r="DR37" s="74">
        <v>293.03332013089948</v>
      </c>
      <c r="DS37" s="74">
        <v>292.80189624919012</v>
      </c>
      <c r="DT37" s="74">
        <v>452.76171954265209</v>
      </c>
      <c r="DU37" s="74">
        <v>778.28531034656373</v>
      </c>
      <c r="DV37" s="74">
        <v>634.81340147977005</v>
      </c>
      <c r="DW37" s="74">
        <v>547.03983470966489</v>
      </c>
      <c r="DX37" s="74">
        <v>639.85207577703375</v>
      </c>
      <c r="DY37" s="74">
        <v>548.53713716411266</v>
      </c>
      <c r="DZ37" s="74">
        <v>618.8720649421515</v>
      </c>
      <c r="EA37" s="74">
        <v>696.68450654794344</v>
      </c>
      <c r="EB37" s="74">
        <v>640.51591048893169</v>
      </c>
      <c r="EC37" s="74">
        <v>1074.271900745714</v>
      </c>
      <c r="ED37" s="74">
        <v>555.90090504013438</v>
      </c>
      <c r="EE37" s="74">
        <v>488.76498903562765</v>
      </c>
      <c r="EF37" s="74">
        <v>905.60462728116022</v>
      </c>
      <c r="EG37" s="74">
        <v>522.7609065495601</v>
      </c>
      <c r="EH37" s="74">
        <v>776.32586682040892</v>
      </c>
      <c r="EI37" s="74">
        <v>634.60895043859921</v>
      </c>
      <c r="EJ37" s="74">
        <v>660.01907065669548</v>
      </c>
      <c r="EK37" s="74">
        <v>712.33777061630735</v>
      </c>
      <c r="EL37" s="74">
        <v>730.57803105508629</v>
      </c>
      <c r="EM37" s="74">
        <v>980.06166673761868</v>
      </c>
      <c r="EN37" s="74">
        <v>1038.4125163630242</v>
      </c>
      <c r="EO37" s="74">
        <v>1342.2612743667321</v>
      </c>
      <c r="EP37" s="74">
        <v>934.24935410592173</v>
      </c>
      <c r="EQ37" s="74">
        <v>609.15997527159254</v>
      </c>
      <c r="ER37" s="74">
        <v>638.82243517622692</v>
      </c>
      <c r="ES37" s="74">
        <v>747.07911812640577</v>
      </c>
      <c r="ET37" s="74">
        <v>727.15349760755839</v>
      </c>
      <c r="EU37" s="74">
        <v>875.65973456025677</v>
      </c>
      <c r="EV37" s="74">
        <v>739.02847818616374</v>
      </c>
      <c r="EW37" s="74">
        <v>976.86713775831709</v>
      </c>
      <c r="EX37" s="74">
        <v>984.68614775209733</v>
      </c>
      <c r="EY37" s="74">
        <v>967.16809982063558</v>
      </c>
      <c r="EZ37" s="74">
        <v>1190.0663947659148</v>
      </c>
      <c r="FA37" s="74">
        <v>1572.5714009919259</v>
      </c>
      <c r="FB37" s="74">
        <v>795.46733042427354</v>
      </c>
      <c r="FC37" s="74">
        <v>948.18425651439179</v>
      </c>
      <c r="FD37" s="74">
        <v>934.8558233739725</v>
      </c>
      <c r="FE37" s="74">
        <v>1041.6900888934217</v>
      </c>
      <c r="FF37" s="74">
        <v>967.36455403112609</v>
      </c>
      <c r="FG37" s="74">
        <v>1054.077288300505</v>
      </c>
      <c r="FH37" s="74">
        <v>1142.0319517837374</v>
      </c>
      <c r="FI37" s="74">
        <v>1165.9893582519123</v>
      </c>
      <c r="FJ37" s="74">
        <v>1304.3680102437629</v>
      </c>
      <c r="FK37" s="74">
        <v>1576.6099725771442</v>
      </c>
      <c r="FL37" s="74">
        <v>1622.9092660176775</v>
      </c>
      <c r="FM37" s="74">
        <v>2077.0751575646059</v>
      </c>
      <c r="FN37" s="74">
        <v>848.13513617136721</v>
      </c>
      <c r="FO37" s="74">
        <v>1240.338964852046</v>
      </c>
      <c r="FP37" s="74">
        <v>1091.9848966453233</v>
      </c>
      <c r="FQ37" s="74">
        <v>1143.3983709959716</v>
      </c>
      <c r="FR37" s="74">
        <v>1055.5872959602216</v>
      </c>
      <c r="FS37" s="74">
        <v>1136.9926465879919</v>
      </c>
      <c r="FT37" s="74">
        <v>1218.0545343226188</v>
      </c>
      <c r="FU37" s="74">
        <v>1197.4819485965318</v>
      </c>
      <c r="FV37" s="74">
        <v>1336.6286227418825</v>
      </c>
      <c r="FW37" s="74">
        <v>1630.9029586195566</v>
      </c>
      <c r="FX37" s="74">
        <v>1458.9116951707299</v>
      </c>
      <c r="FY37" s="74">
        <v>1995.9628857057589</v>
      </c>
      <c r="FZ37" s="74">
        <v>561.65049300875671</v>
      </c>
      <c r="GA37" s="74">
        <v>1051.116302149994</v>
      </c>
      <c r="GB37" s="74">
        <v>914.94301646285976</v>
      </c>
      <c r="GC37" s="74">
        <v>845.26103146048456</v>
      </c>
      <c r="GD37" s="74">
        <v>1303.8644585526199</v>
      </c>
      <c r="GE37" s="74">
        <v>1067.3323222323638</v>
      </c>
      <c r="GF37" s="74">
        <v>969.71239601679679</v>
      </c>
      <c r="GG37" s="74">
        <v>586.21661410589422</v>
      </c>
      <c r="GH37" s="74">
        <v>715.60817872030896</v>
      </c>
      <c r="GI37" s="74">
        <v>1100.1776503381982</v>
      </c>
      <c r="GJ37" s="74">
        <v>671.59455344308276</v>
      </c>
      <c r="GK37" s="74">
        <v>1924.1848533208151</v>
      </c>
      <c r="GL37" s="74">
        <v>526.67295688602985</v>
      </c>
      <c r="GM37" s="74">
        <v>627.44076847843746</v>
      </c>
      <c r="GN37" s="74">
        <v>664.94507839753101</v>
      </c>
      <c r="GO37" s="74">
        <v>639.28972175999991</v>
      </c>
      <c r="GP37" s="74">
        <v>604.23065746646375</v>
      </c>
      <c r="GQ37" s="74">
        <v>688.38994441054342</v>
      </c>
      <c r="GR37" s="74">
        <v>789.79793227182131</v>
      </c>
      <c r="GS37" s="74">
        <v>949.63519063750346</v>
      </c>
      <c r="GT37" s="74">
        <v>1137.375549657477</v>
      </c>
      <c r="GU37" s="74">
        <v>893.90290564321731</v>
      </c>
      <c r="GV37" s="74">
        <v>1261.8810732173401</v>
      </c>
      <c r="GW37" s="74">
        <v>2240.3769163911084</v>
      </c>
      <c r="GX37" s="74">
        <v>409.15623162476379</v>
      </c>
      <c r="GY37" s="74">
        <v>833.31146735725429</v>
      </c>
      <c r="GZ37" s="74">
        <v>1092.7878096498175</v>
      </c>
      <c r="HA37" s="74">
        <v>862.20419988951585</v>
      </c>
      <c r="HB37" s="74">
        <v>635.53368882141638</v>
      </c>
      <c r="HC37" s="74">
        <v>580.96239952841051</v>
      </c>
      <c r="HD37" s="74">
        <v>556.15879937953071</v>
      </c>
      <c r="HE37" s="74">
        <v>597.95505644121931</v>
      </c>
      <c r="HF37" s="74">
        <v>578.42727927199769</v>
      </c>
      <c r="HG37" s="74">
        <v>649.16556574195215</v>
      </c>
      <c r="HH37" s="74">
        <v>980.04113413687674</v>
      </c>
      <c r="HI37" s="74">
        <v>1896.4278847735977</v>
      </c>
    </row>
    <row r="38" spans="1:217" x14ac:dyDescent="0.35">
      <c r="A38" s="170" t="s">
        <v>599</v>
      </c>
      <c r="B38" s="74">
        <v>28.949102829185286</v>
      </c>
      <c r="C38" s="74">
        <v>33.752031620000004</v>
      </c>
      <c r="D38" s="74">
        <v>44.72974585</v>
      </c>
      <c r="E38" s="74">
        <v>70.471062950000004</v>
      </c>
      <c r="F38" s="74">
        <v>58.448923809999997</v>
      </c>
      <c r="G38" s="74">
        <v>67.945128440000005</v>
      </c>
      <c r="H38" s="74">
        <v>67.404170796666676</v>
      </c>
      <c r="I38" s="74">
        <v>73.141680916666658</v>
      </c>
      <c r="J38" s="74">
        <v>86.696515816666661</v>
      </c>
      <c r="K38" s="74">
        <v>89.389386666666667</v>
      </c>
      <c r="L38" s="74">
        <v>66.728280306842578</v>
      </c>
      <c r="M38" s="74">
        <v>94.582664321157154</v>
      </c>
      <c r="N38" s="74">
        <v>52.133253666666675</v>
      </c>
      <c r="O38" s="74">
        <v>63.444124666666667</v>
      </c>
      <c r="P38" s="74">
        <v>119.64995666666667</v>
      </c>
      <c r="Q38" s="74">
        <v>75.276426666666651</v>
      </c>
      <c r="R38" s="74">
        <v>99.594666666666669</v>
      </c>
      <c r="S38" s="74">
        <v>95.849666666666678</v>
      </c>
      <c r="T38" s="74">
        <v>77.333581666666674</v>
      </c>
      <c r="U38" s="74">
        <v>101.25091066666667</v>
      </c>
      <c r="V38" s="74">
        <v>113.80536666666666</v>
      </c>
      <c r="W38" s="74">
        <v>105.34666666666668</v>
      </c>
      <c r="X38" s="74">
        <v>105.46266666666666</v>
      </c>
      <c r="Y38" s="74">
        <v>151.54866666666661</v>
      </c>
      <c r="Z38" s="74">
        <v>76.937999999999988</v>
      </c>
      <c r="AA38" s="74">
        <v>93.763958000000002</v>
      </c>
      <c r="AB38" s="74">
        <v>112.430475</v>
      </c>
      <c r="AC38" s="74">
        <v>143.02932300000001</v>
      </c>
      <c r="AD38" s="74">
        <v>148.86594871428571</v>
      </c>
      <c r="AE38" s="74">
        <v>113.61804871428572</v>
      </c>
      <c r="AF38" s="74">
        <v>89.165642857142871</v>
      </c>
      <c r="AG38" s="74">
        <v>110.23759642857144</v>
      </c>
      <c r="AH38" s="74">
        <v>112.86962697466467</v>
      </c>
      <c r="AI38" s="74">
        <v>114.66357142857143</v>
      </c>
      <c r="AJ38" s="74">
        <v>141.15867142857144</v>
      </c>
      <c r="AK38" s="74">
        <v>122.92437142857142</v>
      </c>
      <c r="AL38" s="74">
        <v>95.837999999999994</v>
      </c>
      <c r="AM38" s="74">
        <v>82.213999999999999</v>
      </c>
      <c r="AN38" s="74">
        <v>68.430999999999997</v>
      </c>
      <c r="AO38" s="74">
        <v>99.635000000000005</v>
      </c>
      <c r="AP38" s="74">
        <v>93.516337777725539</v>
      </c>
      <c r="AQ38" s="74">
        <v>116.67511302349907</v>
      </c>
      <c r="AR38" s="74">
        <v>115.11687959595011</v>
      </c>
      <c r="AS38" s="74">
        <v>133.17279932658352</v>
      </c>
      <c r="AT38" s="74">
        <v>172.44200000000001</v>
      </c>
      <c r="AU38" s="74">
        <v>127.54479932658352</v>
      </c>
      <c r="AV38" s="74">
        <v>141.00479932658351</v>
      </c>
      <c r="AW38" s="74">
        <v>142.47079932658349</v>
      </c>
      <c r="AX38" s="74">
        <v>44.500285580000003</v>
      </c>
      <c r="AY38" s="74">
        <v>100.87669033333333</v>
      </c>
      <c r="AZ38" s="74">
        <v>150.03440029333336</v>
      </c>
      <c r="BA38" s="74">
        <v>134.70646359333332</v>
      </c>
      <c r="BB38" s="74">
        <v>146.64899982333333</v>
      </c>
      <c r="BC38" s="74">
        <v>141.81351212333334</v>
      </c>
      <c r="BD38" s="74">
        <v>109.84181281000001</v>
      </c>
      <c r="BE38" s="74">
        <v>113.16002736999999</v>
      </c>
      <c r="BF38" s="74">
        <v>118.36217962000001</v>
      </c>
      <c r="BG38" s="74">
        <v>137.47890860835483</v>
      </c>
      <c r="BH38" s="74">
        <v>103.92968560835483</v>
      </c>
      <c r="BI38" s="74">
        <v>191.56597760835484</v>
      </c>
      <c r="BJ38" s="74">
        <v>111.215416</v>
      </c>
      <c r="BK38" s="74">
        <v>135.17703370999999</v>
      </c>
      <c r="BL38" s="74">
        <v>157.78552055</v>
      </c>
      <c r="BM38" s="74">
        <v>147.51551840666667</v>
      </c>
      <c r="BN38" s="74">
        <v>152.83853396587801</v>
      </c>
      <c r="BO38" s="74">
        <v>89.484400285878024</v>
      </c>
      <c r="BP38" s="74">
        <v>115.76165786172029</v>
      </c>
      <c r="BQ38" s="74">
        <v>151.89471489508938</v>
      </c>
      <c r="BR38" s="74">
        <v>179.27074345666665</v>
      </c>
      <c r="BS38" s="74">
        <v>121.34638392508936</v>
      </c>
      <c r="BT38" s="74">
        <v>164.31457892508936</v>
      </c>
      <c r="BU38" s="74">
        <v>291.21020265508946</v>
      </c>
      <c r="BV38" s="74">
        <v>85.333407293333323</v>
      </c>
      <c r="BW38" s="74">
        <v>98.192333333333323</v>
      </c>
      <c r="BX38" s="74">
        <v>216.8479389966667</v>
      </c>
      <c r="BY38" s="74">
        <v>115.97863272666666</v>
      </c>
      <c r="BZ38" s="74">
        <v>145.20574031254472</v>
      </c>
      <c r="CA38" s="74">
        <v>184.22679635254468</v>
      </c>
      <c r="CB38" s="74">
        <v>122.67458764505362</v>
      </c>
      <c r="CC38" s="74">
        <v>151.98212047175605</v>
      </c>
      <c r="CD38" s="74">
        <v>134.68697289333335</v>
      </c>
      <c r="CE38" s="74">
        <v>134.22636773175603</v>
      </c>
      <c r="CF38" s="74">
        <v>263.75489952175599</v>
      </c>
      <c r="CG38" s="74">
        <v>246.87538112508935</v>
      </c>
      <c r="CH38" s="74">
        <v>126.93971759583334</v>
      </c>
      <c r="CI38" s="74">
        <v>105.16301779583334</v>
      </c>
      <c r="CJ38" s="74">
        <v>285.92681287554609</v>
      </c>
      <c r="CK38" s="74">
        <v>206.20348809583334</v>
      </c>
      <c r="CL38" s="74">
        <v>245.64903229171136</v>
      </c>
      <c r="CM38" s="74">
        <v>257.62590904471131</v>
      </c>
      <c r="CN38" s="74">
        <v>266.68454602755367</v>
      </c>
      <c r="CO38" s="74">
        <v>295.10539782175607</v>
      </c>
      <c r="CP38" s="74">
        <v>326.25899491333331</v>
      </c>
      <c r="CQ38" s="74">
        <v>281.23113396092265</v>
      </c>
      <c r="CR38" s="74">
        <v>273.2987670309227</v>
      </c>
      <c r="CS38" s="74">
        <v>441.58063176425605</v>
      </c>
      <c r="CT38" s="74">
        <v>272.09566106993856</v>
      </c>
      <c r="CU38" s="74">
        <v>209.33255088677154</v>
      </c>
      <c r="CV38" s="74">
        <v>417.77597358243986</v>
      </c>
      <c r="CW38" s="74">
        <v>450.07531677876318</v>
      </c>
      <c r="CX38" s="74">
        <v>475.75145321015191</v>
      </c>
      <c r="CY38" s="74">
        <v>420.24253582287429</v>
      </c>
      <c r="CZ38" s="74">
        <v>613.44621310294031</v>
      </c>
      <c r="DA38" s="74">
        <v>707.5180703429171</v>
      </c>
      <c r="DB38" s="74">
        <v>662.9962019489235</v>
      </c>
      <c r="DC38" s="74">
        <v>660.27198475040086</v>
      </c>
      <c r="DD38" s="74">
        <v>774.16413428618876</v>
      </c>
      <c r="DE38" s="74">
        <v>1266.0413668040626</v>
      </c>
      <c r="DF38" s="74">
        <v>280.32279465081615</v>
      </c>
      <c r="DG38" s="74">
        <v>352.94763004464789</v>
      </c>
      <c r="DH38" s="74">
        <v>559.96583790591831</v>
      </c>
      <c r="DI38" s="74">
        <v>578.26782216932077</v>
      </c>
      <c r="DJ38" s="74">
        <v>307.97988388069768</v>
      </c>
      <c r="DK38" s="74">
        <v>493.84150141639896</v>
      </c>
      <c r="DL38" s="74">
        <v>435.52884626483018</v>
      </c>
      <c r="DM38" s="74">
        <v>473.33326855921416</v>
      </c>
      <c r="DN38" s="74">
        <v>562.97411791279433</v>
      </c>
      <c r="DO38" s="74">
        <v>651.11468824229337</v>
      </c>
      <c r="DP38" s="74">
        <v>693.89268655310889</v>
      </c>
      <c r="DQ38" s="74">
        <v>919.81112523682327</v>
      </c>
      <c r="DR38" s="74">
        <v>279.02748679756616</v>
      </c>
      <c r="DS38" s="74">
        <v>273.29606291585679</v>
      </c>
      <c r="DT38" s="74">
        <v>433.25588620931876</v>
      </c>
      <c r="DU38" s="74">
        <v>720.82360094323042</v>
      </c>
      <c r="DV38" s="74">
        <v>574.51430814643675</v>
      </c>
      <c r="DW38" s="74">
        <v>471.29692737633161</v>
      </c>
      <c r="DX38" s="74">
        <v>557.44866544370041</v>
      </c>
      <c r="DY38" s="74">
        <v>470.36451683077934</v>
      </c>
      <c r="DZ38" s="74">
        <v>545.92160960881813</v>
      </c>
      <c r="EA38" s="74">
        <v>662.24825421461014</v>
      </c>
      <c r="EB38" s="74">
        <v>574.60622505988408</v>
      </c>
      <c r="EC38" s="74">
        <v>1008.1472153166665</v>
      </c>
      <c r="ED38" s="74">
        <v>541.83690504013441</v>
      </c>
      <c r="EE38" s="74">
        <v>452.15398903562766</v>
      </c>
      <c r="EF38" s="74">
        <v>906.00062728116018</v>
      </c>
      <c r="EG38" s="74">
        <v>520.72090654956014</v>
      </c>
      <c r="EH38" s="74">
        <v>769.62586682040887</v>
      </c>
      <c r="EI38" s="74">
        <v>627.44195043859918</v>
      </c>
      <c r="EJ38" s="74">
        <v>678.63007065669547</v>
      </c>
      <c r="EK38" s="74">
        <v>671.95077061630741</v>
      </c>
      <c r="EL38" s="74">
        <v>667.83125458276993</v>
      </c>
      <c r="EM38" s="74">
        <v>884.85492173761872</v>
      </c>
      <c r="EN38" s="74">
        <v>990.68374088828216</v>
      </c>
      <c r="EO38" s="74">
        <v>1302.264974514633</v>
      </c>
      <c r="EP38" s="74">
        <v>837.37935410592172</v>
      </c>
      <c r="EQ38" s="74">
        <v>675.31197527159259</v>
      </c>
      <c r="ER38" s="74">
        <v>701.69043517622697</v>
      </c>
      <c r="ES38" s="74">
        <v>715.84011812640574</v>
      </c>
      <c r="ET38" s="74">
        <v>687.5664976075584</v>
      </c>
      <c r="EU38" s="74">
        <v>828.33473456025672</v>
      </c>
      <c r="EV38" s="74">
        <v>700.10347818616378</v>
      </c>
      <c r="EW38" s="74">
        <v>904.85413775831705</v>
      </c>
      <c r="EX38" s="74">
        <v>896.87314775209734</v>
      </c>
      <c r="EY38" s="74">
        <v>841.8304331539689</v>
      </c>
      <c r="EZ38" s="74">
        <v>1088.6347280992482</v>
      </c>
      <c r="FA38" s="74">
        <v>1433.9967343252592</v>
      </c>
      <c r="FB38" s="74">
        <v>756.09287978742645</v>
      </c>
      <c r="FC38" s="74">
        <v>926.18042776581228</v>
      </c>
      <c r="FD38" s="74">
        <v>928.90635286815905</v>
      </c>
      <c r="FE38" s="74">
        <v>1007.3710442971118</v>
      </c>
      <c r="FF38" s="74">
        <v>924.73426132921497</v>
      </c>
      <c r="FG38" s="74">
        <v>1007.4841755995709</v>
      </c>
      <c r="FH38" s="74">
        <v>1096.100288579479</v>
      </c>
      <c r="FI38" s="74">
        <v>1106.8610757140132</v>
      </c>
      <c r="FJ38" s="74">
        <v>1223.5091902887107</v>
      </c>
      <c r="FK38" s="74">
        <v>1488.6491745148312</v>
      </c>
      <c r="FL38" s="74">
        <v>1560.9007289531876</v>
      </c>
      <c r="FM38" s="74">
        <v>2011.8559378018003</v>
      </c>
      <c r="FN38" s="74">
        <v>654.52134617136721</v>
      </c>
      <c r="FO38" s="74">
        <v>1111.205964852046</v>
      </c>
      <c r="FP38" s="74">
        <v>980.93889664532333</v>
      </c>
      <c r="FQ38" s="74">
        <v>1036.8336469959715</v>
      </c>
      <c r="FR38" s="74">
        <v>900.7566349602215</v>
      </c>
      <c r="FS38" s="74">
        <v>1035.5721335879919</v>
      </c>
      <c r="FT38" s="74">
        <v>1146.1327163226188</v>
      </c>
      <c r="FU38" s="74">
        <v>1086.3530315965318</v>
      </c>
      <c r="FV38" s="74">
        <v>1190.4063349418825</v>
      </c>
      <c r="FW38" s="74">
        <v>1534.5463326195566</v>
      </c>
      <c r="FX38" s="74">
        <v>1379.5222071707299</v>
      </c>
      <c r="FY38" s="74">
        <v>1922.8679137057588</v>
      </c>
      <c r="FZ38" s="74">
        <v>451.81049300875668</v>
      </c>
      <c r="GA38" s="74">
        <v>970.42630214999394</v>
      </c>
      <c r="GB38" s="74">
        <v>781.8830164628597</v>
      </c>
      <c r="GC38" s="74">
        <v>733.13103146048456</v>
      </c>
      <c r="GD38" s="74">
        <v>1198.5844585526199</v>
      </c>
      <c r="GE38" s="74">
        <v>931.30232223236385</v>
      </c>
      <c r="GF38" s="74">
        <v>822.35239601679677</v>
      </c>
      <c r="GG38" s="74">
        <v>469.39661410589417</v>
      </c>
      <c r="GH38" s="74">
        <v>590.87817872030894</v>
      </c>
      <c r="GI38" s="74">
        <v>973.51765033819822</v>
      </c>
      <c r="GJ38" s="74">
        <v>566.07455344308278</v>
      </c>
      <c r="GK38" s="74">
        <v>1689.034853320815</v>
      </c>
      <c r="GL38" s="74">
        <v>437.34295688602987</v>
      </c>
      <c r="GM38" s="74">
        <v>530.42076847843748</v>
      </c>
      <c r="GN38" s="74">
        <v>608.58507839753099</v>
      </c>
      <c r="GO38" s="74">
        <v>618.24972175999994</v>
      </c>
      <c r="GP38" s="74">
        <v>553.12065746646374</v>
      </c>
      <c r="GQ38" s="74">
        <v>661.0055749105436</v>
      </c>
      <c r="GR38" s="74">
        <v>711.57356055182129</v>
      </c>
      <c r="GS38" s="74">
        <v>891.33169508750336</v>
      </c>
      <c r="GT38" s="74">
        <v>1070.605549657477</v>
      </c>
      <c r="GU38" s="74">
        <v>844.34290564321736</v>
      </c>
      <c r="GV38" s="74">
        <v>1190.9849703873401</v>
      </c>
      <c r="GW38" s="74">
        <v>2175.3488015611083</v>
      </c>
      <c r="GX38" s="74">
        <v>347.0646673047637</v>
      </c>
      <c r="GY38" s="74">
        <v>755.65803776725431</v>
      </c>
      <c r="GZ38" s="74">
        <v>946.2626489598174</v>
      </c>
      <c r="HA38" s="74">
        <v>800.61448575951601</v>
      </c>
      <c r="HB38" s="74">
        <v>553.0829615114161</v>
      </c>
      <c r="HC38" s="74">
        <v>476.35780788841043</v>
      </c>
      <c r="HD38" s="74">
        <v>479.4053731595306</v>
      </c>
      <c r="HE38" s="74">
        <v>506.73432185121931</v>
      </c>
      <c r="HF38" s="74">
        <v>481.76969591199764</v>
      </c>
      <c r="HG38" s="74">
        <v>562.44378198195204</v>
      </c>
      <c r="HH38" s="74">
        <v>913.15365569687719</v>
      </c>
      <c r="HI38" s="74">
        <v>1825.5165867472451</v>
      </c>
    </row>
    <row r="39" spans="1:217" ht="15.5" x14ac:dyDescent="0.35">
      <c r="A39" s="173" t="s">
        <v>600</v>
      </c>
      <c r="B39" s="76">
        <v>10.243600000000001</v>
      </c>
      <c r="C39" s="76">
        <v>13.553197219999999</v>
      </c>
      <c r="D39" s="76">
        <v>17.462345850000002</v>
      </c>
      <c r="E39" s="76">
        <v>37.977022949999999</v>
      </c>
      <c r="F39" s="76">
        <v>32.257603809999999</v>
      </c>
      <c r="G39" s="76">
        <v>43.36360844</v>
      </c>
      <c r="H39" s="76">
        <v>34.67026413</v>
      </c>
      <c r="I39" s="76">
        <v>41.313694249999998</v>
      </c>
      <c r="J39" s="76">
        <v>48.942169149999998</v>
      </c>
      <c r="K39" s="76">
        <v>52.3</v>
      </c>
      <c r="L39" s="76">
        <v>36.966000000000001</v>
      </c>
      <c r="M39" s="76">
        <v>55.46</v>
      </c>
      <c r="N39" s="76">
        <v>20</v>
      </c>
      <c r="O39" s="76">
        <v>24</v>
      </c>
      <c r="P39" s="76">
        <v>79</v>
      </c>
      <c r="Q39" s="76">
        <v>38</v>
      </c>
      <c r="R39" s="76">
        <v>59</v>
      </c>
      <c r="S39" s="76">
        <v>60</v>
      </c>
      <c r="T39" s="76">
        <v>36</v>
      </c>
      <c r="U39" s="76">
        <v>42</v>
      </c>
      <c r="V39" s="76">
        <v>68</v>
      </c>
      <c r="W39" s="76">
        <v>58.6</v>
      </c>
      <c r="X39" s="76">
        <v>64</v>
      </c>
      <c r="Y39" s="76">
        <v>96</v>
      </c>
      <c r="Z39" s="76">
        <v>21.53</v>
      </c>
      <c r="AA39" s="76">
        <v>28.6</v>
      </c>
      <c r="AB39" s="76">
        <v>48.9</v>
      </c>
      <c r="AC39" s="76">
        <v>44.2</v>
      </c>
      <c r="AD39" s="76">
        <v>87.6</v>
      </c>
      <c r="AE39" s="76">
        <v>65.7</v>
      </c>
      <c r="AF39" s="76">
        <v>32.5</v>
      </c>
      <c r="AG39" s="76">
        <v>44.6</v>
      </c>
      <c r="AH39" s="76">
        <v>56.3</v>
      </c>
      <c r="AI39" s="76">
        <v>42.2</v>
      </c>
      <c r="AJ39" s="76">
        <v>79.2</v>
      </c>
      <c r="AK39" s="76">
        <v>59.3</v>
      </c>
      <c r="AL39" s="76">
        <v>45.437999999999995</v>
      </c>
      <c r="AM39" s="76">
        <v>42.613999999999997</v>
      </c>
      <c r="AN39" s="76">
        <v>24.431000000000001</v>
      </c>
      <c r="AO39" s="76">
        <v>46.935000000000002</v>
      </c>
      <c r="AP39" s="76">
        <v>33.356999999999985</v>
      </c>
      <c r="AQ39" s="76">
        <v>71.591999999999999</v>
      </c>
      <c r="AR39" s="76">
        <v>57.796999999999997</v>
      </c>
      <c r="AS39" s="76">
        <v>69.973000000000013</v>
      </c>
      <c r="AT39" s="76">
        <v>81.591999999999999</v>
      </c>
      <c r="AU39" s="76">
        <v>46.02</v>
      </c>
      <c r="AV39" s="76">
        <v>69.355000000000004</v>
      </c>
      <c r="AW39" s="76">
        <v>70.721000000000004</v>
      </c>
      <c r="AX39" s="76">
        <v>20.967285580000002</v>
      </c>
      <c r="AY39" s="76">
        <v>34.207690333333332</v>
      </c>
      <c r="AZ39" s="76">
        <v>67.43440029333334</v>
      </c>
      <c r="BA39" s="76">
        <v>69.800263593333341</v>
      </c>
      <c r="BB39" s="76">
        <v>75.948999823333338</v>
      </c>
      <c r="BC39" s="76">
        <v>38.176512123333332</v>
      </c>
      <c r="BD39" s="76">
        <v>45.32681281</v>
      </c>
      <c r="BE39" s="76">
        <v>53.709027370000001</v>
      </c>
      <c r="BF39" s="76">
        <v>57.764579619999999</v>
      </c>
      <c r="BG39" s="76">
        <v>79.389572000000001</v>
      </c>
      <c r="BH39" s="76">
        <v>50.770349000000003</v>
      </c>
      <c r="BI39" s="76">
        <v>116.252841</v>
      </c>
      <c r="BJ39" s="76">
        <v>33.718816000000004</v>
      </c>
      <c r="BK39" s="76">
        <v>34.197886709999999</v>
      </c>
      <c r="BL39" s="76">
        <v>32.840520550000001</v>
      </c>
      <c r="BM39" s="76">
        <v>53.016518406666663</v>
      </c>
      <c r="BN39" s="76">
        <v>51.812948236666671</v>
      </c>
      <c r="BO39" s="76">
        <v>29.588814556666662</v>
      </c>
      <c r="BP39" s="76">
        <v>53.544754986666675</v>
      </c>
      <c r="BQ39" s="76">
        <v>67.213767436666672</v>
      </c>
      <c r="BR39" s="76">
        <v>101.11982025666667</v>
      </c>
      <c r="BS39" s="76">
        <v>64.542679666666658</v>
      </c>
      <c r="BT39" s="76">
        <v>105.99866666666667</v>
      </c>
      <c r="BU39" s="76">
        <v>201.0322903966667</v>
      </c>
      <c r="BV39" s="76">
        <v>30.804807293333333</v>
      </c>
      <c r="BW39" s="76">
        <v>29.699333333333332</v>
      </c>
      <c r="BX39" s="76">
        <v>74.757938996666667</v>
      </c>
      <c r="BY39" s="76">
        <v>42.890432726666674</v>
      </c>
      <c r="BZ39" s="76">
        <v>60.401154583333337</v>
      </c>
      <c r="CA39" s="76">
        <v>63.260610623333335</v>
      </c>
      <c r="CB39" s="76">
        <v>45.810476770000008</v>
      </c>
      <c r="CC39" s="76">
        <v>70.186449013333345</v>
      </c>
      <c r="CD39" s="76">
        <v>44.721049693333335</v>
      </c>
      <c r="CE39" s="76">
        <v>51.472455473333341</v>
      </c>
      <c r="CF39" s="76">
        <v>166.41683326333333</v>
      </c>
      <c r="CG39" s="76">
        <v>148.84636886666667</v>
      </c>
      <c r="CH39" s="76">
        <v>36.339912595833333</v>
      </c>
      <c r="CI39" s="76">
        <v>36.638743795833335</v>
      </c>
      <c r="CJ39" s="76">
        <v>188.77647187554604</v>
      </c>
      <c r="CK39" s="76">
        <v>114.78713209583333</v>
      </c>
      <c r="CL39" s="76">
        <v>139.00743056250002</v>
      </c>
      <c r="CM39" s="76">
        <v>141.05005131549999</v>
      </c>
      <c r="CN39" s="76">
        <v>147.33155195250004</v>
      </c>
      <c r="CO39" s="76">
        <v>133.76616916333333</v>
      </c>
      <c r="CP39" s="76">
        <v>205.79215071333334</v>
      </c>
      <c r="CQ39" s="76">
        <v>143.19370230249999</v>
      </c>
      <c r="CR39" s="76">
        <v>148.21791837249998</v>
      </c>
      <c r="CS39" s="76">
        <v>236.88083330583333</v>
      </c>
      <c r="CT39" s="76">
        <v>150.88416407</v>
      </c>
      <c r="CU39" s="76">
        <v>93.095213449999989</v>
      </c>
      <c r="CV39" s="76">
        <v>276.30123114000003</v>
      </c>
      <c r="CW39" s="76">
        <v>231.67811979999999</v>
      </c>
      <c r="CX39" s="76">
        <v>266.528499168</v>
      </c>
      <c r="CY39" s="76">
        <v>254.13964945999999</v>
      </c>
      <c r="CZ39" s="76">
        <v>400.39813155000002</v>
      </c>
      <c r="DA39" s="76">
        <v>432.10521471999999</v>
      </c>
      <c r="DB39" s="76">
        <v>441.49625293000003</v>
      </c>
      <c r="DC39" s="76">
        <v>375.35118310999997</v>
      </c>
      <c r="DD39" s="76">
        <v>463.61945445999999</v>
      </c>
      <c r="DE39" s="76">
        <v>922.35174995333318</v>
      </c>
      <c r="DF39" s="76">
        <v>54.11907815</v>
      </c>
      <c r="DG39" s="76">
        <v>146.30983061000001</v>
      </c>
      <c r="DH39" s="76">
        <v>276.46762520999999</v>
      </c>
      <c r="DI39" s="76">
        <v>350.13482399499998</v>
      </c>
      <c r="DJ39" s="76">
        <v>122.67395481999998</v>
      </c>
      <c r="DK39" s="76">
        <v>247.77802888000002</v>
      </c>
      <c r="DL39" s="76">
        <v>209.7642069</v>
      </c>
      <c r="DM39" s="76">
        <v>290.48236193999998</v>
      </c>
      <c r="DN39" s="76">
        <v>336.93677928999995</v>
      </c>
      <c r="DO39" s="76">
        <v>452.20346531999996</v>
      </c>
      <c r="DP39" s="76">
        <v>451.14361139999994</v>
      </c>
      <c r="DQ39" s="76">
        <v>569.08262963000004</v>
      </c>
      <c r="DR39" s="76">
        <v>128.07273682420742</v>
      </c>
      <c r="DS39" s="76">
        <v>110.79747196666662</v>
      </c>
      <c r="DT39" s="76">
        <v>176.12605128666664</v>
      </c>
      <c r="DU39" s="76">
        <v>539.85203240666658</v>
      </c>
      <c r="DV39" s="76">
        <v>338.14381684666665</v>
      </c>
      <c r="DW39" s="76">
        <v>276.51558172666671</v>
      </c>
      <c r="DX39" s="76">
        <v>332.64542428666664</v>
      </c>
      <c r="DY39" s="76">
        <v>254.90173582666665</v>
      </c>
      <c r="DZ39" s="76">
        <v>182.1730867666667</v>
      </c>
      <c r="EA39" s="76">
        <v>405.97532763666675</v>
      </c>
      <c r="EB39" s="76">
        <v>353.16522673279144</v>
      </c>
      <c r="EC39" s="76">
        <v>599.71730604666652</v>
      </c>
      <c r="ED39" s="76">
        <v>266.7096000937143</v>
      </c>
      <c r="EE39" s="76">
        <v>271.65157117371422</v>
      </c>
      <c r="EF39" s="76">
        <v>546.09905611371448</v>
      </c>
      <c r="EG39" s="76">
        <v>278.58922001371434</v>
      </c>
      <c r="EH39" s="76">
        <v>480.14675136371437</v>
      </c>
      <c r="EI39" s="76">
        <v>339.7514435637143</v>
      </c>
      <c r="EJ39" s="76">
        <v>387.21937032371432</v>
      </c>
      <c r="EK39" s="76">
        <v>411.8922468437143</v>
      </c>
      <c r="EL39" s="76">
        <v>387.34390441371431</v>
      </c>
      <c r="EM39" s="76">
        <v>507.00566086371435</v>
      </c>
      <c r="EN39" s="76">
        <v>718.22039142371432</v>
      </c>
      <c r="EO39" s="76">
        <v>702.12908212876653</v>
      </c>
      <c r="EP39" s="76">
        <v>585.65004244000011</v>
      </c>
      <c r="EQ39" s="76">
        <v>315.53244023999997</v>
      </c>
      <c r="ER39" s="76">
        <v>481.92866591000001</v>
      </c>
      <c r="ES39" s="76">
        <v>418.73000545999986</v>
      </c>
      <c r="ET39" s="76">
        <v>413.86026111000001</v>
      </c>
      <c r="EU39" s="76">
        <v>561.11065417999998</v>
      </c>
      <c r="EV39" s="76">
        <v>362.83428679000002</v>
      </c>
      <c r="EW39" s="76">
        <v>499.02668695</v>
      </c>
      <c r="EX39" s="76">
        <v>453.32814114999996</v>
      </c>
      <c r="EY39" s="76">
        <v>592.10134486783443</v>
      </c>
      <c r="EZ39" s="76">
        <v>620.64927544563682</v>
      </c>
      <c r="FA39" s="76">
        <v>886.4454056400001</v>
      </c>
      <c r="FB39" s="76">
        <v>350.97879891000002</v>
      </c>
      <c r="FC39" s="76">
        <v>601.79259325999988</v>
      </c>
      <c r="FD39" s="76">
        <v>517.55764131000001</v>
      </c>
      <c r="FE39" s="76">
        <v>604.15993766999998</v>
      </c>
      <c r="FF39" s="76">
        <v>528.50027208000006</v>
      </c>
      <c r="FG39" s="76">
        <v>659.42278062000003</v>
      </c>
      <c r="FH39" s="76">
        <v>581.41791813999987</v>
      </c>
      <c r="FI39" s="76">
        <v>616.34719748499992</v>
      </c>
      <c r="FJ39" s="76">
        <v>759.17178533000003</v>
      </c>
      <c r="FK39" s="76">
        <v>971.10451181999997</v>
      </c>
      <c r="FL39" s="76">
        <v>1100.61979051</v>
      </c>
      <c r="FM39" s="76">
        <v>1214.5982258999998</v>
      </c>
      <c r="FN39" s="76">
        <v>273.6229105000001</v>
      </c>
      <c r="FO39" s="76">
        <v>642.92429072999983</v>
      </c>
      <c r="FP39" s="76">
        <v>574.11898779000012</v>
      </c>
      <c r="FQ39" s="76">
        <v>556.46006836000004</v>
      </c>
      <c r="FR39" s="76">
        <v>492.56426528000009</v>
      </c>
      <c r="FS39" s="76">
        <v>628.58935150000002</v>
      </c>
      <c r="FT39" s="76">
        <v>645.94341865000001</v>
      </c>
      <c r="FU39" s="76">
        <v>680.99640326999997</v>
      </c>
      <c r="FV39" s="76">
        <v>732.72327737000023</v>
      </c>
      <c r="FW39" s="76">
        <v>943.98961132000011</v>
      </c>
      <c r="FX39" s="76">
        <v>924.05893863000006</v>
      </c>
      <c r="FY39" s="76">
        <v>1193.5381951500001</v>
      </c>
      <c r="FZ39" s="76">
        <v>136.29780854000001</v>
      </c>
      <c r="GA39" s="76">
        <v>547.35971073999997</v>
      </c>
      <c r="GB39" s="76">
        <v>351.12798585000007</v>
      </c>
      <c r="GC39" s="76">
        <v>312.66051921000007</v>
      </c>
      <c r="GD39" s="76">
        <v>801.02494995000018</v>
      </c>
      <c r="GE39" s="76">
        <v>554.09171446999983</v>
      </c>
      <c r="GF39" s="76">
        <v>439.21056096999996</v>
      </c>
      <c r="GG39" s="76">
        <v>111.94198644000002</v>
      </c>
      <c r="GH39" s="76">
        <v>208.82903003999991</v>
      </c>
      <c r="GI39" s="76">
        <v>618.3565743700002</v>
      </c>
      <c r="GJ39" s="76">
        <v>255.05943569878778</v>
      </c>
      <c r="GK39" s="76">
        <v>1196.1272800191712</v>
      </c>
      <c r="GL39" s="76">
        <v>156.81423279999998</v>
      </c>
      <c r="GM39" s="76">
        <v>247.56109045999997</v>
      </c>
      <c r="GN39" s="76">
        <v>267.61205747000002</v>
      </c>
      <c r="GO39" s="76">
        <v>252.71333163000003</v>
      </c>
      <c r="GP39" s="76">
        <v>216.97820406999998</v>
      </c>
      <c r="GQ39" s="76">
        <v>231.81839604000004</v>
      </c>
      <c r="GR39" s="76">
        <v>385.33870470999989</v>
      </c>
      <c r="GS39" s="76">
        <v>620.16307968000001</v>
      </c>
      <c r="GT39" s="76">
        <v>755.09049632000006</v>
      </c>
      <c r="GU39" s="76">
        <v>484.42961444499997</v>
      </c>
      <c r="GV39" s="76">
        <v>907.76634925999997</v>
      </c>
      <c r="GW39" s="76">
        <v>1578.4671152000001</v>
      </c>
      <c r="GX39" s="73">
        <v>107.97369128000004</v>
      </c>
      <c r="GY39" s="73">
        <v>521.91768281000009</v>
      </c>
      <c r="GZ39" s="73">
        <v>630.62703924000016</v>
      </c>
      <c r="HA39" s="73">
        <v>532.25871603999985</v>
      </c>
      <c r="HB39" s="73">
        <v>249.68746886999998</v>
      </c>
      <c r="HC39" s="73">
        <v>224.39934317000001</v>
      </c>
      <c r="HD39" s="73">
        <v>201.48998333</v>
      </c>
      <c r="HE39" s="73">
        <v>228.95910787999998</v>
      </c>
      <c r="HF39" s="73">
        <v>198.22578583000001</v>
      </c>
      <c r="HG39" s="73">
        <v>294.96126209999994</v>
      </c>
      <c r="HH39" s="73">
        <v>583.84900898000012</v>
      </c>
      <c r="HI39" s="73">
        <v>1311.8867169299999</v>
      </c>
    </row>
    <row r="40" spans="1:217" ht="15.5" x14ac:dyDescent="0.35">
      <c r="A40" s="173" t="s">
        <v>601</v>
      </c>
      <c r="B40" s="76">
        <v>14.692711125292494</v>
      </c>
      <c r="C40" s="76">
        <v>16.555381066666669</v>
      </c>
      <c r="D40" s="76">
        <v>21.521826666666666</v>
      </c>
      <c r="E40" s="76">
        <v>25.324146666666664</v>
      </c>
      <c r="F40" s="76">
        <v>18.726866666666663</v>
      </c>
      <c r="G40" s="76">
        <v>16.408146666666664</v>
      </c>
      <c r="H40" s="76">
        <v>27.008666666666667</v>
      </c>
      <c r="I40" s="76">
        <v>25.320946666666664</v>
      </c>
      <c r="J40" s="76">
        <v>30.319146666666665</v>
      </c>
      <c r="K40" s="76">
        <v>28.906906666666668</v>
      </c>
      <c r="L40" s="76">
        <v>20.66628030684258</v>
      </c>
      <c r="M40" s="76">
        <v>29.419984321157145</v>
      </c>
      <c r="N40" s="76">
        <v>27.826757666666669</v>
      </c>
      <c r="O40" s="76">
        <v>32.054524666666666</v>
      </c>
      <c r="P40" s="76">
        <v>31.062456666666669</v>
      </c>
      <c r="Q40" s="76">
        <v>29.057926666666667</v>
      </c>
      <c r="R40" s="76">
        <v>25.422666666666668</v>
      </c>
      <c r="S40" s="76">
        <v>28.366666666666667</v>
      </c>
      <c r="T40" s="76">
        <v>29.81196666666667</v>
      </c>
      <c r="U40" s="76">
        <v>32.911666666666669</v>
      </c>
      <c r="V40" s="76">
        <v>32.914366666666666</v>
      </c>
      <c r="W40" s="76">
        <v>30.361666666666672</v>
      </c>
      <c r="X40" s="76">
        <v>31.376666666666665</v>
      </c>
      <c r="Y40" s="76">
        <v>41.948666666666604</v>
      </c>
      <c r="Z40" s="76">
        <v>42.161000000000001</v>
      </c>
      <c r="AA40" s="76">
        <v>49.248958000000009</v>
      </c>
      <c r="AB40" s="76">
        <v>51.012474999999995</v>
      </c>
      <c r="AC40" s="76">
        <v>75.92</v>
      </c>
      <c r="AD40" s="76">
        <v>38.137663000000003</v>
      </c>
      <c r="AE40" s="76">
        <v>29.799763000000002</v>
      </c>
      <c r="AF40" s="76">
        <v>31.907000000000004</v>
      </c>
      <c r="AG40" s="76">
        <v>40.143000000000001</v>
      </c>
      <c r="AH40" s="76">
        <v>42.119000000000007</v>
      </c>
      <c r="AI40" s="76">
        <v>52.119</v>
      </c>
      <c r="AJ40" s="76">
        <v>42.462000000000003</v>
      </c>
      <c r="AK40" s="76">
        <v>37.597000000000001</v>
      </c>
      <c r="AL40" s="76">
        <v>26</v>
      </c>
      <c r="AM40" s="76">
        <v>23.5</v>
      </c>
      <c r="AN40" s="76">
        <v>24</v>
      </c>
      <c r="AO40" s="76">
        <v>28.4</v>
      </c>
      <c r="AP40" s="76">
        <v>46.559438114433796</v>
      </c>
      <c r="AQ40" s="76">
        <v>35.783213360207313</v>
      </c>
      <c r="AR40" s="76">
        <v>41.5</v>
      </c>
      <c r="AS40" s="76">
        <v>37.4</v>
      </c>
      <c r="AT40" s="76">
        <v>68.650000000000006</v>
      </c>
      <c r="AU40" s="76">
        <v>65.55</v>
      </c>
      <c r="AV40" s="76">
        <v>60.150000000000006</v>
      </c>
      <c r="AW40" s="76">
        <v>60.35</v>
      </c>
      <c r="AX40" s="76">
        <v>14.673</v>
      </c>
      <c r="AY40" s="76">
        <v>52.539999999999992</v>
      </c>
      <c r="AZ40" s="76">
        <v>66.100000000000009</v>
      </c>
      <c r="BA40" s="76">
        <v>49.6</v>
      </c>
      <c r="BB40" s="76">
        <v>52.6</v>
      </c>
      <c r="BC40" s="76">
        <v>88.299999999999983</v>
      </c>
      <c r="BD40" s="76">
        <v>46.597999999999999</v>
      </c>
      <c r="BE40" s="76">
        <v>40.341000000000001</v>
      </c>
      <c r="BF40" s="76">
        <v>42.002600000000001</v>
      </c>
      <c r="BG40" s="76">
        <v>40.666000000000004</v>
      </c>
      <c r="BH40" s="76">
        <v>38.5</v>
      </c>
      <c r="BI40" s="76">
        <v>55.5</v>
      </c>
      <c r="BJ40" s="76">
        <v>61.927599999999991</v>
      </c>
      <c r="BK40" s="76">
        <v>77.010146999999975</v>
      </c>
      <c r="BL40" s="76">
        <v>99.043999999999997</v>
      </c>
      <c r="BM40" s="76">
        <v>57.844000000000001</v>
      </c>
      <c r="BN40" s="76">
        <v>68.097999999999999</v>
      </c>
      <c r="BO40" s="76">
        <v>35.384000000000007</v>
      </c>
      <c r="BP40" s="76">
        <v>47.251999999999995</v>
      </c>
      <c r="BQ40" s="76">
        <v>49.036999999999999</v>
      </c>
      <c r="BR40" s="76">
        <v>51.445</v>
      </c>
      <c r="BS40" s="76">
        <v>45.179000000000002</v>
      </c>
      <c r="BT40" s="76">
        <v>48.218999999999994</v>
      </c>
      <c r="BU40" s="76">
        <v>67.683999999999997</v>
      </c>
      <c r="BV40" s="76">
        <v>39.236600000000003</v>
      </c>
      <c r="BW40" s="76">
        <v>49.123999999999995</v>
      </c>
      <c r="BX40" s="76">
        <v>79.052000000000007</v>
      </c>
      <c r="BY40" s="76">
        <v>54.934999999999988</v>
      </c>
      <c r="BZ40" s="76">
        <v>68.594999999999999</v>
      </c>
      <c r="CA40" s="76">
        <v>65.765000000000001</v>
      </c>
      <c r="CB40" s="76">
        <v>57.73899999999999</v>
      </c>
      <c r="CC40" s="76">
        <v>54.824724000000003</v>
      </c>
      <c r="CD40" s="76">
        <v>60.280999999999999</v>
      </c>
      <c r="CE40" s="76">
        <v>62.753999999999991</v>
      </c>
      <c r="CF40" s="76">
        <v>63.532999999999994</v>
      </c>
      <c r="CG40" s="76">
        <v>66.803100000000001</v>
      </c>
      <c r="CH40" s="76">
        <v>53.603000000000002</v>
      </c>
      <c r="CI40" s="76">
        <v>53.172000000000004</v>
      </c>
      <c r="CJ40" s="76">
        <v>58.927000000000007</v>
      </c>
      <c r="CK40" s="76">
        <v>61.196000000000005</v>
      </c>
      <c r="CL40" s="76">
        <v>82.667000000000002</v>
      </c>
      <c r="CM40" s="76">
        <v>78.445999999999984</v>
      </c>
      <c r="CN40" s="76">
        <v>85.073000000000008</v>
      </c>
      <c r="CO40" s="76">
        <v>85.724000000000004</v>
      </c>
      <c r="CP40" s="76">
        <v>78.629749999999987</v>
      </c>
      <c r="CQ40" s="76">
        <v>91.454999999999998</v>
      </c>
      <c r="CR40" s="76">
        <v>87.758750000000006</v>
      </c>
      <c r="CS40" s="76">
        <v>91.155605800000018</v>
      </c>
      <c r="CT40" s="76">
        <v>78.614000000000019</v>
      </c>
      <c r="CU40" s="76">
        <v>78.718000000000018</v>
      </c>
      <c r="CV40" s="76">
        <v>81.453999999999994</v>
      </c>
      <c r="CW40" s="76">
        <v>107.3</v>
      </c>
      <c r="CX40" s="76">
        <v>102.8</v>
      </c>
      <c r="CY40" s="76">
        <v>98.2</v>
      </c>
      <c r="CZ40" s="76">
        <v>124.97193481620121</v>
      </c>
      <c r="DA40" s="76">
        <v>109.16401407229942</v>
      </c>
      <c r="DB40" s="76">
        <v>121.3594712014784</v>
      </c>
      <c r="DC40" s="76">
        <v>129.91902280716207</v>
      </c>
      <c r="DD40" s="76">
        <v>133.38093145826463</v>
      </c>
      <c r="DE40" s="76">
        <v>147.91874788322002</v>
      </c>
      <c r="DF40" s="76">
        <v>104.1945698415023</v>
      </c>
      <c r="DG40" s="76">
        <v>88.033971116517336</v>
      </c>
      <c r="DH40" s="76">
        <v>95.41121711200266</v>
      </c>
      <c r="DI40" s="76">
        <v>101.62995033104561</v>
      </c>
      <c r="DJ40" s="76">
        <v>93.00376496992132</v>
      </c>
      <c r="DK40" s="76">
        <v>97.796123746230748</v>
      </c>
      <c r="DL40" s="76">
        <v>109.6767236254786</v>
      </c>
      <c r="DM40" s="76">
        <v>56.570880812867806</v>
      </c>
      <c r="DN40" s="76">
        <v>79.768769392717658</v>
      </c>
      <c r="DO40" s="76">
        <v>87.009849243919007</v>
      </c>
      <c r="DP40" s="76">
        <v>78.39586647767625</v>
      </c>
      <c r="DQ40" s="76">
        <v>126.69732299107112</v>
      </c>
      <c r="DR40" s="76">
        <v>75.40650909</v>
      </c>
      <c r="DS40" s="76">
        <v>81.362245540000004</v>
      </c>
      <c r="DT40" s="76">
        <v>93.558508890000013</v>
      </c>
      <c r="DU40" s="76">
        <v>95.311394679999992</v>
      </c>
      <c r="DV40" s="76">
        <v>94.693135439999992</v>
      </c>
      <c r="DW40" s="76">
        <v>107.62588914</v>
      </c>
      <c r="DX40" s="76">
        <v>112.25481659000002</v>
      </c>
      <c r="DY40" s="76">
        <v>118.1840804</v>
      </c>
      <c r="DZ40" s="76">
        <v>120.32391893</v>
      </c>
      <c r="EA40" s="76">
        <v>146.23952803</v>
      </c>
      <c r="EB40" s="76">
        <v>126.93598084999999</v>
      </c>
      <c r="EC40" s="76">
        <v>206.72585688999999</v>
      </c>
      <c r="ED40" s="76">
        <v>89.964012000000011</v>
      </c>
      <c r="EE40" s="76">
        <v>114.40193199999997</v>
      </c>
      <c r="EF40" s="76">
        <v>124.64787399999999</v>
      </c>
      <c r="EG40" s="76">
        <v>104.99139999999998</v>
      </c>
      <c r="EH40" s="76">
        <v>118.99300000000001</v>
      </c>
      <c r="EI40" s="76">
        <v>123.55118399999999</v>
      </c>
      <c r="EJ40" s="76">
        <v>129.435485</v>
      </c>
      <c r="EK40" s="76">
        <v>124.452648</v>
      </c>
      <c r="EL40" s="76">
        <v>135.62104199999999</v>
      </c>
      <c r="EM40" s="76">
        <v>182.70636200000001</v>
      </c>
      <c r="EN40" s="76">
        <v>122.0692</v>
      </c>
      <c r="EO40" s="76">
        <v>194.81783200000001</v>
      </c>
      <c r="EP40" s="76">
        <v>107.4101773</v>
      </c>
      <c r="EQ40" s="76">
        <v>113.12447670000002</v>
      </c>
      <c r="ER40" s="76">
        <v>135.92854129999998</v>
      </c>
      <c r="ES40" s="76">
        <v>120.13894170000003</v>
      </c>
      <c r="ET40" s="76">
        <v>134.07423999999995</v>
      </c>
      <c r="EU40" s="76">
        <v>129.79462400000006</v>
      </c>
      <c r="EV40" s="76">
        <v>127.20009099999994</v>
      </c>
      <c r="EW40" s="76">
        <v>141.71638999999999</v>
      </c>
      <c r="EX40" s="76">
        <v>169.14604500000002</v>
      </c>
      <c r="EY40" s="76">
        <v>139.68872900000002</v>
      </c>
      <c r="EZ40" s="76">
        <v>149.68619200000001</v>
      </c>
      <c r="FA40" s="76">
        <v>155.96491499999999</v>
      </c>
      <c r="FB40" s="76">
        <v>118.891369</v>
      </c>
      <c r="FC40" s="76">
        <v>103.956356</v>
      </c>
      <c r="FD40" s="76">
        <v>105.607658</v>
      </c>
      <c r="FE40" s="76">
        <v>121.529999</v>
      </c>
      <c r="FF40" s="76">
        <v>123.95800199999999</v>
      </c>
      <c r="FG40" s="76">
        <v>112.508403</v>
      </c>
      <c r="FH40" s="76">
        <v>118.4723807</v>
      </c>
      <c r="FI40" s="76">
        <v>144.10229200000001</v>
      </c>
      <c r="FJ40" s="76">
        <v>160.60903504999999</v>
      </c>
      <c r="FK40" s="76">
        <v>134.0246942</v>
      </c>
      <c r="FL40" s="76">
        <v>120.7262976</v>
      </c>
      <c r="FM40" s="76">
        <v>180.7795251</v>
      </c>
      <c r="FN40" s="76">
        <v>96.080235999999999</v>
      </c>
      <c r="FO40" s="76">
        <v>129.491759</v>
      </c>
      <c r="FP40" s="76">
        <v>110.104902</v>
      </c>
      <c r="FQ40" s="76">
        <v>135.92656509999998</v>
      </c>
      <c r="FR40" s="76">
        <v>107.7335997</v>
      </c>
      <c r="FS40" s="76">
        <v>94.819522000000006</v>
      </c>
      <c r="FT40" s="76">
        <v>107.52392</v>
      </c>
      <c r="FU40" s="76">
        <v>91.242644999999996</v>
      </c>
      <c r="FV40" s="76">
        <v>114.602628</v>
      </c>
      <c r="FW40" s="76">
        <v>114.744946</v>
      </c>
      <c r="FX40" s="76">
        <v>170.64646759999999</v>
      </c>
      <c r="FY40" s="76">
        <v>198.87617000000003</v>
      </c>
      <c r="FZ40" s="76">
        <v>76.489570999999998</v>
      </c>
      <c r="GA40" s="76">
        <v>120.818358</v>
      </c>
      <c r="GB40" s="76">
        <v>134.02572400000003</v>
      </c>
      <c r="GC40" s="76">
        <v>106.84155399999999</v>
      </c>
      <c r="GD40" s="76">
        <v>138.34157124000001</v>
      </c>
      <c r="GE40" s="76">
        <v>116.374273</v>
      </c>
      <c r="GF40" s="76">
        <v>161.67315078999999</v>
      </c>
      <c r="GG40" s="76">
        <v>114.06034268000001</v>
      </c>
      <c r="GH40" s="76">
        <v>132.43024446000001</v>
      </c>
      <c r="GI40" s="76">
        <v>121.55223472</v>
      </c>
      <c r="GJ40" s="76">
        <v>95.437716000000009</v>
      </c>
      <c r="GK40" s="76">
        <v>200.17100600000001</v>
      </c>
      <c r="GL40" s="76">
        <v>81.761832760000004</v>
      </c>
      <c r="GM40" s="76">
        <v>106.65271430999999</v>
      </c>
      <c r="GN40" s="76">
        <v>114.37652129000001</v>
      </c>
      <c r="GO40" s="76">
        <v>108.11943178999996</v>
      </c>
      <c r="GP40" s="76">
        <v>132.6051468</v>
      </c>
      <c r="GQ40" s="76">
        <v>123.28163944999997</v>
      </c>
      <c r="GR40" s="76">
        <v>121.37700415999998</v>
      </c>
      <c r="GS40" s="76">
        <v>116.62781236835585</v>
      </c>
      <c r="GT40" s="76">
        <v>125.43262266000002</v>
      </c>
      <c r="GU40" s="76">
        <v>153.15640894000003</v>
      </c>
      <c r="GV40" s="76">
        <v>110.71628632999995</v>
      </c>
      <c r="GW40" s="76">
        <v>360.80452583999994</v>
      </c>
      <c r="GX40" s="76">
        <v>88.671257499999996</v>
      </c>
      <c r="GY40" s="76">
        <v>102.64243154999996</v>
      </c>
      <c r="GZ40" s="76">
        <v>156.50419477999998</v>
      </c>
      <c r="HA40" s="76">
        <v>140.68941651999998</v>
      </c>
      <c r="HB40" s="76">
        <v>154.86697313000002</v>
      </c>
      <c r="HC40" s="76">
        <v>120.41897733</v>
      </c>
      <c r="HD40" s="76">
        <v>112.26585757999999</v>
      </c>
      <c r="HE40" s="76">
        <v>137.10263572999997</v>
      </c>
      <c r="HF40" s="76">
        <v>127.54757661999999</v>
      </c>
      <c r="HG40" s="76">
        <v>121.11190434</v>
      </c>
      <c r="HH40" s="76">
        <v>150.54336333000001</v>
      </c>
      <c r="HI40" s="76">
        <v>279.24588199999999</v>
      </c>
    </row>
    <row r="41" spans="1:217" x14ac:dyDescent="0.35">
      <c r="A41" s="166" t="s">
        <v>602</v>
      </c>
      <c r="B41" s="76">
        <v>4.0127917038927885</v>
      </c>
      <c r="C41" s="76">
        <v>3.6434533333333334</v>
      </c>
      <c r="D41" s="76">
        <v>5.7455733333333328</v>
      </c>
      <c r="E41" s="76">
        <v>7.1698933333333343</v>
      </c>
      <c r="F41" s="76">
        <v>7.4644533333333341</v>
      </c>
      <c r="G41" s="76">
        <v>8.173373333333334</v>
      </c>
      <c r="H41" s="76">
        <v>5.7252399999999994</v>
      </c>
      <c r="I41" s="76">
        <v>6.5070399999999999</v>
      </c>
      <c r="J41" s="76">
        <v>7.4351999999999983</v>
      </c>
      <c r="K41" s="76">
        <v>8.18248</v>
      </c>
      <c r="L41" s="76">
        <v>9.0959999999999983</v>
      </c>
      <c r="M41" s="76">
        <v>9.7026800000000009</v>
      </c>
      <c r="N41" s="76">
        <v>4.3064960000000001</v>
      </c>
      <c r="O41" s="76">
        <v>7.3895999999999997</v>
      </c>
      <c r="P41" s="76">
        <v>9.5875000000000004</v>
      </c>
      <c r="Q41" s="76">
        <v>8.2184999999999988</v>
      </c>
      <c r="R41" s="76">
        <v>15.172000000000001</v>
      </c>
      <c r="S41" s="76">
        <v>7.4829999999999997</v>
      </c>
      <c r="T41" s="76">
        <v>11.521614999999994</v>
      </c>
      <c r="U41" s="76">
        <v>26.339244000000008</v>
      </c>
      <c r="V41" s="76">
        <v>12.890999999999998</v>
      </c>
      <c r="W41" s="76">
        <v>16.385000000000002</v>
      </c>
      <c r="X41" s="76">
        <v>10.085999999999999</v>
      </c>
      <c r="Y41" s="76">
        <v>13.6</v>
      </c>
      <c r="Z41" s="76">
        <v>13.247</v>
      </c>
      <c r="AA41" s="76">
        <v>15.915000000000001</v>
      </c>
      <c r="AB41" s="76">
        <v>12.518000000000001</v>
      </c>
      <c r="AC41" s="76">
        <v>22.909323000000008</v>
      </c>
      <c r="AD41" s="76">
        <v>23.128285714285717</v>
      </c>
      <c r="AE41" s="76">
        <v>18.118285714285715</v>
      </c>
      <c r="AF41" s="76">
        <v>24.75864285714286</v>
      </c>
      <c r="AG41" s="76">
        <v>25.49459642857143</v>
      </c>
      <c r="AH41" s="76">
        <v>14.450626974664672</v>
      </c>
      <c r="AI41" s="76">
        <v>20.344571428571427</v>
      </c>
      <c r="AJ41" s="76">
        <v>19.496671428571442</v>
      </c>
      <c r="AK41" s="76">
        <v>26.027371428571406</v>
      </c>
      <c r="AL41" s="76">
        <v>24.4</v>
      </c>
      <c r="AM41" s="76">
        <v>16.100000000000001</v>
      </c>
      <c r="AN41" s="76">
        <v>20</v>
      </c>
      <c r="AO41" s="76">
        <v>24.3</v>
      </c>
      <c r="AP41" s="76">
        <v>13.599899663291747</v>
      </c>
      <c r="AQ41" s="76">
        <v>9.2998996632917486</v>
      </c>
      <c r="AR41" s="76">
        <v>15.819879595950098</v>
      </c>
      <c r="AS41" s="76">
        <v>25.7997993265835</v>
      </c>
      <c r="AT41" s="76">
        <v>22.2</v>
      </c>
      <c r="AU41" s="76">
        <v>15.974799326583499</v>
      </c>
      <c r="AV41" s="76">
        <v>11.499799326583499</v>
      </c>
      <c r="AW41" s="76">
        <v>11.3997993265835</v>
      </c>
      <c r="AX41" s="76">
        <v>8.86</v>
      </c>
      <c r="AY41" s="76">
        <v>14.129000000000001</v>
      </c>
      <c r="AZ41" s="76">
        <v>16.5</v>
      </c>
      <c r="BA41" s="76">
        <v>15.306199999999999</v>
      </c>
      <c r="BB41" s="76">
        <v>18.100000000000001</v>
      </c>
      <c r="BC41" s="76">
        <v>15.337</v>
      </c>
      <c r="BD41" s="76">
        <v>17.917000000000002</v>
      </c>
      <c r="BE41" s="76">
        <v>19.11</v>
      </c>
      <c r="BF41" s="76">
        <v>18.594999999999999</v>
      </c>
      <c r="BG41" s="76">
        <v>17.42333660835483</v>
      </c>
      <c r="BH41" s="76">
        <v>14.659336608354831</v>
      </c>
      <c r="BI41" s="76">
        <v>19.813136608354831</v>
      </c>
      <c r="BJ41" s="76">
        <v>15.569000000000001</v>
      </c>
      <c r="BK41" s="76">
        <v>23.969000000000001</v>
      </c>
      <c r="BL41" s="76">
        <v>25.900999999999996</v>
      </c>
      <c r="BM41" s="76">
        <v>36.655000000000001</v>
      </c>
      <c r="BN41" s="76">
        <v>32.927585729211351</v>
      </c>
      <c r="BO41" s="76">
        <v>24.511585729211347</v>
      </c>
      <c r="BP41" s="76">
        <v>14.964902875053619</v>
      </c>
      <c r="BQ41" s="76">
        <v>35.643947458422701</v>
      </c>
      <c r="BR41" s="76">
        <v>26.705923200000001</v>
      </c>
      <c r="BS41" s="76">
        <v>11.6247042584227</v>
      </c>
      <c r="BT41" s="76">
        <v>10.096912258422702</v>
      </c>
      <c r="BU41" s="76">
        <v>22.493912258422704</v>
      </c>
      <c r="BV41" s="76">
        <v>15.292</v>
      </c>
      <c r="BW41" s="76">
        <v>19.369</v>
      </c>
      <c r="BX41" s="76">
        <v>63.037999999999997</v>
      </c>
      <c r="BY41" s="76">
        <v>18.153199999999998</v>
      </c>
      <c r="BZ41" s="76">
        <v>16.209585729211351</v>
      </c>
      <c r="CA41" s="76">
        <v>55.201185729211346</v>
      </c>
      <c r="CB41" s="76">
        <v>19.125110875053622</v>
      </c>
      <c r="CC41" s="76">
        <v>26.9709474584227</v>
      </c>
      <c r="CD41" s="76">
        <v>29.6849232</v>
      </c>
      <c r="CE41" s="76">
        <v>19.9999122584227</v>
      </c>
      <c r="CF41" s="76">
        <v>33.805066258422706</v>
      </c>
      <c r="CG41" s="76">
        <v>31.225912258422699</v>
      </c>
      <c r="CH41" s="76">
        <v>36.996805000000002</v>
      </c>
      <c r="CI41" s="76">
        <v>15.352274000000001</v>
      </c>
      <c r="CJ41" s="76">
        <v>38.223341000000005</v>
      </c>
      <c r="CK41" s="76">
        <v>30.220355999999999</v>
      </c>
      <c r="CL41" s="76">
        <v>23.974601729211351</v>
      </c>
      <c r="CM41" s="76">
        <v>38.129857729211352</v>
      </c>
      <c r="CN41" s="76">
        <v>34.279994075053622</v>
      </c>
      <c r="CO41" s="76">
        <v>75.615228658422694</v>
      </c>
      <c r="CP41" s="76">
        <v>41.837094199999996</v>
      </c>
      <c r="CQ41" s="76">
        <v>46.582431658422692</v>
      </c>
      <c r="CR41" s="76">
        <v>37.322098658422696</v>
      </c>
      <c r="CS41" s="76">
        <v>113.5441926584227</v>
      </c>
      <c r="CT41" s="76">
        <v>42.597496999938564</v>
      </c>
      <c r="CU41" s="76">
        <v>37.519337436771544</v>
      </c>
      <c r="CV41" s="76">
        <v>60.02074244243984</v>
      </c>
      <c r="CW41" s="76">
        <v>111.09719697876319</v>
      </c>
      <c r="CX41" s="76">
        <v>106.42295404215193</v>
      </c>
      <c r="CY41" s="76">
        <v>67.902886362874312</v>
      </c>
      <c r="CZ41" s="76">
        <v>88.076146736739076</v>
      </c>
      <c r="DA41" s="76">
        <v>166.24884155061764</v>
      </c>
      <c r="DB41" s="76">
        <v>100.14047781744505</v>
      </c>
      <c r="DC41" s="76">
        <v>155.00177883323892</v>
      </c>
      <c r="DD41" s="76">
        <v>177.16374836792414</v>
      </c>
      <c r="DE41" s="76">
        <v>195.77086896750939</v>
      </c>
      <c r="DF41" s="76">
        <v>122.00914665931388</v>
      </c>
      <c r="DG41" s="76">
        <v>118.60382831813052</v>
      </c>
      <c r="DH41" s="76">
        <v>188.08699558391561</v>
      </c>
      <c r="DI41" s="76">
        <v>126.50304784327518</v>
      </c>
      <c r="DJ41" s="76">
        <v>92.302164090776387</v>
      </c>
      <c r="DK41" s="76">
        <v>148.26734879016817</v>
      </c>
      <c r="DL41" s="76">
        <v>116.08791573935159</v>
      </c>
      <c r="DM41" s="76">
        <v>126.2800258063464</v>
      </c>
      <c r="DN41" s="76">
        <v>146.26856923007665</v>
      </c>
      <c r="DO41" s="76">
        <v>111.9013736783744</v>
      </c>
      <c r="DP41" s="76">
        <v>164.35320867543277</v>
      </c>
      <c r="DQ41" s="76">
        <v>224.03117261575213</v>
      </c>
      <c r="DR41" s="76">
        <v>75.548240883358744</v>
      </c>
      <c r="DS41" s="76">
        <v>81.136345409190156</v>
      </c>
      <c r="DT41" s="76">
        <v>163.57132603265217</v>
      </c>
      <c r="DU41" s="76">
        <v>85.660173856563958</v>
      </c>
      <c r="DV41" s="76">
        <v>141.67735585977016</v>
      </c>
      <c r="DW41" s="76">
        <v>87.15545650966493</v>
      </c>
      <c r="DX41" s="76">
        <v>112.54842456703372</v>
      </c>
      <c r="DY41" s="76">
        <v>97.278700604112629</v>
      </c>
      <c r="DZ41" s="76">
        <v>243.42460391215147</v>
      </c>
      <c r="EA41" s="76">
        <v>110.03339854794328</v>
      </c>
      <c r="EB41" s="76">
        <v>94.505017477092679</v>
      </c>
      <c r="EC41" s="76">
        <v>201.70405238000004</v>
      </c>
      <c r="ED41" s="76">
        <v>185.16329294642006</v>
      </c>
      <c r="EE41" s="76">
        <v>66.100485861913455</v>
      </c>
      <c r="EF41" s="76">
        <v>235.25369716744575</v>
      </c>
      <c r="EG41" s="76">
        <v>137.14028653584583</v>
      </c>
      <c r="EH41" s="76">
        <v>170.48611545669462</v>
      </c>
      <c r="EI41" s="76">
        <v>164.1393228748849</v>
      </c>
      <c r="EJ41" s="76">
        <v>161.97521533298118</v>
      </c>
      <c r="EK41" s="76">
        <v>135.60587577259315</v>
      </c>
      <c r="EL41" s="76">
        <v>144.86630816905563</v>
      </c>
      <c r="EM41" s="76">
        <v>195.14289887390433</v>
      </c>
      <c r="EN41" s="76">
        <v>150.39414946456776</v>
      </c>
      <c r="EO41" s="76">
        <v>405.31806038586643</v>
      </c>
      <c r="EP41" s="76">
        <v>144.31913436592163</v>
      </c>
      <c r="EQ41" s="76">
        <v>246.65505833159253</v>
      </c>
      <c r="ER41" s="76">
        <v>83.833227966226971</v>
      </c>
      <c r="ES41" s="76">
        <v>176.97117096640588</v>
      </c>
      <c r="ET41" s="76">
        <v>139.63199649755845</v>
      </c>
      <c r="EU41" s="76">
        <v>137.42945638025662</v>
      </c>
      <c r="EV41" s="76">
        <v>210.06910039616383</v>
      </c>
      <c r="EW41" s="76">
        <v>264.11106080831701</v>
      </c>
      <c r="EX41" s="76">
        <v>274.39896160209742</v>
      </c>
      <c r="EY41" s="76">
        <v>110.04035928613456</v>
      </c>
      <c r="EZ41" s="76">
        <v>318.2992606536115</v>
      </c>
      <c r="FA41" s="76">
        <v>391.586413685259</v>
      </c>
      <c r="FB41" s="76">
        <v>286.22271187742638</v>
      </c>
      <c r="FC41" s="76">
        <v>220.43147850581238</v>
      </c>
      <c r="FD41" s="76">
        <v>305.74105355815902</v>
      </c>
      <c r="FE41" s="76">
        <v>281.68110762711171</v>
      </c>
      <c r="FF41" s="76">
        <v>272.27598724921489</v>
      </c>
      <c r="FG41" s="76">
        <v>235.55299197957086</v>
      </c>
      <c r="FH41" s="76">
        <v>396.20998973947917</v>
      </c>
      <c r="FI41" s="76">
        <v>346.41158622901321</v>
      </c>
      <c r="FJ41" s="76">
        <v>303.72836990871065</v>
      </c>
      <c r="FK41" s="76">
        <v>383.51996849483123</v>
      </c>
      <c r="FL41" s="76">
        <v>339.5546408431876</v>
      </c>
      <c r="FM41" s="76">
        <v>616.47818680180058</v>
      </c>
      <c r="FN41" s="76">
        <v>284.81819967136715</v>
      </c>
      <c r="FO41" s="76">
        <v>338.7899151220463</v>
      </c>
      <c r="FP41" s="76">
        <v>296.71500685532317</v>
      </c>
      <c r="FQ41" s="76">
        <v>344.44701353597139</v>
      </c>
      <c r="FR41" s="76">
        <v>300.4587699802214</v>
      </c>
      <c r="FS41" s="76">
        <v>312.16326008799189</v>
      </c>
      <c r="FT41" s="76">
        <v>392.66537767261894</v>
      </c>
      <c r="FU41" s="76">
        <v>314.11398332653187</v>
      </c>
      <c r="FV41" s="76">
        <v>343.08042957188218</v>
      </c>
      <c r="FW41" s="76">
        <v>475.81177529955664</v>
      </c>
      <c r="FX41" s="76">
        <v>284.81680094072976</v>
      </c>
      <c r="FY41" s="76">
        <v>530.45354855575874</v>
      </c>
      <c r="FZ41" s="76">
        <v>239.02311346875666</v>
      </c>
      <c r="GA41" s="76">
        <v>302.24823340999399</v>
      </c>
      <c r="GB41" s="76">
        <v>296.72930661285955</v>
      </c>
      <c r="GC41" s="76">
        <v>313.62895825048452</v>
      </c>
      <c r="GD41" s="76">
        <v>259.21793736261964</v>
      </c>
      <c r="GE41" s="76">
        <v>260.836334762364</v>
      </c>
      <c r="GF41" s="76">
        <v>221.46868425679691</v>
      </c>
      <c r="GG41" s="76">
        <v>243.39428498589416</v>
      </c>
      <c r="GH41" s="76">
        <v>249.61890422030905</v>
      </c>
      <c r="GI41" s="76">
        <v>233.60884124819808</v>
      </c>
      <c r="GJ41" s="76">
        <v>215.57740174429512</v>
      </c>
      <c r="GK41" s="76">
        <v>292.7365673016439</v>
      </c>
      <c r="GL41" s="76">
        <v>198.76689132602985</v>
      </c>
      <c r="GM41" s="76">
        <v>176.20696370843751</v>
      </c>
      <c r="GN41" s="76">
        <v>226.59649963753097</v>
      </c>
      <c r="GO41" s="76">
        <v>257.41695834000001</v>
      </c>
      <c r="GP41" s="76">
        <v>203.53730659646376</v>
      </c>
      <c r="GQ41" s="76">
        <v>305.90553942054362</v>
      </c>
      <c r="GR41" s="76">
        <v>204.85785168182139</v>
      </c>
      <c r="GS41" s="76">
        <v>154.54080303914742</v>
      </c>
      <c r="GT41" s="76">
        <v>190.08243067747696</v>
      </c>
      <c r="GU41" s="76">
        <v>206.75688225821733</v>
      </c>
      <c r="GV41" s="76">
        <v>172.50233479734004</v>
      </c>
      <c r="GW41" s="76">
        <v>236.07716052110837</v>
      </c>
      <c r="GX41" s="73">
        <v>150.41971852476368</v>
      </c>
      <c r="GY41" s="73">
        <v>131.09792340725429</v>
      </c>
      <c r="GZ41" s="73">
        <v>159.13141493981715</v>
      </c>
      <c r="HA41" s="73">
        <v>127.66635319951619</v>
      </c>
      <c r="HB41" s="73">
        <v>148.52851951141614</v>
      </c>
      <c r="HC41" s="73">
        <v>131.53948738841041</v>
      </c>
      <c r="HD41" s="73">
        <v>165.64953224953064</v>
      </c>
      <c r="HE41" s="73">
        <v>140.67257824121936</v>
      </c>
      <c r="HF41" s="73">
        <v>155.99633346199766</v>
      </c>
      <c r="HG41" s="73">
        <v>146.37061554195213</v>
      </c>
      <c r="HH41" s="73">
        <v>178.76128338687704</v>
      </c>
      <c r="HI41" s="73">
        <v>234.38398781724536</v>
      </c>
    </row>
    <row r="42" spans="1:217" s="69" customFormat="1" x14ac:dyDescent="0.35">
      <c r="A42" s="170" t="s">
        <v>603</v>
      </c>
      <c r="B42" s="74">
        <v>0.29500361625186122</v>
      </c>
      <c r="C42" s="74">
        <v>1.0934000000000001</v>
      </c>
      <c r="D42" s="74">
        <v>-0.20319999999999983</v>
      </c>
      <c r="E42" s="74">
        <v>1.8311600000000001</v>
      </c>
      <c r="F42" s="74">
        <v>0.77172000000000018</v>
      </c>
      <c r="G42" s="74">
        <v>1.6978000000000002</v>
      </c>
      <c r="H42" s="74">
        <v>0.44003999999999999</v>
      </c>
      <c r="I42" s="74">
        <v>0.94900000000000007</v>
      </c>
      <c r="J42" s="74">
        <v>1.65036</v>
      </c>
      <c r="K42" s="74">
        <v>-0.61511999999999967</v>
      </c>
      <c r="L42" s="74">
        <v>2.044</v>
      </c>
      <c r="M42" s="74">
        <v>2.3447200000000001</v>
      </c>
      <c r="N42" s="74">
        <v>71.822760000000002</v>
      </c>
      <c r="O42" s="74">
        <v>77.970634999999987</v>
      </c>
      <c r="P42" s="74">
        <v>8.3318740000000009</v>
      </c>
      <c r="Q42" s="74">
        <v>3.2594660000000002</v>
      </c>
      <c r="R42" s="74">
        <v>20.919944999999998</v>
      </c>
      <c r="S42" s="74">
        <v>4.8380000000000001</v>
      </c>
      <c r="T42" s="74">
        <v>2.9689999999999999</v>
      </c>
      <c r="U42" s="74">
        <v>4.0490000000000004</v>
      </c>
      <c r="V42" s="74">
        <v>7.3789999999999987</v>
      </c>
      <c r="W42" s="74">
        <v>13.526</v>
      </c>
      <c r="X42" s="74">
        <v>14.899999999999999</v>
      </c>
      <c r="Y42" s="74">
        <v>17</v>
      </c>
      <c r="Z42" s="74">
        <v>0.96700000099999994</v>
      </c>
      <c r="AA42" s="74">
        <v>-73.873576999999997</v>
      </c>
      <c r="AB42" s="74">
        <v>4.168177</v>
      </c>
      <c r="AC42" s="74">
        <v>22.2</v>
      </c>
      <c r="AD42" s="74">
        <v>17.627178000000001</v>
      </c>
      <c r="AE42" s="74">
        <v>18.994592363636364</v>
      </c>
      <c r="AF42" s="74">
        <v>15.8</v>
      </c>
      <c r="AG42" s="74">
        <v>4.4210000000000012</v>
      </c>
      <c r="AH42" s="74">
        <v>23.022821019999999</v>
      </c>
      <c r="AI42" s="74">
        <v>81.26955538</v>
      </c>
      <c r="AJ42" s="74">
        <v>74.870945176883239</v>
      </c>
      <c r="AK42" s="74">
        <v>12.467891743636365</v>
      </c>
      <c r="AL42" s="74">
        <v>14.16</v>
      </c>
      <c r="AM42" s="74">
        <v>12.69</v>
      </c>
      <c r="AN42" s="74">
        <v>3.34</v>
      </c>
      <c r="AO42" s="74">
        <v>3.04</v>
      </c>
      <c r="AP42" s="74">
        <v>0.6</v>
      </c>
      <c r="AQ42" s="74">
        <v>-1.2</v>
      </c>
      <c r="AR42" s="74">
        <v>5.34</v>
      </c>
      <c r="AS42" s="74">
        <v>-1.38</v>
      </c>
      <c r="AT42" s="74">
        <v>8.2799999999999994</v>
      </c>
      <c r="AU42" s="74">
        <v>5.4</v>
      </c>
      <c r="AV42" s="74">
        <v>-1.8</v>
      </c>
      <c r="AW42" s="74">
        <v>23.841999999999999</v>
      </c>
      <c r="AX42" s="74">
        <v>2.6843466600000001</v>
      </c>
      <c r="AY42" s="74">
        <v>-0.39450287000000051</v>
      </c>
      <c r="AZ42" s="74">
        <v>3.2074687400000008</v>
      </c>
      <c r="BA42" s="74">
        <v>3.7885327900000005</v>
      </c>
      <c r="BB42" s="74">
        <v>0.36005986999999956</v>
      </c>
      <c r="BC42" s="74">
        <v>1.7080000000000002</v>
      </c>
      <c r="BD42" s="74">
        <v>5.9730000000000008</v>
      </c>
      <c r="BE42" s="74">
        <v>1.5549999999999999</v>
      </c>
      <c r="BF42" s="74">
        <v>-1.4140000000000004</v>
      </c>
      <c r="BG42" s="74">
        <v>3.1863999999999999</v>
      </c>
      <c r="BH42" s="74">
        <v>13.071199999999999</v>
      </c>
      <c r="BI42" s="74">
        <v>81.14</v>
      </c>
      <c r="BJ42" s="74">
        <v>11.123234083333331</v>
      </c>
      <c r="BK42" s="74">
        <v>11.420549783333334</v>
      </c>
      <c r="BL42" s="74">
        <v>13.120336483333334</v>
      </c>
      <c r="BM42" s="74">
        <v>1.9725743833333336</v>
      </c>
      <c r="BN42" s="74">
        <v>4.3335537133333339</v>
      </c>
      <c r="BO42" s="74">
        <v>4.2464407133333335</v>
      </c>
      <c r="BP42" s="74">
        <v>-0.59505356666666587</v>
      </c>
      <c r="BQ42" s="74">
        <v>-3.9751683866666676</v>
      </c>
      <c r="BR42" s="74">
        <v>-8.3028047866666661</v>
      </c>
      <c r="BS42" s="74">
        <v>-6.7394275766666665</v>
      </c>
      <c r="BT42" s="74">
        <v>-6.7376666666666676</v>
      </c>
      <c r="BU42" s="74">
        <v>-7.0698555366666671</v>
      </c>
      <c r="BV42" s="74">
        <v>1.06</v>
      </c>
      <c r="BW42" s="74">
        <v>-8.5000000000000006E-2</v>
      </c>
      <c r="BX42" s="74">
        <v>5.5440000000000005</v>
      </c>
      <c r="BY42" s="74">
        <v>3.1829999999999998</v>
      </c>
      <c r="BZ42" s="74">
        <v>5.2370000000000001</v>
      </c>
      <c r="CA42" s="74">
        <v>4.1760000000000002</v>
      </c>
      <c r="CB42" s="74">
        <v>3.3860000000000001</v>
      </c>
      <c r="CC42" s="74">
        <v>3.9859999999999998</v>
      </c>
      <c r="CD42" s="74">
        <v>2.2080000000000002</v>
      </c>
      <c r="CE42" s="74">
        <v>8.1999999999999993</v>
      </c>
      <c r="CF42" s="74">
        <v>5.25</v>
      </c>
      <c r="CG42" s="74">
        <v>1.3320000000000001</v>
      </c>
      <c r="CH42" s="74">
        <v>2.7786149300000007</v>
      </c>
      <c r="CI42" s="74">
        <v>5.3943004400000012</v>
      </c>
      <c r="CJ42" s="74">
        <v>5.9657417199999996</v>
      </c>
      <c r="CK42" s="74">
        <v>4.8299239999999983</v>
      </c>
      <c r="CL42" s="74">
        <v>4.8131190000000545E-2</v>
      </c>
      <c r="CM42" s="74">
        <v>-0.77522314000000025</v>
      </c>
      <c r="CN42" s="74">
        <v>0.62420173999999951</v>
      </c>
      <c r="CO42" s="74">
        <v>79.157432419999992</v>
      </c>
      <c r="CP42" s="74">
        <v>16.739866590000002</v>
      </c>
      <c r="CQ42" s="74">
        <v>83.656104079999992</v>
      </c>
      <c r="CR42" s="74">
        <v>27.84554</v>
      </c>
      <c r="CS42" s="74">
        <v>6.4610719999999997</v>
      </c>
      <c r="CT42" s="74">
        <v>5.2869999999999999</v>
      </c>
      <c r="CU42" s="74">
        <v>9.3710000000000004</v>
      </c>
      <c r="CV42" s="74">
        <v>6.8019999999999996</v>
      </c>
      <c r="CW42" s="74">
        <v>6.2969999999999997</v>
      </c>
      <c r="CX42" s="74">
        <v>7.4630000000000001</v>
      </c>
      <c r="CY42" s="74">
        <v>6.3</v>
      </c>
      <c r="CZ42" s="74">
        <v>9.7487561300000003</v>
      </c>
      <c r="DA42" s="74">
        <v>2.5212167999999986</v>
      </c>
      <c r="DB42" s="74">
        <v>8.3310195300000007</v>
      </c>
      <c r="DC42" s="74">
        <v>5.7</v>
      </c>
      <c r="DD42" s="74">
        <v>1.0669999999999999</v>
      </c>
      <c r="DE42" s="74">
        <v>2.173428229999999</v>
      </c>
      <c r="DF42" s="74">
        <v>7.8949999999999996</v>
      </c>
      <c r="DG42" s="74">
        <v>14.112</v>
      </c>
      <c r="DH42" s="74">
        <v>16.001000000000001</v>
      </c>
      <c r="DI42" s="74">
        <v>22.411000000000001</v>
      </c>
      <c r="DJ42" s="74">
        <v>28.292999999999999</v>
      </c>
      <c r="DK42" s="74">
        <v>32.449000000000005</v>
      </c>
      <c r="DL42" s="74">
        <v>46.04</v>
      </c>
      <c r="DM42" s="74">
        <v>38.437000000000005</v>
      </c>
      <c r="DN42" s="74">
        <v>41.330999999999996</v>
      </c>
      <c r="DO42" s="74">
        <v>49.518000000000001</v>
      </c>
      <c r="DP42" s="74">
        <v>37.349000000000004</v>
      </c>
      <c r="DQ42" s="74">
        <v>36.332235080000004</v>
      </c>
      <c r="DR42" s="74">
        <v>14.005833333333333</v>
      </c>
      <c r="DS42" s="74">
        <v>19.505833333333335</v>
      </c>
      <c r="DT42" s="74">
        <v>19.505833333333335</v>
      </c>
      <c r="DU42" s="74">
        <v>57.461709403333337</v>
      </c>
      <c r="DV42" s="74">
        <v>60.299093333333332</v>
      </c>
      <c r="DW42" s="74">
        <v>75.742907333333321</v>
      </c>
      <c r="DX42" s="74">
        <v>82.403410333333326</v>
      </c>
      <c r="DY42" s="74">
        <v>78.172620333333327</v>
      </c>
      <c r="DZ42" s="74">
        <v>72.950455333333323</v>
      </c>
      <c r="EA42" s="74">
        <v>34.436252333333329</v>
      </c>
      <c r="EB42" s="74">
        <v>65.909685429047613</v>
      </c>
      <c r="EC42" s="74">
        <v>66.124685429047616</v>
      </c>
      <c r="ED42" s="74">
        <v>14.063999999999993</v>
      </c>
      <c r="EE42" s="74">
        <v>36.611000000000004</v>
      </c>
      <c r="EF42" s="74">
        <v>-0.39599999999998658</v>
      </c>
      <c r="EG42" s="74">
        <v>2.039999999999992</v>
      </c>
      <c r="EH42" s="74">
        <v>6.6999999999999886</v>
      </c>
      <c r="EI42" s="74">
        <v>7.1670000000000016</v>
      </c>
      <c r="EJ42" s="74">
        <v>-18.61099999999999</v>
      </c>
      <c r="EK42" s="74">
        <v>40.387</v>
      </c>
      <c r="EL42" s="74">
        <v>62.746776472316412</v>
      </c>
      <c r="EM42" s="74">
        <v>95.206744999999998</v>
      </c>
      <c r="EN42" s="74">
        <v>47.728775474742079</v>
      </c>
      <c r="EO42" s="74">
        <v>39.996299852099177</v>
      </c>
      <c r="EP42" s="74">
        <v>96.87</v>
      </c>
      <c r="EQ42" s="74">
        <v>-66.152000000000001</v>
      </c>
      <c r="ER42" s="74">
        <v>-62.868000000000002</v>
      </c>
      <c r="ES42" s="74">
        <v>31.239000000000001</v>
      </c>
      <c r="ET42" s="74">
        <v>39.587000000000003</v>
      </c>
      <c r="EU42" s="74">
        <v>47.325000000000003</v>
      </c>
      <c r="EV42" s="74">
        <v>38.924999999999997</v>
      </c>
      <c r="EW42" s="74">
        <v>72.013000000000005</v>
      </c>
      <c r="EX42" s="74">
        <v>87.813000000000002</v>
      </c>
      <c r="EY42" s="74">
        <v>125.33766666666666</v>
      </c>
      <c r="EZ42" s="74">
        <v>101.43166666666667</v>
      </c>
      <c r="FA42" s="74">
        <v>138.5746666666667</v>
      </c>
      <c r="FB42" s="74">
        <v>39.374450636847101</v>
      </c>
      <c r="FC42" s="74">
        <v>22.003828748579529</v>
      </c>
      <c r="FD42" s="74">
        <v>5.9494705058134745</v>
      </c>
      <c r="FE42" s="74">
        <v>34.319044596309944</v>
      </c>
      <c r="FF42" s="74">
        <v>42.630292701911131</v>
      </c>
      <c r="FG42" s="74">
        <v>46.593112700934014</v>
      </c>
      <c r="FH42" s="74">
        <v>45.931663204258484</v>
      </c>
      <c r="FI42" s="74">
        <v>59.128282537899075</v>
      </c>
      <c r="FJ42" s="74">
        <v>80.858819955052326</v>
      </c>
      <c r="FK42" s="74">
        <v>87.960798062312861</v>
      </c>
      <c r="FL42" s="74">
        <v>62.00853706448995</v>
      </c>
      <c r="FM42" s="74">
        <v>65.219219762805494</v>
      </c>
      <c r="FN42" s="74">
        <v>193.61378999999999</v>
      </c>
      <c r="FO42" s="74">
        <v>129.13300000000001</v>
      </c>
      <c r="FP42" s="74">
        <v>111.04600000000001</v>
      </c>
      <c r="FQ42" s="74">
        <v>106.564724</v>
      </c>
      <c r="FR42" s="74">
        <v>154.83066099999999</v>
      </c>
      <c r="FS42" s="74">
        <v>101.420513</v>
      </c>
      <c r="FT42" s="74">
        <v>71.921818000000002</v>
      </c>
      <c r="FU42" s="74">
        <v>111.128917</v>
      </c>
      <c r="FV42" s="74">
        <v>146.2222878</v>
      </c>
      <c r="FW42" s="74">
        <v>96.356626000000006</v>
      </c>
      <c r="FX42" s="74">
        <v>79.389488</v>
      </c>
      <c r="FY42" s="74">
        <v>73.094971999999999</v>
      </c>
      <c r="FZ42" s="74">
        <v>109.83999999999997</v>
      </c>
      <c r="GA42" s="74">
        <v>80.69</v>
      </c>
      <c r="GB42" s="74">
        <v>133.06</v>
      </c>
      <c r="GC42" s="74">
        <v>112.13000000000002</v>
      </c>
      <c r="GD42" s="74">
        <v>105.28000000000003</v>
      </c>
      <c r="GE42" s="74">
        <v>136.02999999999997</v>
      </c>
      <c r="GF42" s="74">
        <v>147.35999999999999</v>
      </c>
      <c r="GG42" s="74">
        <v>116.82</v>
      </c>
      <c r="GH42" s="74">
        <v>124.72999999999999</v>
      </c>
      <c r="GI42" s="74">
        <v>126.65999999999997</v>
      </c>
      <c r="GJ42" s="74">
        <v>105.52000000000001</v>
      </c>
      <c r="GK42" s="74">
        <v>235.15</v>
      </c>
      <c r="GL42" s="74">
        <v>89.329999999999984</v>
      </c>
      <c r="GM42" s="74">
        <v>97.02000000000001</v>
      </c>
      <c r="GN42" s="74">
        <v>56.360000000000014</v>
      </c>
      <c r="GO42" s="74">
        <v>21.039999999999992</v>
      </c>
      <c r="GP42" s="74">
        <v>51.110000000000014</v>
      </c>
      <c r="GQ42" s="74">
        <v>27.384369499999877</v>
      </c>
      <c r="GR42" s="74">
        <v>78.224371719999965</v>
      </c>
      <c r="GS42" s="74">
        <v>58.303495550000036</v>
      </c>
      <c r="GT42" s="74">
        <v>66.77000000000001</v>
      </c>
      <c r="GU42" s="74">
        <v>49.56</v>
      </c>
      <c r="GV42" s="74">
        <v>70.896102829999904</v>
      </c>
      <c r="GW42" s="74">
        <v>65.028114830000192</v>
      </c>
      <c r="GX42" s="74">
        <v>62.09156432000006</v>
      </c>
      <c r="GY42" s="74">
        <v>77.653429589999973</v>
      </c>
      <c r="GZ42" s="74">
        <v>146.52516069000006</v>
      </c>
      <c r="HA42" s="74">
        <v>61.589714129999834</v>
      </c>
      <c r="HB42" s="74">
        <v>82.450727310000275</v>
      </c>
      <c r="HC42" s="74">
        <v>104.60459164000005</v>
      </c>
      <c r="HD42" s="74">
        <v>76.753426220000108</v>
      </c>
      <c r="HE42" s="74">
        <v>91.220734589999978</v>
      </c>
      <c r="HF42" s="74">
        <v>96.657583360000046</v>
      </c>
      <c r="HG42" s="74">
        <v>86.721783760000136</v>
      </c>
      <c r="HH42" s="74">
        <v>66.887478439999597</v>
      </c>
      <c r="HI42" s="74">
        <v>70.911298026352569</v>
      </c>
    </row>
    <row r="43" spans="1:217" x14ac:dyDescent="0.35">
      <c r="A43" s="170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/>
      <c r="EA43" s="74"/>
      <c r="EB43" s="74"/>
      <c r="EC43" s="74"/>
      <c r="ED43" s="74"/>
      <c r="EE43" s="74"/>
      <c r="EF43" s="74"/>
      <c r="EG43" s="74"/>
      <c r="EH43" s="74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  <c r="FC43" s="74"/>
      <c r="FD43" s="74"/>
      <c r="FE43" s="74"/>
      <c r="FF43" s="74"/>
      <c r="FG43" s="74"/>
      <c r="FH43" s="74"/>
      <c r="FI43" s="74"/>
      <c r="FJ43" s="74"/>
      <c r="FK43" s="74"/>
      <c r="FL43" s="74"/>
      <c r="FM43" s="74"/>
      <c r="FN43" s="74"/>
      <c r="FO43" s="74"/>
      <c r="FP43" s="74"/>
      <c r="FQ43" s="74"/>
      <c r="FR43" s="74"/>
      <c r="FS43" s="74"/>
      <c r="FT43" s="76"/>
      <c r="FU43" s="74"/>
      <c r="FV43" s="74"/>
      <c r="FW43" s="74"/>
      <c r="FX43" s="74"/>
      <c r="FY43" s="74"/>
      <c r="FZ43" s="74"/>
      <c r="GA43" s="74"/>
      <c r="GB43" s="74"/>
      <c r="GC43" s="74"/>
      <c r="GD43" s="74"/>
      <c r="GE43" s="74"/>
      <c r="GF43" s="74"/>
      <c r="GG43" s="76"/>
      <c r="GH43" s="76"/>
      <c r="GI43" s="76"/>
      <c r="GJ43" s="76"/>
      <c r="GK43" s="76"/>
      <c r="GL43" s="74"/>
      <c r="GM43" s="74"/>
      <c r="GN43" s="74"/>
      <c r="GO43" s="74"/>
      <c r="GP43" s="74"/>
      <c r="GQ43" s="74"/>
      <c r="GR43" s="74"/>
      <c r="GS43" s="74"/>
      <c r="GT43" s="74"/>
      <c r="GU43" s="74"/>
      <c r="GV43" s="74"/>
      <c r="GW43" s="74"/>
      <c r="GX43" s="74"/>
      <c r="GY43" s="74"/>
      <c r="GZ43" s="74"/>
      <c r="HA43" s="74"/>
      <c r="HB43" s="74"/>
      <c r="HC43" s="74"/>
      <c r="HD43" s="74"/>
      <c r="HE43" s="74"/>
      <c r="HF43" s="74"/>
      <c r="HG43" s="74"/>
      <c r="HH43" s="74"/>
      <c r="HI43" s="74"/>
    </row>
    <row r="44" spans="1:217" x14ac:dyDescent="0.35">
      <c r="A44" s="75" t="s">
        <v>604</v>
      </c>
      <c r="B44" s="74">
        <v>0</v>
      </c>
      <c r="C44" s="74">
        <v>0</v>
      </c>
      <c r="D44" s="74">
        <v>0</v>
      </c>
      <c r="E44" s="74">
        <v>0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4.5491101276420257E-3</v>
      </c>
      <c r="AA44" s="74">
        <v>4.5491101276420257E-3</v>
      </c>
      <c r="AB44" s="74">
        <v>4.5491101276420257E-3</v>
      </c>
      <c r="AC44" s="74">
        <v>4.5491101276420257E-3</v>
      </c>
      <c r="AD44" s="74">
        <v>4.5491101276420257E-3</v>
      </c>
      <c r="AE44" s="74">
        <v>4.5491101276420257E-3</v>
      </c>
      <c r="AF44" s="74">
        <v>4.5491101276420257E-3</v>
      </c>
      <c r="AG44" s="74">
        <v>4.5491101276420257E-3</v>
      </c>
      <c r="AH44" s="74">
        <v>4.5491101276420257E-3</v>
      </c>
      <c r="AI44" s="74">
        <v>4.5491101276420257E-3</v>
      </c>
      <c r="AJ44" s="74">
        <v>4.5491101276420257E-3</v>
      </c>
      <c r="AK44" s="74">
        <v>4.5491101276420257E-3</v>
      </c>
      <c r="AL44" s="74">
        <v>4.7867829999999998</v>
      </c>
      <c r="AM44" s="74">
        <v>-19.687044</v>
      </c>
      <c r="AN44" s="74">
        <v>-11.936719</v>
      </c>
      <c r="AO44" s="74">
        <v>-1.470259</v>
      </c>
      <c r="AP44" s="74">
        <v>-3.310775</v>
      </c>
      <c r="AQ44" s="74">
        <v>6.097359</v>
      </c>
      <c r="AR44" s="74">
        <v>-20.913463</v>
      </c>
      <c r="AS44" s="74">
        <v>-6.2726369999999996</v>
      </c>
      <c r="AT44" s="74">
        <v>-5.8587449999999999</v>
      </c>
      <c r="AU44" s="74">
        <v>-36.128217999999997</v>
      </c>
      <c r="AV44" s="74">
        <v>-6.637041</v>
      </c>
      <c r="AW44" s="74">
        <v>-29.089000000000013</v>
      </c>
      <c r="AX44" s="74">
        <v>0</v>
      </c>
      <c r="AY44" s="74">
        <v>0</v>
      </c>
      <c r="AZ44" s="74">
        <v>0</v>
      </c>
      <c r="BA44" s="74">
        <v>0</v>
      </c>
      <c r="BB44" s="74">
        <v>0</v>
      </c>
      <c r="BC44" s="74">
        <v>0</v>
      </c>
      <c r="BD44" s="74">
        <v>0</v>
      </c>
      <c r="BE44" s="74">
        <v>0</v>
      </c>
      <c r="BF44" s="74">
        <v>0</v>
      </c>
      <c r="BG44" s="74">
        <v>0</v>
      </c>
      <c r="BH44" s="74">
        <v>0</v>
      </c>
      <c r="BI44" s="74">
        <v>0</v>
      </c>
      <c r="BJ44" s="74">
        <v>4.5491101276420257E-3</v>
      </c>
      <c r="BK44" s="74">
        <v>4.5491101276420257E-3</v>
      </c>
      <c r="BL44" s="74">
        <v>4.5491101276420257E-3</v>
      </c>
      <c r="BM44" s="74">
        <v>4.5491101276420257E-3</v>
      </c>
      <c r="BN44" s="74">
        <v>4.5491101276420257E-3</v>
      </c>
      <c r="BO44" s="74">
        <v>4.5491101276420257E-3</v>
      </c>
      <c r="BP44" s="74">
        <v>4.5491101276420257E-3</v>
      </c>
      <c r="BQ44" s="74">
        <v>4.5491101276420257E-3</v>
      </c>
      <c r="BR44" s="74">
        <v>4.5491101276420257E-3</v>
      </c>
      <c r="BS44" s="74">
        <v>4.5491101276420257E-3</v>
      </c>
      <c r="BT44" s="74">
        <v>4.5491101276420257E-3</v>
      </c>
      <c r="BU44" s="74">
        <v>4.5491101276420257E-3</v>
      </c>
      <c r="BV44" s="74">
        <v>-0.54800000000000004</v>
      </c>
      <c r="BW44" s="74">
        <v>-3.502599</v>
      </c>
      <c r="BX44" s="74">
        <v>-14</v>
      </c>
      <c r="BY44" s="74">
        <v>-10.255000000000001</v>
      </c>
      <c r="BZ44" s="74">
        <v>0</v>
      </c>
      <c r="CA44" s="74">
        <v>0</v>
      </c>
      <c r="CB44" s="74">
        <v>0</v>
      </c>
      <c r="CC44" s="74">
        <v>0</v>
      </c>
      <c r="CD44" s="74">
        <v>0</v>
      </c>
      <c r="CE44" s="74">
        <v>0</v>
      </c>
      <c r="CF44" s="74">
        <v>0</v>
      </c>
      <c r="CG44" s="74">
        <v>0</v>
      </c>
      <c r="CH44" s="74">
        <v>0</v>
      </c>
      <c r="CI44" s="74">
        <v>0</v>
      </c>
      <c r="CJ44" s="74">
        <v>0</v>
      </c>
      <c r="CK44" s="74">
        <v>0</v>
      </c>
      <c r="CL44" s="74">
        <v>0</v>
      </c>
      <c r="CM44" s="74">
        <v>-7.2</v>
      </c>
      <c r="CN44" s="74">
        <v>-17.637057599999999</v>
      </c>
      <c r="CO44" s="74">
        <v>0</v>
      </c>
      <c r="CP44" s="74">
        <v>0</v>
      </c>
      <c r="CQ44" s="74">
        <v>-43.49599946</v>
      </c>
      <c r="CR44" s="74">
        <v>-5.0999999999999996</v>
      </c>
      <c r="CS44" s="74">
        <v>0</v>
      </c>
      <c r="CT44" s="74">
        <v>0</v>
      </c>
      <c r="CU44" s="74">
        <v>0</v>
      </c>
      <c r="CV44" s="74">
        <v>0</v>
      </c>
      <c r="CW44" s="74">
        <v>0</v>
      </c>
      <c r="CX44" s="74">
        <v>0</v>
      </c>
      <c r="CY44" s="74">
        <v>0</v>
      </c>
      <c r="CZ44" s="74">
        <v>0</v>
      </c>
      <c r="DA44" s="74">
        <v>0</v>
      </c>
      <c r="DB44" s="74">
        <v>0</v>
      </c>
      <c r="DC44" s="74">
        <v>0</v>
      </c>
      <c r="DD44" s="74">
        <v>0</v>
      </c>
      <c r="DE44" s="74">
        <v>0</v>
      </c>
      <c r="DF44" s="74">
        <v>4.5491101276420257E-3</v>
      </c>
      <c r="DG44" s="74">
        <v>4.5491101276420257E-3</v>
      </c>
      <c r="DH44" s="74">
        <v>4.5491101276420257E-3</v>
      </c>
      <c r="DI44" s="74">
        <v>4.5491101276420257E-3</v>
      </c>
      <c r="DJ44" s="74">
        <v>4.5491101276420257E-3</v>
      </c>
      <c r="DK44" s="74">
        <v>4.5491101276420257E-3</v>
      </c>
      <c r="DL44" s="74">
        <v>4.5491101276420257E-3</v>
      </c>
      <c r="DM44" s="74">
        <v>4.5491101276420257E-3</v>
      </c>
      <c r="DN44" s="74">
        <v>4.5491101276420257E-3</v>
      </c>
      <c r="DO44" s="74">
        <v>4.5491101276420257E-3</v>
      </c>
      <c r="DP44" s="74">
        <v>4.5491101276420257E-3</v>
      </c>
      <c r="DQ44" s="74">
        <v>4.5491101276420257E-3</v>
      </c>
      <c r="DR44" s="74">
        <v>4.5491101276420257E-3</v>
      </c>
      <c r="DS44" s="74">
        <v>4.5491101276420257E-3</v>
      </c>
      <c r="DT44" s="74">
        <v>4.5491101276420257E-3</v>
      </c>
      <c r="DU44" s="74">
        <v>4.5491101276420257E-3</v>
      </c>
      <c r="DV44" s="74">
        <v>4.5491101276420257E-3</v>
      </c>
      <c r="DW44" s="74">
        <v>4.5491101276420257E-3</v>
      </c>
      <c r="DX44" s="74">
        <v>4.5491101276420257E-3</v>
      </c>
      <c r="DY44" s="74">
        <v>4.5491101276420257E-3</v>
      </c>
      <c r="DZ44" s="74">
        <v>4.5491101276420257E-3</v>
      </c>
      <c r="EA44" s="74">
        <v>4.5491101276420257E-3</v>
      </c>
      <c r="EB44" s="74">
        <v>4.5491101276420257E-3</v>
      </c>
      <c r="EC44" s="74">
        <v>4.5491101276420257E-3</v>
      </c>
      <c r="ED44" s="74">
        <v>4.5491101276420257E-3</v>
      </c>
      <c r="EE44" s="74">
        <v>4.5491101276420257E-3</v>
      </c>
      <c r="EF44" s="74">
        <v>4.5491101276420257E-3</v>
      </c>
      <c r="EG44" s="74">
        <v>4.5491101276420257E-3</v>
      </c>
      <c r="EH44" s="74">
        <v>4.5491101276420257E-3</v>
      </c>
      <c r="EI44" s="74">
        <v>4.5491101276420257E-3</v>
      </c>
      <c r="EJ44" s="74">
        <v>4.5491101276420257E-3</v>
      </c>
      <c r="EK44" s="74">
        <v>4.5491101276420257E-3</v>
      </c>
      <c r="EL44" s="74">
        <v>4.5491101276420257E-3</v>
      </c>
      <c r="EM44" s="74">
        <v>4.5491101276420257E-3</v>
      </c>
      <c r="EN44" s="74">
        <v>4.5491101276420257E-3</v>
      </c>
      <c r="EO44" s="74">
        <v>4.5491101276420257E-3</v>
      </c>
      <c r="EP44" s="74">
        <v>4.5491101276420257E-3</v>
      </c>
      <c r="EQ44" s="74">
        <v>4.5491101276420257E-3</v>
      </c>
      <c r="ER44" s="74">
        <v>4.5491101276420257E-3</v>
      </c>
      <c r="ES44" s="74">
        <v>4.5491101276420257E-3</v>
      </c>
      <c r="ET44" s="74">
        <v>4.5491101276420257E-3</v>
      </c>
      <c r="EU44" s="74">
        <v>4.5491101276420257E-3</v>
      </c>
      <c r="EV44" s="74">
        <v>4.5491101276420257E-3</v>
      </c>
      <c r="EW44" s="74">
        <v>4.5491101276420257E-3</v>
      </c>
      <c r="EX44" s="74">
        <v>4.5491101276420257E-3</v>
      </c>
      <c r="EY44" s="74">
        <v>4.5491101276420257E-3</v>
      </c>
      <c r="EZ44" s="74">
        <v>4.5491101276420257E-3</v>
      </c>
      <c r="FA44" s="74">
        <v>4.5491101276420257E-3</v>
      </c>
      <c r="FB44" s="74">
        <v>4.5491101276420257E-3</v>
      </c>
      <c r="FC44" s="74">
        <v>4.5491101276420257E-3</v>
      </c>
      <c r="FD44" s="74">
        <v>4.5491101276420257E-3</v>
      </c>
      <c r="FE44" s="74">
        <v>4.5491101276420257E-3</v>
      </c>
      <c r="FF44" s="74">
        <v>4.5491101276420257E-3</v>
      </c>
      <c r="FG44" s="74">
        <v>4.5491101276420257E-3</v>
      </c>
      <c r="FH44" s="74">
        <v>4.5491101276420257E-3</v>
      </c>
      <c r="FI44" s="74">
        <v>4.5491101276420257E-3</v>
      </c>
      <c r="FJ44" s="74">
        <v>4.5491101276420257E-3</v>
      </c>
      <c r="FK44" s="74">
        <v>4.5491101276420257E-3</v>
      </c>
      <c r="FL44" s="74">
        <v>4.5491101276420257E-3</v>
      </c>
      <c r="FM44" s="74">
        <v>4.5491101276420257E-3</v>
      </c>
      <c r="FN44" s="74">
        <v>4.5491101276420257E-3</v>
      </c>
      <c r="FO44" s="74">
        <v>4.5491101276420257E-3</v>
      </c>
      <c r="FP44" s="74">
        <v>4.5491101276420257E-3</v>
      </c>
      <c r="FQ44" s="74">
        <v>4.5491101276420257E-3</v>
      </c>
      <c r="FR44" s="74">
        <v>4.5491101276420257E-3</v>
      </c>
      <c r="FS44" s="74">
        <v>4.5491101276420257E-3</v>
      </c>
      <c r="FT44" s="74">
        <v>4.5491101276420257E-3</v>
      </c>
      <c r="FU44" s="74">
        <v>4.5491101276420257E-3</v>
      </c>
      <c r="FV44" s="74">
        <v>4.5491101276420257E-3</v>
      </c>
      <c r="FW44" s="74">
        <v>4.5491101276420257E-3</v>
      </c>
      <c r="FX44" s="74">
        <v>4.5491101276420257E-3</v>
      </c>
      <c r="FY44" s="74">
        <v>4.5491101276420257E-3</v>
      </c>
      <c r="FZ44" s="74">
        <v>4.5491101276420257E-3</v>
      </c>
      <c r="GA44" s="74">
        <v>4.5491101276420257E-3</v>
      </c>
      <c r="GB44" s="74">
        <v>4.5491101276420257E-3</v>
      </c>
      <c r="GC44" s="74">
        <v>4.5491101276420257E-3</v>
      </c>
      <c r="GD44" s="74">
        <v>4.5491101276420257E-3</v>
      </c>
      <c r="GE44" s="74">
        <v>4.5491101276420257E-3</v>
      </c>
      <c r="GF44" s="74">
        <v>4.5491101276420257E-3</v>
      </c>
      <c r="GG44" s="74">
        <v>4.5491101276420257E-3</v>
      </c>
      <c r="GH44" s="74">
        <v>4.5491101276420257E-3</v>
      </c>
      <c r="GI44" s="74">
        <v>4.5491101276420257E-3</v>
      </c>
      <c r="GJ44" s="74">
        <v>4.5491101276420257E-3</v>
      </c>
      <c r="GK44" s="74">
        <v>4.5491101276420257E-3</v>
      </c>
      <c r="GL44" s="74">
        <v>4.5491101276420257E-3</v>
      </c>
      <c r="GM44" s="74">
        <v>4.5491101276420257E-3</v>
      </c>
      <c r="GN44" s="74">
        <v>4.5491101276420257E-3</v>
      </c>
      <c r="GO44" s="74">
        <v>4.5491101276420257E-3</v>
      </c>
      <c r="GP44" s="74">
        <v>4.5491101276420257E-3</v>
      </c>
      <c r="GQ44" s="74">
        <v>4.5491101276420257E-3</v>
      </c>
      <c r="GR44" s="74">
        <v>4.5491101276420257E-3</v>
      </c>
      <c r="GS44" s="74">
        <v>4.5491101276420257E-3</v>
      </c>
      <c r="GT44" s="74">
        <v>4.5491101276420257E-3</v>
      </c>
      <c r="GU44" s="74">
        <v>4.5491101276420257E-3</v>
      </c>
      <c r="GV44" s="74">
        <v>4.5491101276420257E-3</v>
      </c>
      <c r="GW44" s="74">
        <v>4.5491101276420257E-3</v>
      </c>
      <c r="GX44" s="74">
        <v>4.5491101276420257E-3</v>
      </c>
      <c r="GY44" s="74">
        <v>4.5491101276420257E-3</v>
      </c>
      <c r="GZ44" s="74">
        <v>4.5491101276420257E-3</v>
      </c>
      <c r="HA44" s="74">
        <v>4.5491101276420257E-3</v>
      </c>
      <c r="HB44" s="74">
        <v>4.5491101276420257E-3</v>
      </c>
      <c r="HC44" s="74">
        <v>4.5491101276420257E-3</v>
      </c>
      <c r="HD44" s="74">
        <v>4.5491101276420257E-3</v>
      </c>
      <c r="HE44" s="74">
        <v>4.5491101276420257E-3</v>
      </c>
      <c r="HF44" s="74">
        <v>0</v>
      </c>
      <c r="HG44" s="74">
        <v>0</v>
      </c>
      <c r="HH44" s="74">
        <v>0</v>
      </c>
      <c r="HI44" s="74">
        <v>0</v>
      </c>
    </row>
    <row r="45" spans="1:217" x14ac:dyDescent="0.35">
      <c r="A45" s="170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74"/>
      <c r="FF45" s="74"/>
      <c r="FG45" s="74"/>
      <c r="FH45" s="74"/>
      <c r="FI45" s="74"/>
      <c r="FJ45" s="74"/>
      <c r="FK45" s="74"/>
      <c r="FL45" s="74"/>
      <c r="FM45" s="74"/>
      <c r="FN45" s="74"/>
      <c r="FO45" s="74"/>
      <c r="FP45" s="74"/>
      <c r="FQ45" s="74"/>
      <c r="FR45" s="74"/>
      <c r="FS45" s="74"/>
      <c r="FT45" s="74"/>
      <c r="FU45" s="74"/>
      <c r="FV45" s="74"/>
      <c r="FW45" s="74"/>
      <c r="FX45" s="74"/>
      <c r="FY45" s="74"/>
      <c r="FZ45" s="74"/>
      <c r="GA45" s="74"/>
      <c r="GB45" s="74"/>
      <c r="GC45" s="74"/>
      <c r="GD45" s="74"/>
      <c r="GE45" s="74"/>
      <c r="GF45" s="74"/>
      <c r="GG45" s="74"/>
      <c r="GH45" s="74"/>
      <c r="GI45" s="74"/>
      <c r="GJ45" s="74"/>
      <c r="GK45" s="74"/>
      <c r="GL45" s="74"/>
      <c r="GM45" s="74"/>
      <c r="GN45" s="74"/>
      <c r="GO45" s="74"/>
      <c r="GP45" s="74"/>
      <c r="GQ45" s="74"/>
      <c r="GR45" s="74"/>
      <c r="GS45" s="74"/>
      <c r="GT45" s="74"/>
      <c r="GU45" s="74"/>
      <c r="GV45" s="74"/>
      <c r="GW45" s="74"/>
      <c r="GX45" s="74"/>
      <c r="GY45" s="74"/>
      <c r="GZ45" s="74"/>
      <c r="HA45" s="74"/>
      <c r="HB45" s="74"/>
      <c r="HC45" s="74"/>
      <c r="HD45" s="74"/>
      <c r="HE45" s="74"/>
      <c r="HF45" s="74"/>
      <c r="HG45" s="74"/>
      <c r="HH45" s="74"/>
      <c r="HI45" s="74"/>
    </row>
    <row r="46" spans="1:217" x14ac:dyDescent="0.35">
      <c r="A46" s="75" t="s">
        <v>605</v>
      </c>
      <c r="B46" s="74">
        <v>96.723205749673468</v>
      </c>
      <c r="C46" s="74">
        <v>-128.94203457022337</v>
      </c>
      <c r="D46" s="74">
        <v>66.17259761059438</v>
      </c>
      <c r="E46" s="74">
        <v>13.760194583016585</v>
      </c>
      <c r="F46" s="74">
        <v>10.314581540745166</v>
      </c>
      <c r="G46" s="74">
        <v>96.760254130745182</v>
      </c>
      <c r="H46" s="74">
        <v>85.012935275710845</v>
      </c>
      <c r="I46" s="74">
        <v>-142.84572133726209</v>
      </c>
      <c r="J46" s="74">
        <v>136.28400271571081</v>
      </c>
      <c r="K46" s="74">
        <v>97.092564813688966</v>
      </c>
      <c r="L46" s="74">
        <v>64.041268789386834</v>
      </c>
      <c r="M46" s="74">
        <v>-157.23115183298341</v>
      </c>
      <c r="N46" s="74">
        <v>26.629328393851267</v>
      </c>
      <c r="O46" s="74">
        <v>-33.732788638634133</v>
      </c>
      <c r="P46" s="74">
        <v>17.709326902364239</v>
      </c>
      <c r="Q46" s="74">
        <v>210.25116263966197</v>
      </c>
      <c r="R46" s="74">
        <v>-122.69390231808916</v>
      </c>
      <c r="S46" s="74">
        <v>16.79040148833343</v>
      </c>
      <c r="T46" s="74">
        <v>88.243810566133448</v>
      </c>
      <c r="U46" s="74">
        <v>24.239462782999908</v>
      </c>
      <c r="V46" s="74">
        <v>63.289803429333347</v>
      </c>
      <c r="W46" s="74">
        <v>25.702617832333374</v>
      </c>
      <c r="X46" s="74">
        <v>-55.159528081896383</v>
      </c>
      <c r="Y46" s="74">
        <v>-253.70479793406656</v>
      </c>
      <c r="Z46" s="74">
        <v>111.57989802167299</v>
      </c>
      <c r="AA46" s="74">
        <v>27.516037238568799</v>
      </c>
      <c r="AB46" s="74">
        <v>31.646519727287</v>
      </c>
      <c r="AC46" s="74">
        <v>123.48080418837208</v>
      </c>
      <c r="AD46" s="74">
        <v>-45.813760074167249</v>
      </c>
      <c r="AE46" s="74">
        <v>77.676924142508881</v>
      </c>
      <c r="AF46" s="74">
        <v>87.848171798459703</v>
      </c>
      <c r="AG46" s="74">
        <v>-66.681848132016285</v>
      </c>
      <c r="AH46" s="74">
        <v>140.9976043992001</v>
      </c>
      <c r="AI46" s="74">
        <v>101.54729431942383</v>
      </c>
      <c r="AJ46" s="74">
        <v>-154.88061815420082</v>
      </c>
      <c r="AK46" s="74">
        <v>-235.22936712308172</v>
      </c>
      <c r="AL46" s="74">
        <v>174.16518064436491</v>
      </c>
      <c r="AM46" s="74">
        <v>-41.282717147658218</v>
      </c>
      <c r="AN46" s="74">
        <v>101.16707915680752</v>
      </c>
      <c r="AO46" s="74">
        <v>163.73320705168635</v>
      </c>
      <c r="AP46" s="74">
        <v>-51.628661677923901</v>
      </c>
      <c r="AQ46" s="74">
        <v>73.99625130991592</v>
      </c>
      <c r="AR46" s="74">
        <v>104.47102980648378</v>
      </c>
      <c r="AS46" s="74">
        <v>-50.604050078455543</v>
      </c>
      <c r="AT46" s="74">
        <v>-1.9621312706689196</v>
      </c>
      <c r="AU46" s="74">
        <v>78.808290671531608</v>
      </c>
      <c r="AV46" s="74">
        <v>-153.14869750543926</v>
      </c>
      <c r="AW46" s="74">
        <v>-74.032166107866146</v>
      </c>
      <c r="AX46" s="74">
        <v>205.06446848916011</v>
      </c>
      <c r="AY46" s="74">
        <v>-104.44193998424521</v>
      </c>
      <c r="AZ46" s="74">
        <v>108.96905299685955</v>
      </c>
      <c r="BA46" s="74">
        <v>107.73470887455812</v>
      </c>
      <c r="BB46" s="74">
        <v>24.506034477642515</v>
      </c>
      <c r="BC46" s="74">
        <v>52.874488047470095</v>
      </c>
      <c r="BD46" s="74">
        <v>114.4924567419506</v>
      </c>
      <c r="BE46" s="74">
        <v>44.171425444899228</v>
      </c>
      <c r="BF46" s="74">
        <v>173.7269437689838</v>
      </c>
      <c r="BG46" s="74">
        <v>165.79119217698133</v>
      </c>
      <c r="BH46" s="74">
        <v>80.430916179350788</v>
      </c>
      <c r="BI46" s="74">
        <v>-289.98295740179208</v>
      </c>
      <c r="BJ46" s="74">
        <v>128.84600848139746</v>
      </c>
      <c r="BK46" s="74">
        <v>-85.277982996905052</v>
      </c>
      <c r="BL46" s="74">
        <v>9.7429208546890322</v>
      </c>
      <c r="BM46" s="74">
        <v>374.30796140925906</v>
      </c>
      <c r="BN46" s="74">
        <v>4.7179760379598292</v>
      </c>
      <c r="BO46" s="74">
        <v>122.85297741216732</v>
      </c>
      <c r="BP46" s="74">
        <v>199.66329847992051</v>
      </c>
      <c r="BQ46" s="74">
        <v>-14.832872240217057</v>
      </c>
      <c r="BR46" s="74">
        <v>-214.40777862450909</v>
      </c>
      <c r="BS46" s="74">
        <v>42.023256424219085</v>
      </c>
      <c r="BT46" s="74">
        <v>7.6707445593823422</v>
      </c>
      <c r="BU46" s="74">
        <v>-309.1088386423362</v>
      </c>
      <c r="BV46" s="74">
        <v>373.7714839092929</v>
      </c>
      <c r="BW46" s="74">
        <v>-119.60888846967009</v>
      </c>
      <c r="BX46" s="74">
        <v>71.891190437696423</v>
      </c>
      <c r="BY46" s="74">
        <v>403.77131942440144</v>
      </c>
      <c r="BZ46" s="74">
        <v>306.55474557724483</v>
      </c>
      <c r="CA46" s="74">
        <v>44.829939251616906</v>
      </c>
      <c r="CB46" s="74">
        <v>178.67023352623096</v>
      </c>
      <c r="CC46" s="74">
        <v>-114.89511837103544</v>
      </c>
      <c r="CD46" s="74">
        <v>-1.8056795070150429</v>
      </c>
      <c r="CE46" s="74">
        <v>507.05945660736882</v>
      </c>
      <c r="CF46" s="74">
        <v>95.223419509547853</v>
      </c>
      <c r="CG46" s="74">
        <v>-410.71122586549836</v>
      </c>
      <c r="CH46" s="74">
        <v>408.19781224528367</v>
      </c>
      <c r="CI46" s="74">
        <v>17.762634480526231</v>
      </c>
      <c r="CJ46" s="74">
        <v>30.416230757139374</v>
      </c>
      <c r="CK46" s="74">
        <v>519.5044525728897</v>
      </c>
      <c r="CL46" s="74">
        <v>117.33818949556644</v>
      </c>
      <c r="CM46" s="74">
        <v>48.607828868150023</v>
      </c>
      <c r="CN46" s="74">
        <v>283.21981786596177</v>
      </c>
      <c r="CO46" s="74">
        <v>-37.290623020135854</v>
      </c>
      <c r="CP46" s="74">
        <v>207.93750051402048</v>
      </c>
      <c r="CQ46" s="74">
        <v>23.211985793824851</v>
      </c>
      <c r="CR46" s="74">
        <v>96.398774543138643</v>
      </c>
      <c r="CS46" s="74">
        <v>-390.16328625807682</v>
      </c>
      <c r="CT46" s="74">
        <v>415.80759666236838</v>
      </c>
      <c r="CU46" s="74">
        <v>566.55039103116223</v>
      </c>
      <c r="CV46" s="74">
        <v>275.15750465169617</v>
      </c>
      <c r="CW46" s="74">
        <v>368.85415156142312</v>
      </c>
      <c r="CX46" s="74">
        <v>402.28404216486388</v>
      </c>
      <c r="CY46" s="74">
        <v>132.77558598500423</v>
      </c>
      <c r="CZ46" s="74">
        <v>71.947497683303936</v>
      </c>
      <c r="DA46" s="74">
        <v>193.54817486067941</v>
      </c>
      <c r="DB46" s="74">
        <v>-6.1404887014900851</v>
      </c>
      <c r="DC46" s="74">
        <v>-77.957052011923224</v>
      </c>
      <c r="DD46" s="74">
        <v>-383.6243684909075</v>
      </c>
      <c r="DE46" s="74">
        <v>-1611.8940497206468</v>
      </c>
      <c r="DF46" s="74">
        <v>76.421737713612174</v>
      </c>
      <c r="DG46" s="74">
        <v>-370.79288786821644</v>
      </c>
      <c r="DH46" s="74">
        <v>-518.97194157957779</v>
      </c>
      <c r="DI46" s="74">
        <v>136.01587386544179</v>
      </c>
      <c r="DJ46" s="74">
        <v>45.237414294301061</v>
      </c>
      <c r="DK46" s="74">
        <v>-82.255628693970493</v>
      </c>
      <c r="DL46" s="74">
        <v>-17.241126867471166</v>
      </c>
      <c r="DM46" s="74">
        <v>-258.17665377537833</v>
      </c>
      <c r="DN46" s="74">
        <v>351.75016288417328</v>
      </c>
      <c r="DO46" s="74">
        <v>-372.56157229866426</v>
      </c>
      <c r="DP46" s="74">
        <v>183.59256459484504</v>
      </c>
      <c r="DQ46" s="74">
        <v>-1404.9675653661359</v>
      </c>
      <c r="DR46" s="74">
        <v>582.41616792318996</v>
      </c>
      <c r="DS46" s="74">
        <v>-18.148656749552629</v>
      </c>
      <c r="DT46" s="74">
        <v>346.88856950706736</v>
      </c>
      <c r="DU46" s="74">
        <v>87.523169438380137</v>
      </c>
      <c r="DV46" s="74">
        <v>91.015649360756015</v>
      </c>
      <c r="DW46" s="74">
        <v>-201.06600733526579</v>
      </c>
      <c r="DX46" s="74">
        <v>8.7017307818000518</v>
      </c>
      <c r="DY46" s="74">
        <v>-219.86824698191776</v>
      </c>
      <c r="DZ46" s="74">
        <v>-142.94105451132168</v>
      </c>
      <c r="EA46" s="74">
        <v>-99.372714678678221</v>
      </c>
      <c r="EB46" s="74">
        <v>-250.0618310601526</v>
      </c>
      <c r="EC46" s="74">
        <v>-1129.2368541313785</v>
      </c>
      <c r="ED46" s="74">
        <v>491.07134742941867</v>
      </c>
      <c r="EE46" s="74">
        <v>127.66031181112885</v>
      </c>
      <c r="EF46" s="74">
        <v>-167.2655070057549</v>
      </c>
      <c r="EG46" s="74">
        <v>493.48089533818847</v>
      </c>
      <c r="EH46" s="74">
        <v>-200.22268665394677</v>
      </c>
      <c r="EI46" s="74">
        <v>484.8307381852278</v>
      </c>
      <c r="EJ46" s="74">
        <v>71.717997888451919</v>
      </c>
      <c r="EK46" s="74">
        <v>-22.419351408822877</v>
      </c>
      <c r="EL46" s="74">
        <v>244.94564283305999</v>
      </c>
      <c r="EM46" s="74">
        <v>-266.45306974160803</v>
      </c>
      <c r="EN46" s="74">
        <v>-571.20954467570482</v>
      </c>
      <c r="EO46" s="74">
        <v>-786.60278752440945</v>
      </c>
      <c r="EP46" s="74">
        <v>337.69444142255816</v>
      </c>
      <c r="EQ46" s="74">
        <v>427.49402798307756</v>
      </c>
      <c r="ER46" s="74">
        <v>282.09847769416228</v>
      </c>
      <c r="ES46" s="74">
        <v>812.2232164603397</v>
      </c>
      <c r="ET46" s="74">
        <v>256.96842089227857</v>
      </c>
      <c r="EU46" s="74">
        <v>-159.0853230130715</v>
      </c>
      <c r="EV46" s="74">
        <v>284.26220794744404</v>
      </c>
      <c r="EW46" s="74">
        <v>-353.44701736413163</v>
      </c>
      <c r="EX46" s="74">
        <v>-14.642484494640485</v>
      </c>
      <c r="EY46" s="74">
        <v>-263.85323789347967</v>
      </c>
      <c r="EZ46" s="74">
        <v>-636.43326011656654</v>
      </c>
      <c r="FA46" s="74">
        <v>-1797.2866593923904</v>
      </c>
      <c r="FB46" s="74">
        <v>663.98808283622157</v>
      </c>
      <c r="FC46" s="74">
        <v>-492.53152111884674</v>
      </c>
      <c r="FD46" s="74">
        <v>-194.80392499013715</v>
      </c>
      <c r="FE46" s="74">
        <v>625.88292569933219</v>
      </c>
      <c r="FF46" s="74">
        <v>31.783478123289569</v>
      </c>
      <c r="FG46" s="74">
        <v>-675.20693733215012</v>
      </c>
      <c r="FH46" s="74">
        <v>455.48495305517463</v>
      </c>
      <c r="FI46" s="74">
        <v>-484.2506183939131</v>
      </c>
      <c r="FJ46" s="74">
        <v>-402.19991570346474</v>
      </c>
      <c r="FK46" s="74">
        <v>-494.10432847077345</v>
      </c>
      <c r="FL46" s="74">
        <v>-864.48772820715885</v>
      </c>
      <c r="FM46" s="74">
        <v>-2517.0719352648425</v>
      </c>
      <c r="FN46" s="74">
        <v>606.38791919731329</v>
      </c>
      <c r="FO46" s="74">
        <v>-629.09462577417526</v>
      </c>
      <c r="FP46" s="74">
        <v>11.089949600448563</v>
      </c>
      <c r="FQ46" s="74">
        <v>527.78012773785849</v>
      </c>
      <c r="FR46" s="74">
        <v>93.422449198334107</v>
      </c>
      <c r="FS46" s="74">
        <v>182.06326318069341</v>
      </c>
      <c r="FT46" s="74">
        <v>-218.34766519052619</v>
      </c>
      <c r="FU46" s="74">
        <v>-755.67733313840426</v>
      </c>
      <c r="FV46" s="74">
        <v>-383.04546007331828</v>
      </c>
      <c r="FW46" s="74">
        <v>-923.98743176483367</v>
      </c>
      <c r="FX46" s="74">
        <v>-608.33025369399411</v>
      </c>
      <c r="FY46" s="74">
        <v>-3216.440191724535</v>
      </c>
      <c r="FZ46" s="74">
        <v>598.78056896241151</v>
      </c>
      <c r="GA46" s="74">
        <v>-517.64746715215006</v>
      </c>
      <c r="GB46" s="74">
        <v>-615.88563714498514</v>
      </c>
      <c r="GC46" s="74">
        <v>422.02779672065935</v>
      </c>
      <c r="GD46" s="74">
        <v>-502.76497375778536</v>
      </c>
      <c r="GE46" s="74">
        <v>-340.82742068714288</v>
      </c>
      <c r="GF46" s="74">
        <v>439.53533365015028</v>
      </c>
      <c r="GG46" s="74">
        <v>-358.81384065451584</v>
      </c>
      <c r="GH46" s="74">
        <v>-643.32060233015363</v>
      </c>
      <c r="GI46" s="74">
        <v>-762.41023921353371</v>
      </c>
      <c r="GJ46" s="74">
        <v>-513.38514870885911</v>
      </c>
      <c r="GK46" s="74">
        <v>-3145.2793055839788</v>
      </c>
      <c r="GL46" s="74">
        <v>211.53289346202109</v>
      </c>
      <c r="GM46" s="74">
        <v>-424.22921814870551</v>
      </c>
      <c r="GN46" s="74">
        <v>-670.2414257619439</v>
      </c>
      <c r="GO46" s="74">
        <v>-16.273667239773658</v>
      </c>
      <c r="GP46" s="74">
        <v>-554.47308477893762</v>
      </c>
      <c r="GQ46" s="74">
        <v>-380.11418496304759</v>
      </c>
      <c r="GR46" s="74">
        <v>-260.61871265627178</v>
      </c>
      <c r="GS46" s="74">
        <v>-560.72648988252467</v>
      </c>
      <c r="GT46" s="74">
        <v>-924.6136802758183</v>
      </c>
      <c r="GU46" s="74">
        <v>-592.73579329041831</v>
      </c>
      <c r="GV46" s="74">
        <v>-1079.1479029656784</v>
      </c>
      <c r="GW46" s="74">
        <v>-2061.9126299163759</v>
      </c>
      <c r="GX46" s="74">
        <v>791.25102997916247</v>
      </c>
      <c r="GY46" s="74">
        <v>-531.56334289295592</v>
      </c>
      <c r="GZ46" s="74">
        <v>-817.6438270653839</v>
      </c>
      <c r="HA46" s="74">
        <v>-20.415706841702558</v>
      </c>
      <c r="HB46" s="74">
        <v>-15.006538001506669</v>
      </c>
      <c r="HC46" s="74">
        <v>-391.61740581964204</v>
      </c>
      <c r="HD46" s="74">
        <v>190.56778165844798</v>
      </c>
      <c r="HE46" s="74">
        <v>-440.05831947793604</v>
      </c>
      <c r="HF46" s="74">
        <v>-502.63808352902697</v>
      </c>
      <c r="HG46" s="74">
        <v>-294.54752384015364</v>
      </c>
      <c r="HH46" s="74">
        <v>-429.38721699243933</v>
      </c>
      <c r="HI46" s="74">
        <v>-2191.9183551813235</v>
      </c>
    </row>
    <row r="47" spans="1:217" s="69" customFormat="1" x14ac:dyDescent="0.35">
      <c r="A47" s="166" t="s">
        <v>606</v>
      </c>
      <c r="B47" s="76">
        <v>0.83333333333333326</v>
      </c>
      <c r="C47" s="76">
        <v>0.83333333333333326</v>
      </c>
      <c r="D47" s="76">
        <v>0.83333333333333326</v>
      </c>
      <c r="E47" s="76">
        <v>0.83333333333333326</v>
      </c>
      <c r="F47" s="76">
        <v>0.83333333333333326</v>
      </c>
      <c r="G47" s="76">
        <v>0.83333333333333326</v>
      </c>
      <c r="H47" s="76">
        <v>0.83333333333333326</v>
      </c>
      <c r="I47" s="76">
        <v>0.83333333333333326</v>
      </c>
      <c r="J47" s="76">
        <v>0.83333333333333326</v>
      </c>
      <c r="K47" s="76">
        <v>0.83333333333333326</v>
      </c>
      <c r="L47" s="76">
        <v>0.83333333333333326</v>
      </c>
      <c r="M47" s="76">
        <v>0.83333333333333326</v>
      </c>
      <c r="N47" s="76">
        <v>4.5491101276420257E-3</v>
      </c>
      <c r="O47" s="76">
        <v>4.5491101276420257E-3</v>
      </c>
      <c r="P47" s="76">
        <v>4.5491101276420257E-3</v>
      </c>
      <c r="Q47" s="76">
        <v>4.5491101276420257E-3</v>
      </c>
      <c r="R47" s="76">
        <v>4.5491101276420257E-3</v>
      </c>
      <c r="S47" s="76">
        <v>4.5491101276420257E-3</v>
      </c>
      <c r="T47" s="76">
        <v>4.5491101276420257E-3</v>
      </c>
      <c r="U47" s="76">
        <v>4.5491101276420257E-3</v>
      </c>
      <c r="V47" s="76">
        <v>4.5491101276420257E-3</v>
      </c>
      <c r="W47" s="76">
        <v>4.5491101276420257E-3</v>
      </c>
      <c r="X47" s="76">
        <v>4.5491101276420257E-3</v>
      </c>
      <c r="Y47" s="76">
        <v>4.5491101276420257E-3</v>
      </c>
      <c r="Z47" s="76">
        <v>4.5491101276420257E-3</v>
      </c>
      <c r="AA47" s="76">
        <v>4.5491101276420257E-3</v>
      </c>
      <c r="AB47" s="76">
        <v>4.5491101276420257E-3</v>
      </c>
      <c r="AC47" s="76">
        <v>4.5491101276420257E-3</v>
      </c>
      <c r="AD47" s="76">
        <v>4.5491101276420257E-3</v>
      </c>
      <c r="AE47" s="76">
        <v>4.5491101276420257E-3</v>
      </c>
      <c r="AF47" s="76">
        <v>4.5491101276420257E-3</v>
      </c>
      <c r="AG47" s="76">
        <v>4.5491101276420257E-3</v>
      </c>
      <c r="AH47" s="76">
        <v>4.5491101276420257E-3</v>
      </c>
      <c r="AI47" s="76">
        <v>4.5491101276420257E-3</v>
      </c>
      <c r="AJ47" s="76">
        <v>4.5491101276420257E-3</v>
      </c>
      <c r="AK47" s="76">
        <v>4.5491101276420257E-3</v>
      </c>
      <c r="AL47" s="76">
        <v>4.5491101276420257E-3</v>
      </c>
      <c r="AM47" s="76">
        <v>4.5491101276420257E-3</v>
      </c>
      <c r="AN47" s="76">
        <v>4.5491101276420257E-3</v>
      </c>
      <c r="AO47" s="76">
        <v>4.5491101276420257E-3</v>
      </c>
      <c r="AP47" s="76">
        <v>4.5491101276420257E-3</v>
      </c>
      <c r="AQ47" s="76">
        <v>4.5491101276420257E-3</v>
      </c>
      <c r="AR47" s="76">
        <v>4.5491101276420257E-3</v>
      </c>
      <c r="AS47" s="76">
        <v>4.5491101276420257E-3</v>
      </c>
      <c r="AT47" s="76">
        <v>4.5491101276420257E-3</v>
      </c>
      <c r="AU47" s="76">
        <v>4.5491101276420257E-3</v>
      </c>
      <c r="AV47" s="76">
        <v>4.5491101276420257E-3</v>
      </c>
      <c r="AW47" s="76">
        <v>4.5491101276420257E-3</v>
      </c>
      <c r="AX47" s="76">
        <v>0</v>
      </c>
      <c r="AY47" s="76">
        <v>0</v>
      </c>
      <c r="AZ47" s="76">
        <v>0</v>
      </c>
      <c r="BA47" s="76">
        <v>0</v>
      </c>
      <c r="BB47" s="76">
        <v>0</v>
      </c>
      <c r="BC47" s="76">
        <v>0</v>
      </c>
      <c r="BD47" s="76">
        <v>0</v>
      </c>
      <c r="BE47" s="76">
        <v>0</v>
      </c>
      <c r="BF47" s="76">
        <v>0</v>
      </c>
      <c r="BG47" s="76">
        <v>0</v>
      </c>
      <c r="BH47" s="76">
        <v>0</v>
      </c>
      <c r="BI47" s="76">
        <v>0</v>
      </c>
      <c r="BJ47" s="76">
        <v>0</v>
      </c>
      <c r="BK47" s="76">
        <v>0</v>
      </c>
      <c r="BL47" s="76">
        <v>0</v>
      </c>
      <c r="BM47" s="76">
        <v>0</v>
      </c>
      <c r="BN47" s="76">
        <v>0</v>
      </c>
      <c r="BO47" s="76">
        <v>0</v>
      </c>
      <c r="BP47" s="76">
        <v>0</v>
      </c>
      <c r="BQ47" s="76">
        <v>0</v>
      </c>
      <c r="BR47" s="76">
        <v>0</v>
      </c>
      <c r="BS47" s="76">
        <v>0</v>
      </c>
      <c r="BT47" s="76">
        <v>0</v>
      </c>
      <c r="BU47" s="76">
        <v>0</v>
      </c>
      <c r="BV47" s="76">
        <v>4.5491101276420257E-3</v>
      </c>
      <c r="BW47" s="76">
        <v>4.5491101276420257E-3</v>
      </c>
      <c r="BX47" s="76">
        <v>4.5491101276420257E-3</v>
      </c>
      <c r="BY47" s="76">
        <v>4.5491101276420257E-3</v>
      </c>
      <c r="BZ47" s="76">
        <v>4.5491101276420257E-3</v>
      </c>
      <c r="CA47" s="76">
        <v>4.5491101276420257E-3</v>
      </c>
      <c r="CB47" s="76">
        <v>4.5491101276420257E-3</v>
      </c>
      <c r="CC47" s="76">
        <v>4.5491101276420257E-3</v>
      </c>
      <c r="CD47" s="76">
        <v>4.5491101276420257E-3</v>
      </c>
      <c r="CE47" s="76">
        <v>4.5491101276420257E-3</v>
      </c>
      <c r="CF47" s="76">
        <v>4.5491101276420257E-3</v>
      </c>
      <c r="CG47" s="76">
        <v>4.5491101276420257E-3</v>
      </c>
      <c r="CH47" s="76">
        <v>4.5491101276420257E-3</v>
      </c>
      <c r="CI47" s="76">
        <v>4.5491101276420257E-3</v>
      </c>
      <c r="CJ47" s="76">
        <v>4.5491101276420257E-3</v>
      </c>
      <c r="CK47" s="76">
        <v>4.5491101276420257E-3</v>
      </c>
      <c r="CL47" s="76">
        <v>4.5491101276420257E-3</v>
      </c>
      <c r="CM47" s="76">
        <v>4.5491101276420257E-3</v>
      </c>
      <c r="CN47" s="76">
        <v>4.5491101276420257E-3</v>
      </c>
      <c r="CO47" s="76">
        <v>4.5491101276420257E-3</v>
      </c>
      <c r="CP47" s="76">
        <v>4.5491101276420257E-3</v>
      </c>
      <c r="CQ47" s="76">
        <v>4.5491101276420257E-3</v>
      </c>
      <c r="CR47" s="76">
        <v>4.5491101276420257E-3</v>
      </c>
      <c r="CS47" s="76">
        <v>4.5491101276420257E-3</v>
      </c>
      <c r="CT47" s="76">
        <v>4.5491101276420257E-3</v>
      </c>
      <c r="CU47" s="76">
        <v>4.5491101276420257E-3</v>
      </c>
      <c r="CV47" s="76">
        <v>4.5491101276420257E-3</v>
      </c>
      <c r="CW47" s="76">
        <v>4.5491101276420257E-3</v>
      </c>
      <c r="CX47" s="76">
        <v>4.5491101276420257E-3</v>
      </c>
      <c r="CY47" s="76">
        <v>4.5491101276420257E-3</v>
      </c>
      <c r="CZ47" s="76">
        <v>4.5491101276420257E-3</v>
      </c>
      <c r="DA47" s="76">
        <v>4.5491101276420257E-3</v>
      </c>
      <c r="DB47" s="76">
        <v>4.5491101276420257E-3</v>
      </c>
      <c r="DC47" s="76">
        <v>4.5491101276420257E-3</v>
      </c>
      <c r="DD47" s="76">
        <v>4.5491101276420257E-3</v>
      </c>
      <c r="DE47" s="76">
        <v>4.5491101276420257E-3</v>
      </c>
      <c r="DF47" s="76">
        <v>4.5491101276420257E-3</v>
      </c>
      <c r="DG47" s="76">
        <v>4.5491101276420257E-3</v>
      </c>
      <c r="DH47" s="76">
        <v>4.5491101276420257E-3</v>
      </c>
      <c r="DI47" s="76">
        <v>4.5491101276420257E-3</v>
      </c>
      <c r="DJ47" s="76">
        <v>4.5491101276420257E-3</v>
      </c>
      <c r="DK47" s="76">
        <v>4.5491101276420257E-3</v>
      </c>
      <c r="DL47" s="76">
        <v>4.5491101276420257E-3</v>
      </c>
      <c r="DM47" s="76">
        <v>4.5491101276420257E-3</v>
      </c>
      <c r="DN47" s="76">
        <v>4.5491101276420257E-3</v>
      </c>
      <c r="DO47" s="76">
        <v>4.5491101276420257E-3</v>
      </c>
      <c r="DP47" s="76">
        <v>4.5491101276420257E-3</v>
      </c>
      <c r="DQ47" s="76">
        <v>4.5491101276420257E-3</v>
      </c>
      <c r="DR47" s="76">
        <v>4.5491101276420257E-3</v>
      </c>
      <c r="DS47" s="76">
        <v>4.5491101276420257E-3</v>
      </c>
      <c r="DT47" s="76">
        <v>4.5491101276420257E-3</v>
      </c>
      <c r="DU47" s="76">
        <v>4.5491101276420257E-3</v>
      </c>
      <c r="DV47" s="76">
        <v>4.5491101276420257E-3</v>
      </c>
      <c r="DW47" s="76">
        <v>4.5491101276420257E-3</v>
      </c>
      <c r="DX47" s="76">
        <v>4.5491101276420257E-3</v>
      </c>
      <c r="DY47" s="76">
        <v>4.5491101276420257E-3</v>
      </c>
      <c r="DZ47" s="76">
        <v>4.5491101276420257E-3</v>
      </c>
      <c r="EA47" s="76">
        <v>4.5491101276420257E-3</v>
      </c>
      <c r="EB47" s="76">
        <v>4.5491101276420257E-3</v>
      </c>
      <c r="EC47" s="76">
        <v>4.5491101276420257E-3</v>
      </c>
      <c r="ED47" s="76">
        <v>4.5491101276420257E-3</v>
      </c>
      <c r="EE47" s="76">
        <v>4.5491101276420257E-3</v>
      </c>
      <c r="EF47" s="76">
        <v>4.5491101276420257E-3</v>
      </c>
      <c r="EG47" s="76">
        <v>4.5491101276420257E-3</v>
      </c>
      <c r="EH47" s="76">
        <v>4.5491101276420257E-3</v>
      </c>
      <c r="EI47" s="76">
        <v>4.5491101276420257E-3</v>
      </c>
      <c r="EJ47" s="76">
        <v>4.5491101276420257E-3</v>
      </c>
      <c r="EK47" s="76">
        <v>4.5491101276420257E-3</v>
      </c>
      <c r="EL47" s="76">
        <v>4.5491101276420257E-3</v>
      </c>
      <c r="EM47" s="76">
        <v>4.5491101276420257E-3</v>
      </c>
      <c r="EN47" s="76">
        <v>4.5491101276420257E-3</v>
      </c>
      <c r="EO47" s="76">
        <v>4.5491101276420257E-3</v>
      </c>
      <c r="EP47" s="76">
        <v>4.5491101276420257E-3</v>
      </c>
      <c r="EQ47" s="76">
        <v>4.5491101276420257E-3</v>
      </c>
      <c r="ER47" s="76">
        <v>4.5491101276420257E-3</v>
      </c>
      <c r="ES47" s="76">
        <v>4.5491101276420257E-3</v>
      </c>
      <c r="ET47" s="76">
        <v>4.5491101276420257E-3</v>
      </c>
      <c r="EU47" s="76">
        <v>4.5491101276420257E-3</v>
      </c>
      <c r="EV47" s="76">
        <v>4.5491101276420257E-3</v>
      </c>
      <c r="EW47" s="76">
        <v>4.5491101276420257E-3</v>
      </c>
      <c r="EX47" s="76">
        <v>4.5491101276420257E-3</v>
      </c>
      <c r="EY47" s="76">
        <v>4.5491101276420257E-3</v>
      </c>
      <c r="EZ47" s="76">
        <v>4.5491101276420257E-3</v>
      </c>
      <c r="FA47" s="76">
        <v>4.5491101276420257E-3</v>
      </c>
      <c r="FB47" s="76">
        <v>4.5491101276420257E-3</v>
      </c>
      <c r="FC47" s="76">
        <v>4.5491101276420257E-3</v>
      </c>
      <c r="FD47" s="76">
        <v>4.5491101276420257E-3</v>
      </c>
      <c r="FE47" s="76">
        <v>4.5491101276420257E-3</v>
      </c>
      <c r="FF47" s="76">
        <v>4.5491101276420257E-3</v>
      </c>
      <c r="FG47" s="76">
        <v>4.5491101276420257E-3</v>
      </c>
      <c r="FH47" s="76">
        <v>4.5491101276420257E-3</v>
      </c>
      <c r="FI47" s="76">
        <v>4.5491101276420257E-3</v>
      </c>
      <c r="FJ47" s="76">
        <v>4.5491101276420257E-3</v>
      </c>
      <c r="FK47" s="76">
        <v>4.5491101276420257E-3</v>
      </c>
      <c r="FL47" s="76">
        <v>4.5491101276420257E-3</v>
      </c>
      <c r="FM47" s="76">
        <v>4.5491101276420257E-3</v>
      </c>
      <c r="FN47" s="76">
        <v>4.5491101276420257E-3</v>
      </c>
      <c r="FO47" s="76">
        <v>4.5491101276420257E-3</v>
      </c>
      <c r="FP47" s="76">
        <v>4.5491101276420257E-3</v>
      </c>
      <c r="FQ47" s="76">
        <v>4.5491101276420257E-3</v>
      </c>
      <c r="FR47" s="76">
        <v>4.5491101276420257E-3</v>
      </c>
      <c r="FS47" s="76">
        <v>4.5491101276420257E-3</v>
      </c>
      <c r="FT47" s="76">
        <v>4.5491101276420257E-3</v>
      </c>
      <c r="FU47" s="76">
        <v>4.5491101276420257E-3</v>
      </c>
      <c r="FV47" s="76">
        <v>4.5491101276420257E-3</v>
      </c>
      <c r="FW47" s="76">
        <v>4.5491101276420257E-3</v>
      </c>
      <c r="FX47" s="76">
        <v>4.5491101276420257E-3</v>
      </c>
      <c r="FY47" s="76">
        <v>4.5491101276420257E-3</v>
      </c>
      <c r="FZ47" s="76">
        <v>4.5491101276420257E-3</v>
      </c>
      <c r="GA47" s="76">
        <v>4.5491101276420257E-3</v>
      </c>
      <c r="GB47" s="76">
        <v>4.5491101276420257E-3</v>
      </c>
      <c r="GC47" s="76">
        <v>4.5491101276420257E-3</v>
      </c>
      <c r="GD47" s="76">
        <v>4.5491101276420257E-3</v>
      </c>
      <c r="GE47" s="76">
        <v>4.5491101276420257E-3</v>
      </c>
      <c r="GF47" s="76">
        <v>4.5491101276420257E-3</v>
      </c>
      <c r="GG47" s="76">
        <v>4.5491101276420257E-3</v>
      </c>
      <c r="GH47" s="76">
        <v>4.5491101276420257E-3</v>
      </c>
      <c r="GI47" s="76">
        <v>4.5491101276420257E-3</v>
      </c>
      <c r="GJ47" s="76">
        <v>4.5491101276420257E-3</v>
      </c>
      <c r="GK47" s="76">
        <v>4.5491101276420257E-3</v>
      </c>
      <c r="GL47" s="76">
        <v>4.5491101276420257E-3</v>
      </c>
      <c r="GM47" s="76">
        <v>4.5491101276420257E-3</v>
      </c>
      <c r="GN47" s="76">
        <v>4.5491101276420257E-3</v>
      </c>
      <c r="GO47" s="76">
        <v>4.5491101276420257E-3</v>
      </c>
      <c r="GP47" s="76">
        <v>4.5491101276420257E-3</v>
      </c>
      <c r="GQ47" s="76">
        <v>4.5491101276420257E-3</v>
      </c>
      <c r="GR47" s="76">
        <v>4.5491101276420257E-3</v>
      </c>
      <c r="GS47" s="76">
        <v>4.5491101276420257E-3</v>
      </c>
      <c r="GT47" s="76">
        <v>4.5491101276420257E-3</v>
      </c>
      <c r="GU47" s="76">
        <v>4.5491101276420257E-3</v>
      </c>
      <c r="GV47" s="76">
        <v>4.5491101276420257E-3</v>
      </c>
      <c r="GW47" s="76">
        <v>4.5491101276420257E-3</v>
      </c>
      <c r="GX47" s="76">
        <v>0</v>
      </c>
      <c r="GY47" s="76">
        <v>0</v>
      </c>
      <c r="GZ47" s="76">
        <v>0</v>
      </c>
      <c r="HA47" s="76">
        <v>0</v>
      </c>
      <c r="HB47" s="76">
        <v>0</v>
      </c>
      <c r="HC47" s="76">
        <v>0</v>
      </c>
      <c r="HD47" s="76">
        <v>0</v>
      </c>
      <c r="HE47" s="76">
        <v>0</v>
      </c>
      <c r="HF47" s="76">
        <v>0</v>
      </c>
      <c r="HG47" s="76">
        <v>0</v>
      </c>
      <c r="HH47" s="76">
        <v>0</v>
      </c>
      <c r="HI47" s="76">
        <v>0</v>
      </c>
    </row>
    <row r="48" spans="1:217" s="69" customFormat="1" x14ac:dyDescent="0.35">
      <c r="A48" s="16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6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 s="74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4"/>
      <c r="GY48" s="74"/>
      <c r="GZ48" s="74"/>
      <c r="HA48" s="74"/>
      <c r="HB48" s="74"/>
      <c r="HC48" s="74"/>
      <c r="HD48" s="74"/>
      <c r="HE48" s="74"/>
      <c r="HF48" s="74"/>
      <c r="HG48" s="74"/>
      <c r="HH48" s="74"/>
      <c r="HI48" s="74"/>
    </row>
    <row r="49" spans="1:217" s="69" customFormat="1" x14ac:dyDescent="0.35">
      <c r="A49" s="75" t="s">
        <v>607</v>
      </c>
      <c r="B49" s="74">
        <v>95.88987241634014</v>
      </c>
      <c r="C49" s="74">
        <v>-129.77536790355671</v>
      </c>
      <c r="D49" s="74">
        <v>65.339264277261051</v>
      </c>
      <c r="E49" s="74">
        <v>12.926861249683251</v>
      </c>
      <c r="F49" s="74">
        <v>9.4812482074118325</v>
      </c>
      <c r="G49" s="74">
        <v>95.926920797411853</v>
      </c>
      <c r="H49" s="74">
        <v>84.179601942377516</v>
      </c>
      <c r="I49" s="74">
        <v>-143.67905467059543</v>
      </c>
      <c r="J49" s="74">
        <v>135.45066938237747</v>
      </c>
      <c r="K49" s="74">
        <v>96.259231480355638</v>
      </c>
      <c r="L49" s="74">
        <v>63.207935456053498</v>
      </c>
      <c r="M49" s="74">
        <v>-158.06448516631676</v>
      </c>
      <c r="N49" s="74">
        <v>26.624779283723626</v>
      </c>
      <c r="O49" s="74">
        <v>-33.737337748761774</v>
      </c>
      <c r="P49" s="74">
        <v>17.704777792236598</v>
      </c>
      <c r="Q49" s="74">
        <v>210.24661352953433</v>
      </c>
      <c r="R49" s="74">
        <v>-122.6984514282168</v>
      </c>
      <c r="S49" s="74">
        <v>16.785852378205789</v>
      </c>
      <c r="T49" s="74">
        <v>88.239261456005806</v>
      </c>
      <c r="U49" s="74">
        <v>24.234913672872267</v>
      </c>
      <c r="V49" s="74">
        <v>63.285254319205706</v>
      </c>
      <c r="W49" s="74">
        <v>25.698068722205733</v>
      </c>
      <c r="X49" s="74">
        <v>-55.164077192024024</v>
      </c>
      <c r="Y49" s="74">
        <v>-253.7093470441942</v>
      </c>
      <c r="Z49" s="74">
        <v>111.57534891154529</v>
      </c>
      <c r="AA49" s="74">
        <v>27.511488128441101</v>
      </c>
      <c r="AB49" s="74">
        <v>31.641970617159359</v>
      </c>
      <c r="AC49" s="74">
        <v>123.47625507824432</v>
      </c>
      <c r="AD49" s="74">
        <v>-45.81830918429489</v>
      </c>
      <c r="AE49" s="74">
        <v>77.67237503238124</v>
      </c>
      <c r="AF49" s="74">
        <v>87.843622688332061</v>
      </c>
      <c r="AG49" s="74">
        <v>-66.686397242143926</v>
      </c>
      <c r="AH49" s="74">
        <v>140.99305528907234</v>
      </c>
      <c r="AI49" s="74">
        <v>101.54274520929619</v>
      </c>
      <c r="AJ49" s="74">
        <v>-154.88516726432846</v>
      </c>
      <c r="AK49" s="74">
        <v>-235.23391623320936</v>
      </c>
      <c r="AL49" s="74">
        <v>174.16063153423727</v>
      </c>
      <c r="AM49" s="74">
        <v>-41.287266257785859</v>
      </c>
      <c r="AN49" s="74">
        <v>101.16253004667988</v>
      </c>
      <c r="AO49" s="74">
        <v>163.72865794155871</v>
      </c>
      <c r="AP49" s="74">
        <v>-51.633210788051542</v>
      </c>
      <c r="AQ49" s="74">
        <v>73.991702199788278</v>
      </c>
      <c r="AR49" s="74">
        <v>104.46648069635614</v>
      </c>
      <c r="AS49" s="74">
        <v>-50.608599188583185</v>
      </c>
      <c r="AT49" s="74">
        <v>-1.9666803807965616</v>
      </c>
      <c r="AU49" s="74">
        <v>78.803741561403967</v>
      </c>
      <c r="AV49" s="74">
        <v>-153.1532466155669</v>
      </c>
      <c r="AW49" s="74">
        <v>-74.036715217993788</v>
      </c>
      <c r="AX49" s="74">
        <v>205.06446848916011</v>
      </c>
      <c r="AY49" s="74">
        <v>-104.44193998424521</v>
      </c>
      <c r="AZ49" s="74">
        <v>108.96905299685955</v>
      </c>
      <c r="BA49" s="74">
        <v>107.73470887455812</v>
      </c>
      <c r="BB49" s="74">
        <v>24.506034477642515</v>
      </c>
      <c r="BC49" s="74">
        <v>52.874488047470095</v>
      </c>
      <c r="BD49" s="74">
        <v>114.4924567419506</v>
      </c>
      <c r="BE49" s="74">
        <v>44.171425444899228</v>
      </c>
      <c r="BF49" s="74">
        <v>173.7269437689838</v>
      </c>
      <c r="BG49" s="74">
        <v>165.79119217698133</v>
      </c>
      <c r="BH49" s="74">
        <v>80.430916179350788</v>
      </c>
      <c r="BI49" s="74">
        <v>-289.98295740179208</v>
      </c>
      <c r="BJ49" s="74">
        <v>128.84600848139746</v>
      </c>
      <c r="BK49" s="74">
        <v>-85.277982996905052</v>
      </c>
      <c r="BL49" s="74">
        <v>9.7429208546890322</v>
      </c>
      <c r="BM49" s="74">
        <v>374.30796140925906</v>
      </c>
      <c r="BN49" s="74">
        <v>4.7179760379598292</v>
      </c>
      <c r="BO49" s="74">
        <v>122.85297741216732</v>
      </c>
      <c r="BP49" s="74">
        <v>199.66329847992051</v>
      </c>
      <c r="BQ49" s="74">
        <v>-14.832872240217057</v>
      </c>
      <c r="BR49" s="74">
        <v>-214.40777862450909</v>
      </c>
      <c r="BS49" s="74">
        <v>42.023256424219085</v>
      </c>
      <c r="BT49" s="74">
        <v>7.6707445593823422</v>
      </c>
      <c r="BU49" s="74">
        <v>-309.1088386423362</v>
      </c>
      <c r="BV49" s="74">
        <v>373.76693479916526</v>
      </c>
      <c r="BW49" s="74">
        <v>-119.61343757979773</v>
      </c>
      <c r="BX49" s="74">
        <v>71.886641327568782</v>
      </c>
      <c r="BY49" s="74">
        <v>403.7667703142738</v>
      </c>
      <c r="BZ49" s="74">
        <v>306.55019646711719</v>
      </c>
      <c r="CA49" s="74">
        <v>44.825390141489265</v>
      </c>
      <c r="CB49" s="74">
        <v>178.66568441610332</v>
      </c>
      <c r="CC49" s="74">
        <v>-114.89966748116308</v>
      </c>
      <c r="CD49" s="74">
        <v>-1.8102286171426849</v>
      </c>
      <c r="CE49" s="74">
        <v>507.05490749724117</v>
      </c>
      <c r="CF49" s="74">
        <v>95.218870399420211</v>
      </c>
      <c r="CG49" s="74">
        <v>-410.715774975626</v>
      </c>
      <c r="CH49" s="74">
        <v>408.19326313515603</v>
      </c>
      <c r="CI49" s="74">
        <v>17.758085370398589</v>
      </c>
      <c r="CJ49" s="74">
        <v>30.411681647011733</v>
      </c>
      <c r="CK49" s="74">
        <v>519.49990346276206</v>
      </c>
      <c r="CL49" s="74">
        <v>117.3336403854388</v>
      </c>
      <c r="CM49" s="74">
        <v>48.603279758022381</v>
      </c>
      <c r="CN49" s="74">
        <v>283.21526875583413</v>
      </c>
      <c r="CO49" s="74">
        <v>-37.295172130263495</v>
      </c>
      <c r="CP49" s="74">
        <v>207.93295140389284</v>
      </c>
      <c r="CQ49" s="74">
        <v>23.20743668369721</v>
      </c>
      <c r="CR49" s="74">
        <v>96.394225433011002</v>
      </c>
      <c r="CS49" s="74">
        <v>-390.16783536820446</v>
      </c>
      <c r="CT49" s="74">
        <v>415.80304755224063</v>
      </c>
      <c r="CU49" s="74">
        <v>566.54584192103459</v>
      </c>
      <c r="CV49" s="74">
        <v>275.15295554156853</v>
      </c>
      <c r="CW49" s="74">
        <v>368.84960245129548</v>
      </c>
      <c r="CX49" s="74">
        <v>402.27949305473624</v>
      </c>
      <c r="CY49" s="74">
        <v>132.77103687487659</v>
      </c>
      <c r="CZ49" s="74">
        <v>71.94294857317584</v>
      </c>
      <c r="DA49" s="74">
        <v>193.54362575055177</v>
      </c>
      <c r="DB49" s="74">
        <v>-6.1450378116177271</v>
      </c>
      <c r="DC49" s="74">
        <v>-77.961601122050865</v>
      </c>
      <c r="DD49" s="74">
        <v>-383.62891760103514</v>
      </c>
      <c r="DE49" s="74">
        <v>-1611.8985988307745</v>
      </c>
      <c r="DF49" s="74">
        <v>76.417188603484533</v>
      </c>
      <c r="DG49" s="74">
        <v>-370.79743697834408</v>
      </c>
      <c r="DH49" s="74">
        <v>-518.97649068970543</v>
      </c>
      <c r="DI49" s="74">
        <v>136.01132475531415</v>
      </c>
      <c r="DJ49" s="74">
        <v>45.23286518417342</v>
      </c>
      <c r="DK49" s="74">
        <v>-82.260177804098134</v>
      </c>
      <c r="DL49" s="74">
        <v>-17.245675977598808</v>
      </c>
      <c r="DM49" s="74">
        <v>-258.18120288550597</v>
      </c>
      <c r="DN49" s="74">
        <v>351.74561377404564</v>
      </c>
      <c r="DO49" s="74">
        <v>-372.5661214087919</v>
      </c>
      <c r="DP49" s="74">
        <v>183.5880154847174</v>
      </c>
      <c r="DQ49" s="74">
        <v>-1404.9721144762636</v>
      </c>
      <c r="DR49" s="74">
        <f t="shared" ref="DR49:EC49" si="0">DR46-DR47</f>
        <v>582.41161881306232</v>
      </c>
      <c r="DS49" s="74">
        <f t="shared" si="0"/>
        <v>-18.15320585968027</v>
      </c>
      <c r="DT49" s="74">
        <f t="shared" si="0"/>
        <v>346.88402039693972</v>
      </c>
      <c r="DU49" s="74">
        <f t="shared" si="0"/>
        <v>87.518620328252496</v>
      </c>
      <c r="DV49" s="74">
        <f t="shared" si="0"/>
        <v>91.011100250628374</v>
      </c>
      <c r="DW49" s="74">
        <f t="shared" si="0"/>
        <v>-201.07055644539344</v>
      </c>
      <c r="DX49" s="74">
        <f t="shared" si="0"/>
        <v>8.6971816716724106</v>
      </c>
      <c r="DY49" s="74">
        <f t="shared" si="0"/>
        <v>-219.87279609204541</v>
      </c>
      <c r="DZ49" s="74">
        <f t="shared" si="0"/>
        <v>-142.94560362144932</v>
      </c>
      <c r="EA49" s="74">
        <f t="shared" si="0"/>
        <v>-99.377263788805863</v>
      </c>
      <c r="EB49" s="74">
        <f t="shared" si="0"/>
        <v>-250.06638017028024</v>
      </c>
      <c r="EC49" s="74">
        <f t="shared" si="0"/>
        <v>-1129.2414032415063</v>
      </c>
      <c r="ED49" s="74">
        <v>491.06679831929102</v>
      </c>
      <c r="EE49" s="74">
        <v>127.65576270100075</v>
      </c>
      <c r="EF49" s="74">
        <v>-167.27005611588254</v>
      </c>
      <c r="EG49" s="74">
        <v>493.47634622806083</v>
      </c>
      <c r="EH49" s="74">
        <v>-200.22723576407441</v>
      </c>
      <c r="EI49" s="74">
        <v>484.82618907510016</v>
      </c>
      <c r="EJ49" s="74">
        <v>71.713448778324278</v>
      </c>
      <c r="EK49" s="74">
        <v>-22.423900518950518</v>
      </c>
      <c r="EL49" s="74">
        <v>244.94109372293235</v>
      </c>
      <c r="EM49" s="74">
        <v>-266.45761885173567</v>
      </c>
      <c r="EN49" s="74">
        <v>-571.21409378583246</v>
      </c>
      <c r="EO49" s="74">
        <v>-786.60733663453709</v>
      </c>
      <c r="EP49" s="74">
        <v>337.68989231243052</v>
      </c>
      <c r="EQ49" s="74">
        <v>427.48947887294992</v>
      </c>
      <c r="ER49" s="74">
        <v>282.09392858403419</v>
      </c>
      <c r="ES49" s="74">
        <v>812.21866735021206</v>
      </c>
      <c r="ET49" s="74">
        <v>256.96387178215093</v>
      </c>
      <c r="EU49" s="74">
        <v>-159.08987212319914</v>
      </c>
      <c r="EV49" s="74">
        <v>284.2576588373164</v>
      </c>
      <c r="EW49" s="74">
        <v>-353.45156647425927</v>
      </c>
      <c r="EX49" s="74">
        <v>-14.647033604768126</v>
      </c>
      <c r="EY49" s="74">
        <v>-263.85778700360731</v>
      </c>
      <c r="EZ49" s="74">
        <v>-636.43780922669418</v>
      </c>
      <c r="FA49" s="74">
        <v>-1797.2912085025182</v>
      </c>
      <c r="FB49" s="74">
        <v>663.98353372609392</v>
      </c>
      <c r="FC49" s="74">
        <v>-492.53607022897438</v>
      </c>
      <c r="FD49" s="74">
        <v>-194.80847410026479</v>
      </c>
      <c r="FE49" s="74">
        <v>625.87837658920455</v>
      </c>
      <c r="FF49" s="74">
        <v>31.778929013162383</v>
      </c>
      <c r="FG49" s="74">
        <v>-675.21148644227776</v>
      </c>
      <c r="FH49" s="74">
        <v>455.48040394504699</v>
      </c>
      <c r="FI49" s="74">
        <v>-484.25516750404074</v>
      </c>
      <c r="FJ49" s="74">
        <v>-402.20446481359238</v>
      </c>
      <c r="FK49" s="74">
        <v>-494.10887758090064</v>
      </c>
      <c r="FL49" s="74">
        <v>-864.49227731728649</v>
      </c>
      <c r="FM49" s="74">
        <v>-2517.0764843749698</v>
      </c>
      <c r="FN49" s="74">
        <v>606.38337008718565</v>
      </c>
      <c r="FO49" s="74">
        <v>-629.09917488430335</v>
      </c>
      <c r="FP49" s="74">
        <v>11.085400490320922</v>
      </c>
      <c r="FQ49" s="74">
        <v>527.77557862773085</v>
      </c>
      <c r="FR49" s="74">
        <v>93.417900088206466</v>
      </c>
      <c r="FS49" s="74">
        <v>182.05871407056532</v>
      </c>
      <c r="FT49" s="74">
        <v>-218.35221430065383</v>
      </c>
      <c r="FU49" s="74">
        <v>-755.68188224853191</v>
      </c>
      <c r="FV49" s="74">
        <v>-383.05000918344592</v>
      </c>
      <c r="FW49" s="74">
        <v>-923.99198087496131</v>
      </c>
      <c r="FX49" s="74">
        <v>-608.33480280412175</v>
      </c>
      <c r="FY49" s="74">
        <v>-3216.4447408346628</v>
      </c>
      <c r="FZ49" s="74">
        <v>598.77601985228387</v>
      </c>
      <c r="GA49" s="74">
        <v>-517.6520162622777</v>
      </c>
      <c r="GB49" s="74">
        <v>-615.89018625511233</v>
      </c>
      <c r="GC49" s="74">
        <v>422.02324761053171</v>
      </c>
      <c r="GD49" s="74">
        <v>-502.76952286791254</v>
      </c>
      <c r="GE49" s="74">
        <v>-340.83196979727052</v>
      </c>
      <c r="GF49" s="74">
        <v>439.53078454002264</v>
      </c>
      <c r="GG49" s="74">
        <v>-358.81838976464348</v>
      </c>
      <c r="GH49" s="74">
        <v>-643.32515144028173</v>
      </c>
      <c r="GI49" s="74">
        <v>-762.41478832366181</v>
      </c>
      <c r="GJ49" s="74">
        <v>-513.38969781898675</v>
      </c>
      <c r="GK49" s="74">
        <v>-3145.2838546941066</v>
      </c>
      <c r="GL49" s="74">
        <v>211.52834435189345</v>
      </c>
      <c r="GM49" s="74">
        <v>-424.23376725883315</v>
      </c>
      <c r="GN49" s="74">
        <v>-670.24597487207154</v>
      </c>
      <c r="GO49" s="74">
        <v>-16.278216349901754</v>
      </c>
      <c r="GP49" s="74">
        <v>-554.47763388906526</v>
      </c>
      <c r="GQ49" s="74">
        <v>-380.11873407317523</v>
      </c>
      <c r="GR49" s="74">
        <v>-260.62326176639897</v>
      </c>
      <c r="GS49" s="74">
        <v>-560.73103899265232</v>
      </c>
      <c r="GT49" s="74">
        <v>-924.61822938594594</v>
      </c>
      <c r="GU49" s="74">
        <v>-592.74034240054596</v>
      </c>
      <c r="GV49" s="74">
        <v>-1079.1524520758067</v>
      </c>
      <c r="GW49" s="74">
        <v>-2061.9171790265041</v>
      </c>
      <c r="GX49" s="74">
        <v>791.25102997916247</v>
      </c>
      <c r="GY49" s="74">
        <v>-531.56334289295592</v>
      </c>
      <c r="GZ49" s="74">
        <v>-817.6438270653839</v>
      </c>
      <c r="HA49" s="74">
        <v>-20.415706841702558</v>
      </c>
      <c r="HB49" s="74">
        <v>-15.006538001506669</v>
      </c>
      <c r="HC49" s="74">
        <v>-391.61740581964204</v>
      </c>
      <c r="HD49" s="74">
        <v>190.56778165844798</v>
      </c>
      <c r="HE49" s="74">
        <v>-440.05831947793604</v>
      </c>
      <c r="HF49" s="74">
        <v>-502.63808352902697</v>
      </c>
      <c r="HG49" s="74">
        <v>-294.54752384015364</v>
      </c>
      <c r="HH49" s="74">
        <v>-429.38721699243933</v>
      </c>
      <c r="HI49" s="74">
        <v>-2191.9183551813235</v>
      </c>
    </row>
    <row r="50" spans="1:217" s="69" customFormat="1" x14ac:dyDescent="0.35">
      <c r="A50" s="170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74"/>
      <c r="EA50" s="74"/>
      <c r="EB50" s="74"/>
      <c r="EC50" s="74"/>
      <c r="ED50" s="74"/>
      <c r="EE50" s="7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74"/>
      <c r="FL50" s="74"/>
      <c r="FM50" s="74"/>
      <c r="FN50" s="74"/>
      <c r="FO50" s="74"/>
      <c r="FP50" s="74"/>
      <c r="FQ50" s="74"/>
      <c r="FR50" s="74"/>
      <c r="FS50" s="74"/>
      <c r="FT50" s="74"/>
      <c r="FU50" s="7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74"/>
      <c r="GG50" s="74"/>
      <c r="GH50" s="74"/>
      <c r="GI50" s="74"/>
      <c r="GJ50" s="74"/>
      <c r="GK50" s="74"/>
      <c r="GL50" s="74"/>
      <c r="GM50" s="74"/>
      <c r="GN50" s="74"/>
      <c r="GO50" s="74"/>
      <c r="GP50" s="7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74"/>
      <c r="HB50" s="74"/>
      <c r="HC50" s="74"/>
      <c r="HD50" s="74"/>
      <c r="HE50" s="74"/>
      <c r="HF50" s="74"/>
      <c r="HG50" s="74"/>
      <c r="HH50" s="74"/>
      <c r="HI50" s="74"/>
    </row>
    <row r="51" spans="1:217" s="69" customFormat="1" x14ac:dyDescent="0.35">
      <c r="A51" s="170" t="s">
        <v>608</v>
      </c>
      <c r="B51" s="74">
        <v>149.82666515021378</v>
      </c>
      <c r="C51" s="74">
        <v>66.353679809776651</v>
      </c>
      <c r="D51" s="74">
        <v>109.78927011512975</v>
      </c>
      <c r="E51" s="74">
        <v>91.160877963016574</v>
      </c>
      <c r="F51" s="74">
        <v>107.30168812074515</v>
      </c>
      <c r="G51" s="74">
        <v>145.74252988074517</v>
      </c>
      <c r="H51" s="74">
        <v>141.14983971571084</v>
      </c>
      <c r="I51" s="74">
        <v>145.06999604273796</v>
      </c>
      <c r="J51" s="74">
        <v>182.78245225571081</v>
      </c>
      <c r="K51" s="74">
        <v>138.75164481368898</v>
      </c>
      <c r="L51" s="74">
        <v>118.89957848142269</v>
      </c>
      <c r="M51" s="74">
        <v>-107.28615183298342</v>
      </c>
      <c r="N51" s="74">
        <v>99.916509393851271</v>
      </c>
      <c r="O51" s="74">
        <v>80.114269361365871</v>
      </c>
      <c r="P51" s="74">
        <v>59.970733902364238</v>
      </c>
      <c r="Q51" s="74">
        <v>255.64468163966197</v>
      </c>
      <c r="R51" s="74">
        <v>63.820732161910854</v>
      </c>
      <c r="S51" s="74">
        <v>64.285855488333425</v>
      </c>
      <c r="T51" s="74">
        <v>140.31910456613343</v>
      </c>
      <c r="U51" s="74">
        <v>164.2408627829999</v>
      </c>
      <c r="V51" s="74">
        <v>108.22623828933334</v>
      </c>
      <c r="W51" s="74">
        <v>60.511862832333371</v>
      </c>
      <c r="X51" s="74">
        <v>68.146502918103607</v>
      </c>
      <c r="Y51" s="74">
        <v>-161.52479793406656</v>
      </c>
      <c r="Z51" s="74">
        <v>170.87742803039515</v>
      </c>
      <c r="AA51" s="74">
        <v>142.89647599490036</v>
      </c>
      <c r="AB51" s="74">
        <v>67.148723307437763</v>
      </c>
      <c r="AC51" s="74">
        <v>175.10550823181717</v>
      </c>
      <c r="AD51" s="74">
        <v>61.692936273927998</v>
      </c>
      <c r="AE51" s="74">
        <v>116.88686461869935</v>
      </c>
      <c r="AF51" s="74">
        <v>129.82249346512637</v>
      </c>
      <c r="AG51" s="74">
        <v>62.570787664650396</v>
      </c>
      <c r="AH51" s="74">
        <v>173.08042978586676</v>
      </c>
      <c r="AI51" s="74">
        <v>131.57171098609049</v>
      </c>
      <c r="AJ51" s="74">
        <v>-38.739245500166632</v>
      </c>
      <c r="AK51" s="74">
        <v>-151.67516251487973</v>
      </c>
      <c r="AL51" s="74">
        <v>210.26864298642045</v>
      </c>
      <c r="AM51" s="74">
        <v>80.896300749952857</v>
      </c>
      <c r="AN51" s="74">
        <v>125.55609705441859</v>
      </c>
      <c r="AO51" s="74">
        <v>208.93377042846478</v>
      </c>
      <c r="AP51" s="74">
        <v>62.345243046868546</v>
      </c>
      <c r="AQ51" s="74">
        <v>115.45606678985712</v>
      </c>
      <c r="AR51" s="74">
        <v>138.21601945925465</v>
      </c>
      <c r="AS51" s="74">
        <v>76.234411119435208</v>
      </c>
      <c r="AT51" s="74">
        <v>32.89786872933108</v>
      </c>
      <c r="AU51" s="74">
        <v>144.50343205049887</v>
      </c>
      <c r="AV51" s="74">
        <v>-31.37741474750473</v>
      </c>
      <c r="AW51" s="74">
        <v>-20.687395483235356</v>
      </c>
      <c r="AX51" s="74">
        <v>242.36246848916011</v>
      </c>
      <c r="AY51" s="74">
        <v>34.533658015754781</v>
      </c>
      <c r="AZ51" s="74">
        <v>145.22583999685955</v>
      </c>
      <c r="BA51" s="74">
        <v>163.60663018393225</v>
      </c>
      <c r="BB51" s="74">
        <v>125.45311220243497</v>
      </c>
      <c r="BC51" s="74">
        <v>93.730043603025649</v>
      </c>
      <c r="BD51" s="74">
        <v>141.20945674195062</v>
      </c>
      <c r="BE51" s="74">
        <v>172.49688664278997</v>
      </c>
      <c r="BF51" s="74">
        <v>205.26594376898379</v>
      </c>
      <c r="BG51" s="74">
        <v>205.77133355594859</v>
      </c>
      <c r="BH51" s="74">
        <v>177.11719893728531</v>
      </c>
      <c r="BI51" s="74">
        <v>-226.8441696637008</v>
      </c>
      <c r="BJ51" s="74">
        <v>162.17589048139746</v>
      </c>
      <c r="BK51" s="74">
        <v>60.955138825499631</v>
      </c>
      <c r="BL51" s="74">
        <v>36.875983854689032</v>
      </c>
      <c r="BM51" s="74">
        <v>427.49489240925908</v>
      </c>
      <c r="BN51" s="74">
        <v>100.71338603795982</v>
      </c>
      <c r="BO51" s="74">
        <v>152.76622241216731</v>
      </c>
      <c r="BP51" s="74">
        <v>232.65041147992051</v>
      </c>
      <c r="BQ51" s="74">
        <v>130.82046975978295</v>
      </c>
      <c r="BR51" s="74">
        <v>-190.4776218245091</v>
      </c>
      <c r="BS51" s="74">
        <v>92.961037424219086</v>
      </c>
      <c r="BT51" s="74">
        <v>123.94972355938233</v>
      </c>
      <c r="BU51" s="74">
        <v>-257.99608964233619</v>
      </c>
      <c r="BV51" s="74">
        <v>410.3470233492929</v>
      </c>
      <c r="BW51" s="74">
        <v>32.722284700329908</v>
      </c>
      <c r="BX51" s="74">
        <v>93.927048067696433</v>
      </c>
      <c r="BY51" s="74">
        <v>467.87602808440147</v>
      </c>
      <c r="BZ51" s="74">
        <v>406.72761811724484</v>
      </c>
      <c r="CA51" s="74">
        <v>118.88953903161691</v>
      </c>
      <c r="CB51" s="74">
        <v>200.00341849623095</v>
      </c>
      <c r="CC51" s="74">
        <v>62.748325168964556</v>
      </c>
      <c r="CD51" s="74">
        <v>35.012491592984958</v>
      </c>
      <c r="CE51" s="74">
        <v>572.73889980736885</v>
      </c>
      <c r="CF51" s="74">
        <v>153.78572728017758</v>
      </c>
      <c r="CG51" s="74">
        <v>-323.84570355032963</v>
      </c>
      <c r="CH51" s="74">
        <v>430.19272862528368</v>
      </c>
      <c r="CI51" s="74">
        <v>188.11245820052622</v>
      </c>
      <c r="CJ51" s="74">
        <v>60.520774767139372</v>
      </c>
      <c r="CK51" s="74">
        <v>594.42413496288964</v>
      </c>
      <c r="CL51" s="74">
        <v>168.98986188556643</v>
      </c>
      <c r="CM51" s="74">
        <v>115.84854919815002</v>
      </c>
      <c r="CN51" s="74">
        <v>297.38331205596177</v>
      </c>
      <c r="CO51" s="74">
        <v>128.72351587986412</v>
      </c>
      <c r="CP51" s="74">
        <v>234.22894911402048</v>
      </c>
      <c r="CQ51" s="74">
        <v>92.321825013824849</v>
      </c>
      <c r="CR51" s="74">
        <v>165.68175466276577</v>
      </c>
      <c r="CS51" s="74">
        <v>-289.65557241052016</v>
      </c>
      <c r="CT51" s="74">
        <v>432.57263584236841</v>
      </c>
      <c r="CU51" s="74">
        <v>725.82139400116216</v>
      </c>
      <c r="CV51" s="74">
        <v>292.42331661169618</v>
      </c>
      <c r="CW51" s="74">
        <v>443.41309064142314</v>
      </c>
      <c r="CX51" s="74">
        <v>447.57842802486385</v>
      </c>
      <c r="CY51" s="74">
        <v>210.43228979500424</v>
      </c>
      <c r="CZ51" s="74">
        <v>81.733426273303934</v>
      </c>
      <c r="DA51" s="74">
        <v>345.14069708067939</v>
      </c>
      <c r="DB51" s="74">
        <v>6.7146268085099159</v>
      </c>
      <c r="DC51" s="74">
        <v>-25.802179951923229</v>
      </c>
      <c r="DD51" s="74">
        <v>-369.19136849090751</v>
      </c>
      <c r="DE51" s="74">
        <v>-1538.9337713806467</v>
      </c>
      <c r="DF51" s="74">
        <v>87.285442663612173</v>
      </c>
      <c r="DG51" s="74">
        <v>-349.30825464821646</v>
      </c>
      <c r="DH51" s="74">
        <v>-507.46759141957779</v>
      </c>
      <c r="DI51" s="74">
        <v>189.6211525954418</v>
      </c>
      <c r="DJ51" s="74">
        <v>58.195345410183414</v>
      </c>
      <c r="DK51" s="74">
        <v>-12.079369278088137</v>
      </c>
      <c r="DL51" s="74">
        <v>-8.7508275874711678</v>
      </c>
      <c r="DM51" s="74">
        <v>-237.67016516075648</v>
      </c>
      <c r="DN51" s="74">
        <v>362.43511291282874</v>
      </c>
      <c r="DO51" s="74">
        <v>-328.76944514866426</v>
      </c>
      <c r="DP51" s="74">
        <v>195.65327263299631</v>
      </c>
      <c r="DQ51" s="74">
        <v>-1332.057473422429</v>
      </c>
      <c r="DR51" s="74">
        <v>599.81092112893077</v>
      </c>
      <c r="DS51" s="74">
        <v>7.7588252830721736</v>
      </c>
      <c r="DT51" s="74">
        <v>361.05624298361147</v>
      </c>
      <c r="DU51" s="74">
        <v>129.50809853736021</v>
      </c>
      <c r="DV51" s="74">
        <v>106.8142052012759</v>
      </c>
      <c r="DW51" s="74">
        <v>-121.00921184312995</v>
      </c>
      <c r="DX51" s="74">
        <v>25.433039881248078</v>
      </c>
      <c r="DY51" s="74">
        <v>-186.79978133097657</v>
      </c>
      <c r="DZ51" s="74">
        <v>-118.01990026936724</v>
      </c>
      <c r="EA51" s="74">
        <v>-62.105113494414169</v>
      </c>
      <c r="EB51" s="74">
        <v>-227.18868268148168</v>
      </c>
      <c r="EC51" s="74">
        <v>-1046.7547414757505</v>
      </c>
      <c r="ED51" s="74">
        <v>504.25634731763364</v>
      </c>
      <c r="EE51" s="74">
        <v>164.68386758711361</v>
      </c>
      <c r="EF51" s="74">
        <v>-140.79752432911596</v>
      </c>
      <c r="EG51" s="74">
        <v>531.72078399206612</v>
      </c>
      <c r="EH51" s="74">
        <v>-156.74282203165126</v>
      </c>
      <c r="EI51" s="74">
        <v>564.73986825504994</v>
      </c>
      <c r="EJ51" s="74">
        <v>88.14931836804314</v>
      </c>
      <c r="EK51" s="74">
        <v>17.506283363779247</v>
      </c>
      <c r="EL51" s="74">
        <v>274.40253674306001</v>
      </c>
      <c r="EM51" s="74">
        <v>-235.84279609726369</v>
      </c>
      <c r="EN51" s="74">
        <v>-528.37343667296545</v>
      </c>
      <c r="EO51" s="74">
        <v>-682.07799214418628</v>
      </c>
      <c r="EP51" s="74">
        <v>352.69803696504499</v>
      </c>
      <c r="EQ51" s="74">
        <v>464.05781294567339</v>
      </c>
      <c r="ER51" s="74">
        <v>353.42917838137282</v>
      </c>
      <c r="ES51" s="74">
        <v>844.72899362534406</v>
      </c>
      <c r="ET51" s="74">
        <v>300.56053078905984</v>
      </c>
      <c r="EU51" s="74">
        <v>-21.456974179881229</v>
      </c>
      <c r="EV51" s="74">
        <v>298.5110859358835</v>
      </c>
      <c r="EW51" s="74">
        <v>-304.11622195362406</v>
      </c>
      <c r="EX51" s="74">
        <v>55.554319864247987</v>
      </c>
      <c r="EY51" s="74">
        <v>-234.54255024711676</v>
      </c>
      <c r="EZ51" s="74">
        <v>-598.89842064424113</v>
      </c>
      <c r="FA51" s="74">
        <v>-1682.4259309342096</v>
      </c>
      <c r="FB51" s="74">
        <v>685.47046623830681</v>
      </c>
      <c r="FC51" s="74">
        <v>-452.45314756145234</v>
      </c>
      <c r="FD51" s="74">
        <v>-87.821323093071086</v>
      </c>
      <c r="FE51" s="74">
        <v>659.19634404546616</v>
      </c>
      <c r="FF51" s="74">
        <v>120.46381626616062</v>
      </c>
      <c r="FG51" s="74">
        <v>-490.02558981243112</v>
      </c>
      <c r="FH51" s="74">
        <v>465.33829957602632</v>
      </c>
      <c r="FI51" s="74">
        <v>-449.6844280987313</v>
      </c>
      <c r="FJ51" s="74">
        <v>-270.82735824073575</v>
      </c>
      <c r="FK51" s="74">
        <v>-454.01729846189153</v>
      </c>
      <c r="FL51" s="74">
        <v>-773.62717614762016</v>
      </c>
      <c r="FM51" s="74">
        <v>-2328.9039094890823</v>
      </c>
      <c r="FN51" s="74">
        <v>637.69359191099954</v>
      </c>
      <c r="FO51" s="74">
        <v>-580.52309217447532</v>
      </c>
      <c r="FP51" s="74">
        <v>166.6724165562546</v>
      </c>
      <c r="FQ51" s="74">
        <v>572.4990670480131</v>
      </c>
      <c r="FR51" s="74">
        <v>134.28228292398731</v>
      </c>
      <c r="FS51" s="74">
        <v>324.9911191850598</v>
      </c>
      <c r="FT51" s="74">
        <v>-191.87720001617632</v>
      </c>
      <c r="FU51" s="74">
        <v>-715.09598805166672</v>
      </c>
      <c r="FV51" s="74">
        <v>-234.10800120794786</v>
      </c>
      <c r="FW51" s="74">
        <v>-881.49913281455179</v>
      </c>
      <c r="FX51" s="74">
        <v>-559.85182854196637</v>
      </c>
      <c r="FY51" s="74">
        <v>-2963.7566623665052</v>
      </c>
      <c r="FZ51" s="74">
        <v>627.77986358836301</v>
      </c>
      <c r="GA51" s="74">
        <v>-470.30899303320103</v>
      </c>
      <c r="GB51" s="74">
        <v>-373.98983040004214</v>
      </c>
      <c r="GC51" s="74">
        <v>461.42278693209767</v>
      </c>
      <c r="GD51" s="74">
        <v>-425.51229586493474</v>
      </c>
      <c r="GE51" s="74">
        <v>-88.348351669138765</v>
      </c>
      <c r="GF51" s="74">
        <v>476.03563841282153</v>
      </c>
      <c r="GG51" s="74">
        <v>-307.22544679390387</v>
      </c>
      <c r="GH51" s="74">
        <v>-373.89263323401178</v>
      </c>
      <c r="GI51" s="74">
        <v>-717.90090409691948</v>
      </c>
      <c r="GJ51" s="74">
        <v>-435.04291649797477</v>
      </c>
      <c r="GK51" s="74">
        <v>-2891.6892555069967</v>
      </c>
      <c r="GL51" s="74">
        <v>258.64400837320574</v>
      </c>
      <c r="GM51" s="74">
        <v>-376.6913754268823</v>
      </c>
      <c r="GN51" s="74">
        <v>-403.56162341221966</v>
      </c>
      <c r="GO51" s="74">
        <v>24.414158443527995</v>
      </c>
      <c r="GP51" s="74">
        <v>-479.45000061361861</v>
      </c>
      <c r="GQ51" s="74">
        <v>-124.66279855826934</v>
      </c>
      <c r="GR51" s="74">
        <v>-199.33831784056184</v>
      </c>
      <c r="GS51" s="74">
        <v>-498.79927940426666</v>
      </c>
      <c r="GT51" s="74">
        <v>-655.23860210926534</v>
      </c>
      <c r="GU51" s="74">
        <v>-523.82948094108656</v>
      </c>
      <c r="GV51" s="74">
        <v>-1011.2438742536879</v>
      </c>
      <c r="GW51" s="74">
        <v>-1763.1294074576085</v>
      </c>
      <c r="GX51" s="74">
        <v>870.06975614431292</v>
      </c>
      <c r="GY51" s="74">
        <v>-457.72655869013397</v>
      </c>
      <c r="GZ51" s="74">
        <v>-395.89079412373883</v>
      </c>
      <c r="HA51" s="74">
        <v>57.085094931078245</v>
      </c>
      <c r="HB51" s="74">
        <v>90.758605118512023</v>
      </c>
      <c r="HC51" s="74">
        <v>-87.97929475019248</v>
      </c>
      <c r="HD51" s="74">
        <v>279.39079064835613</v>
      </c>
      <c r="HE51" s="74">
        <v>-348.43782181128245</v>
      </c>
      <c r="HF51" s="74">
        <v>-94.10477670639898</v>
      </c>
      <c r="HG51" s="74">
        <v>-208.73296583556549</v>
      </c>
      <c r="HH51" s="74">
        <v>-347.20436413984919</v>
      </c>
      <c r="HI51" s="74">
        <v>-1800.8162536569137</v>
      </c>
    </row>
    <row r="52" spans="1:217" s="69" customFormat="1" x14ac:dyDescent="0.35">
      <c r="A52" s="170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4"/>
      <c r="FM52" s="74"/>
      <c r="FN52" s="74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4"/>
      <c r="GH52" s="74"/>
      <c r="GI52" s="74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</row>
    <row r="53" spans="1:217" x14ac:dyDescent="0.35">
      <c r="A53" s="70" t="s">
        <v>609</v>
      </c>
      <c r="B53" s="71">
        <v>24875.5</v>
      </c>
      <c r="C53" s="71">
        <v>24875.5</v>
      </c>
      <c r="D53" s="71">
        <v>24875.5</v>
      </c>
      <c r="E53" s="71">
        <v>24875.5</v>
      </c>
      <c r="F53" s="71">
        <v>24875.5</v>
      </c>
      <c r="G53" s="71">
        <v>24875.5</v>
      </c>
      <c r="H53" s="71">
        <v>24875.5</v>
      </c>
      <c r="I53" s="71">
        <v>24875.5</v>
      </c>
      <c r="J53" s="71">
        <v>24875.5</v>
      </c>
      <c r="K53" s="71">
        <v>24875.5</v>
      </c>
      <c r="L53" s="71">
        <v>24875.5</v>
      </c>
      <c r="M53" s="71">
        <v>24875.5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74"/>
      <c r="CU53" s="174"/>
      <c r="CV53" s="174"/>
      <c r="CW53" s="174"/>
      <c r="CX53" s="174"/>
      <c r="CY53" s="174"/>
      <c r="CZ53" s="174"/>
      <c r="DA53" s="174"/>
      <c r="DB53" s="174"/>
      <c r="DC53" s="174"/>
      <c r="DD53" s="174"/>
      <c r="DE53" s="1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 s="74"/>
      <c r="GL53" s="74"/>
      <c r="GM53" s="74"/>
      <c r="GN53" s="74"/>
      <c r="GO53" s="74"/>
      <c r="GP53" s="74"/>
      <c r="GQ53" s="74"/>
      <c r="GR53" s="74"/>
      <c r="GS53" s="74"/>
      <c r="GT53" s="74"/>
      <c r="GU53" s="74"/>
      <c r="GV53" s="74"/>
      <c r="GW53" s="74"/>
      <c r="GX53" s="69"/>
      <c r="GY53" s="69"/>
      <c r="GZ53" s="69"/>
      <c r="HA53" s="69"/>
      <c r="HB53" s="69"/>
      <c r="HC53" s="69"/>
      <c r="HD53" s="69"/>
      <c r="HE53" s="69"/>
      <c r="HF53" s="69"/>
      <c r="HG53" s="69"/>
      <c r="HH53" s="69"/>
      <c r="HI53" s="69"/>
    </row>
    <row r="54" spans="1:217" ht="15" thickBot="1" x14ac:dyDescent="0.4">
      <c r="A54" s="175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  <c r="BT54" s="176"/>
      <c r="BU54" s="176"/>
      <c r="BV54" s="176"/>
      <c r="BW54" s="176"/>
      <c r="BX54" s="176"/>
      <c r="BY54" s="176"/>
      <c r="BZ54" s="176"/>
      <c r="CA54" s="176"/>
      <c r="CB54" s="176"/>
      <c r="CC54" s="176"/>
      <c r="CD54" s="176"/>
      <c r="CE54" s="176"/>
      <c r="CF54" s="176"/>
      <c r="CG54" s="176"/>
      <c r="CH54" s="176"/>
      <c r="CI54" s="176"/>
      <c r="CJ54" s="176"/>
      <c r="CK54" s="176"/>
      <c r="CL54" s="176"/>
      <c r="CM54" s="176"/>
      <c r="CN54" s="176"/>
      <c r="CO54" s="176"/>
      <c r="CP54" s="176"/>
      <c r="CQ54" s="176"/>
      <c r="CR54" s="176"/>
      <c r="CS54" s="176"/>
      <c r="CT54" s="176"/>
      <c r="CU54" s="176"/>
      <c r="CV54" s="176"/>
      <c r="CW54" s="176"/>
      <c r="CX54" s="176"/>
      <c r="CY54" s="176"/>
      <c r="CZ54" s="176"/>
      <c r="DA54" s="176"/>
      <c r="DB54" s="176"/>
      <c r="DC54" s="176"/>
      <c r="DD54" s="176"/>
      <c r="DE54" s="176"/>
      <c r="DF54" s="176"/>
      <c r="DG54" s="176"/>
      <c r="DH54" s="176"/>
      <c r="DI54" s="176"/>
      <c r="DJ54" s="176"/>
      <c r="DK54" s="176"/>
      <c r="DL54" s="176"/>
      <c r="DM54" s="176"/>
      <c r="DN54" s="176"/>
      <c r="DO54" s="176"/>
      <c r="DP54" s="176"/>
      <c r="DQ54" s="176"/>
      <c r="DR54" s="176"/>
      <c r="DS54" s="176"/>
      <c r="DT54" s="176"/>
      <c r="DU54" s="176"/>
      <c r="DV54" s="176"/>
      <c r="DW54" s="176"/>
      <c r="DX54" s="176"/>
      <c r="DY54" s="176"/>
      <c r="DZ54" s="176"/>
      <c r="EA54" s="176"/>
      <c r="EB54" s="176"/>
      <c r="EC54" s="176"/>
      <c r="ED54" s="176"/>
      <c r="EE54" s="176"/>
      <c r="EF54" s="176"/>
      <c r="EG54" s="176"/>
      <c r="EH54" s="176"/>
      <c r="EI54" s="176"/>
      <c r="EJ54" s="176"/>
      <c r="EK54" s="176"/>
      <c r="EL54" s="176"/>
      <c r="EM54" s="176"/>
      <c r="EN54" s="176"/>
      <c r="EO54" s="176"/>
      <c r="EP54" s="176"/>
      <c r="EQ54" s="176"/>
      <c r="ER54" s="176"/>
      <c r="ES54" s="176"/>
      <c r="ET54" s="176"/>
      <c r="EU54" s="176"/>
      <c r="EV54" s="176"/>
      <c r="EW54" s="176"/>
      <c r="EX54" s="176"/>
      <c r="EY54" s="176"/>
      <c r="EZ54" s="176"/>
      <c r="FA54" s="176"/>
      <c r="FB54" s="176"/>
      <c r="FC54" s="176"/>
      <c r="FD54" s="176"/>
      <c r="FE54" s="176"/>
      <c r="FF54" s="176"/>
      <c r="FG54" s="176"/>
      <c r="FH54" s="176"/>
      <c r="FI54" s="176"/>
      <c r="FJ54" s="176"/>
      <c r="FK54" s="176"/>
      <c r="FL54" s="176"/>
      <c r="FM54" s="176"/>
      <c r="FN54" s="176"/>
      <c r="FO54" s="176"/>
      <c r="FP54" s="176"/>
      <c r="FQ54" s="176"/>
      <c r="FR54" s="176"/>
      <c r="FS54" s="176"/>
      <c r="FT54" s="176"/>
      <c r="FU54" s="176"/>
      <c r="FV54" s="176"/>
      <c r="FW54" s="176"/>
      <c r="FX54" s="176"/>
      <c r="FY54" s="176"/>
      <c r="FZ54" s="176"/>
      <c r="GA54" s="176"/>
      <c r="GB54" s="176"/>
      <c r="GC54" s="176"/>
      <c r="GD54" s="176"/>
      <c r="GE54" s="176"/>
      <c r="GF54" s="176"/>
      <c r="GG54" s="176"/>
      <c r="GH54" s="176"/>
      <c r="GI54" s="176"/>
      <c r="GJ54" s="176"/>
      <c r="GK54" s="176"/>
      <c r="GL54" s="176"/>
      <c r="GM54" s="176"/>
      <c r="GN54" s="176"/>
      <c r="GO54" s="176"/>
      <c r="GP54" s="176"/>
      <c r="GQ54" s="176"/>
      <c r="GR54" s="176"/>
      <c r="GS54" s="176"/>
      <c r="GT54" s="176"/>
      <c r="GU54" s="176"/>
      <c r="GV54" s="176"/>
      <c r="GW54" s="176"/>
      <c r="GX54" s="176"/>
      <c r="GY54" s="176"/>
      <c r="GZ54" s="176"/>
      <c r="HA54" s="176"/>
      <c r="HB54" s="176"/>
      <c r="HC54" s="176"/>
      <c r="HD54" s="176"/>
      <c r="HE54" s="176"/>
      <c r="HF54" s="176"/>
      <c r="HG54" s="176"/>
      <c r="HH54" s="176"/>
      <c r="HI54" s="176"/>
    </row>
    <row r="55" spans="1:217" ht="15" thickTop="1" x14ac:dyDescent="0.3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4"/>
      <c r="GH55" s="74"/>
      <c r="GI55" s="74"/>
      <c r="GJ55" s="74"/>
      <c r="GK55" s="74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</row>
    <row r="56" spans="1:217" x14ac:dyDescent="0.35">
      <c r="A56" s="78" t="s">
        <v>610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</row>
    <row r="57" spans="1:217" x14ac:dyDescent="0.35">
      <c r="A57" s="78" t="s">
        <v>611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</row>
    <row r="58" spans="1:217" x14ac:dyDescent="0.35">
      <c r="A58" s="78" t="s">
        <v>612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</row>
    <row r="59" spans="1:217" x14ac:dyDescent="0.35">
      <c r="A59" s="78" t="s">
        <v>613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</row>
    <row r="60" spans="1:217" x14ac:dyDescent="0.35">
      <c r="A60" s="78" t="s">
        <v>500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</row>
    <row r="61" spans="1:217" x14ac:dyDescent="0.35">
      <c r="A61" s="78" t="s">
        <v>614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</row>
    <row r="62" spans="1:217" x14ac:dyDescent="0.35">
      <c r="A62" s="78" t="s">
        <v>501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</row>
    <row r="63" spans="1:217" x14ac:dyDescent="0.35">
      <c r="A63" s="78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</row>
    <row r="64" spans="1:217" x14ac:dyDescent="0.35">
      <c r="A64" s="78" t="s">
        <v>502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</row>
    <row r="65" spans="1:30" x14ac:dyDescent="0.35">
      <c r="A65" s="75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69"/>
      <c r="AA65" s="69"/>
      <c r="AB65" s="69"/>
      <c r="AC65" s="69"/>
      <c r="AD65" s="69"/>
    </row>
    <row r="66" spans="1:30" x14ac:dyDescent="0.35">
      <c r="A6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/>
      <c r="AA66"/>
      <c r="AB66"/>
      <c r="AC66"/>
      <c r="AD66"/>
    </row>
    <row r="67" spans="1:30" x14ac:dyDescent="0.35">
      <c r="A67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/>
      <c r="AA67"/>
      <c r="AB67"/>
      <c r="AC67"/>
      <c r="AD67"/>
    </row>
    <row r="68" spans="1:30" ht="15.5" x14ac:dyDescent="0.35">
      <c r="A68" s="17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 spans="1:30" ht="15.5" x14ac:dyDescent="0.35">
      <c r="A69" s="17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 spans="1:30" ht="15.5" x14ac:dyDescent="0.35">
      <c r="A70" s="17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 spans="1:30" ht="15.5" x14ac:dyDescent="0.35">
      <c r="A71" s="177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 spans="1:30" ht="15.5" x14ac:dyDescent="0.35">
      <c r="A72" s="17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 spans="1:30" ht="15.5" x14ac:dyDescent="0.35">
      <c r="A73" s="178" t="s">
        <v>615</v>
      </c>
      <c r="B73" s="179"/>
      <c r="C73" s="179"/>
      <c r="D73" s="179"/>
      <c r="E73" s="179"/>
      <c r="F73" s="17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 spans="1:30" x14ac:dyDescent="0.35">
      <c r="A74" s="180" t="s">
        <v>616</v>
      </c>
      <c r="B74" s="181"/>
      <c r="C74" s="181"/>
      <c r="D74" s="181"/>
      <c r="E74" s="181"/>
      <c r="F74" s="181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</row>
    <row r="75" spans="1:30" ht="15.5" x14ac:dyDescent="0.35">
      <c r="A75" s="180"/>
      <c r="B75" s="183"/>
      <c r="C75" s="183"/>
      <c r="D75" s="183"/>
      <c r="E75" s="183"/>
      <c r="F75" s="183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 spans="1:30" ht="15.5" x14ac:dyDescent="0.35">
      <c r="A76" s="242" t="s">
        <v>475</v>
      </c>
      <c r="B76" s="243"/>
      <c r="C76" s="243"/>
      <c r="D76" s="243"/>
      <c r="E76" s="243"/>
      <c r="F76" s="244"/>
      <c r="G76" s="245"/>
      <c r="H76" s="243"/>
      <c r="I76" s="243"/>
      <c r="J76" s="243"/>
      <c r="K76" s="243"/>
      <c r="L76" s="243"/>
      <c r="M76" s="243"/>
      <c r="N76" s="243"/>
      <c r="O76" s="243"/>
      <c r="P76" s="243"/>
      <c r="Q76" s="244"/>
      <c r="R76" s="184" t="s">
        <v>617</v>
      </c>
    </row>
    <row r="77" spans="1:30" ht="31" x14ac:dyDescent="0.35">
      <c r="A77" s="242"/>
      <c r="B77" s="185" t="s">
        <v>618</v>
      </c>
      <c r="C77" s="185" t="s">
        <v>619</v>
      </c>
      <c r="D77" s="184" t="s">
        <v>620</v>
      </c>
      <c r="E77" s="184" t="s">
        <v>484</v>
      </c>
      <c r="F77" s="184" t="s">
        <v>621</v>
      </c>
      <c r="G77" s="186" t="s">
        <v>622</v>
      </c>
      <c r="H77" s="185" t="s">
        <v>623</v>
      </c>
      <c r="I77" s="187" t="s">
        <v>624</v>
      </c>
      <c r="J77" s="187" t="s">
        <v>625</v>
      </c>
      <c r="K77" s="186" t="s">
        <v>626</v>
      </c>
      <c r="L77" s="186" t="s">
        <v>627</v>
      </c>
      <c r="M77" s="186" t="s">
        <v>628</v>
      </c>
      <c r="N77" s="186" t="s">
        <v>629</v>
      </c>
      <c r="O77" s="186" t="s">
        <v>630</v>
      </c>
      <c r="P77" s="186" t="s">
        <v>631</v>
      </c>
      <c r="Q77" s="186" t="s">
        <v>632</v>
      </c>
      <c r="R77" s="188" t="s">
        <v>633</v>
      </c>
    </row>
    <row r="78" spans="1:30" ht="15.5" x14ac:dyDescent="0.35">
      <c r="A78" s="189"/>
      <c r="B78" s="190"/>
      <c r="C78" s="190"/>
      <c r="D78" s="190"/>
      <c r="E78" s="190"/>
      <c r="F78" s="190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 spans="1:30" ht="15.5" x14ac:dyDescent="0.35">
      <c r="A79" s="191" t="s">
        <v>577</v>
      </c>
      <c r="B79" s="192">
        <v>39032.049806754345</v>
      </c>
      <c r="C79" s="192">
        <v>33321.721287640903</v>
      </c>
      <c r="D79" s="192">
        <v>30314.084840016738</v>
      </c>
      <c r="E79" s="192">
        <v>33426.492964844045</v>
      </c>
      <c r="F79" s="192">
        <v>38865.409308584371</v>
      </c>
      <c r="G79" s="192">
        <v>8413.6152465933301</v>
      </c>
      <c r="H79" s="192">
        <v>8575.9876199475329</v>
      </c>
      <c r="I79" s="192">
        <v>7939.6294815127367</v>
      </c>
      <c r="J79" s="192">
        <v>8497.2606167904451</v>
      </c>
      <c r="K79" s="192">
        <v>8900.9824194720695</v>
      </c>
      <c r="L79" s="192">
        <v>10074.009195554892</v>
      </c>
      <c r="M79" s="192">
        <v>9722.6582721465857</v>
      </c>
      <c r="N79" s="192">
        <v>10167.759421410823</v>
      </c>
      <c r="O79" s="192">
        <v>8924.9369222768692</v>
      </c>
      <c r="P79" s="192">
        <v>9936.164925952573</v>
      </c>
      <c r="Q79" s="192">
        <v>9084.4152612743419</v>
      </c>
      <c r="R79" s="192">
        <v>3005.8734728435643</v>
      </c>
    </row>
    <row r="80" spans="1:30" ht="15.5" x14ac:dyDescent="0.35">
      <c r="A80" s="17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</row>
    <row r="81" spans="1:18" ht="15.5" x14ac:dyDescent="0.35">
      <c r="A81" s="191" t="s">
        <v>578</v>
      </c>
      <c r="B81" s="192">
        <v>10905.823338211603</v>
      </c>
      <c r="C81" s="192">
        <v>6487.380638300725</v>
      </c>
      <c r="D81" s="192">
        <v>5401.951779250001</v>
      </c>
      <c r="E81" s="192">
        <v>5840.008520887608</v>
      </c>
      <c r="F81" s="192">
        <v>8621.1875639656246</v>
      </c>
      <c r="G81" s="192">
        <v>1303.132586210048</v>
      </c>
      <c r="H81" s="192">
        <v>1434.8290215175602</v>
      </c>
      <c r="I81" s="192">
        <v>1481.37870219</v>
      </c>
      <c r="J81" s="192">
        <v>1620.66821097</v>
      </c>
      <c r="K81" s="192">
        <v>1517.3869795000001</v>
      </c>
      <c r="L81" s="192">
        <v>1947.23996769</v>
      </c>
      <c r="M81" s="192">
        <v>2436.6075781666668</v>
      </c>
      <c r="N81" s="192">
        <v>2719.9530386089573</v>
      </c>
      <c r="O81" s="192">
        <v>2011.2532768599999</v>
      </c>
      <c r="P81" s="192">
        <v>2001.6389871400002</v>
      </c>
      <c r="Q81" s="192">
        <v>2032.9225107900002</v>
      </c>
      <c r="R81" s="192">
        <v>615.88932363544359</v>
      </c>
    </row>
    <row r="82" spans="1:18" ht="15.5" x14ac:dyDescent="0.35">
      <c r="A82" s="173" t="s">
        <v>579</v>
      </c>
      <c r="B82" s="193">
        <v>10905.823338211603</v>
      </c>
      <c r="C82" s="193">
        <v>6487.380638300725</v>
      </c>
      <c r="D82" s="193">
        <v>5401.951779250001</v>
      </c>
      <c r="E82" s="193">
        <v>5840.008520887608</v>
      </c>
      <c r="F82" s="193">
        <v>8621.1875639656246</v>
      </c>
      <c r="G82" s="193">
        <v>1303.132586210048</v>
      </c>
      <c r="H82" s="193">
        <v>1434.8290215175602</v>
      </c>
      <c r="I82" s="193">
        <v>1481.37870219</v>
      </c>
      <c r="J82" s="193">
        <v>1620.66821097</v>
      </c>
      <c r="K82" s="193">
        <v>1517.3869795000001</v>
      </c>
      <c r="L82" s="193">
        <v>1947.23996769</v>
      </c>
      <c r="M82" s="193">
        <v>2436.6075781666668</v>
      </c>
      <c r="N82" s="193">
        <v>2719.9530386089573</v>
      </c>
      <c r="O82" s="193">
        <v>2011.2532768599999</v>
      </c>
      <c r="P82" s="193">
        <v>2001.6389871400002</v>
      </c>
      <c r="Q82" s="193">
        <v>2032.9225107900002</v>
      </c>
      <c r="R82" s="193">
        <v>615.88932363544359</v>
      </c>
    </row>
    <row r="83" spans="1:18" ht="15.5" x14ac:dyDescent="0.35">
      <c r="A83" s="173" t="s">
        <v>580</v>
      </c>
      <c r="B83" s="193">
        <v>0</v>
      </c>
      <c r="C83" s="193">
        <v>0</v>
      </c>
      <c r="D83" s="193">
        <v>0</v>
      </c>
      <c r="E83" s="193">
        <v>0</v>
      </c>
      <c r="F83" s="193">
        <v>0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</row>
    <row r="84" spans="1:18" ht="15.5" x14ac:dyDescent="0.35">
      <c r="A84" s="17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</row>
    <row r="85" spans="1:18" ht="15.5" x14ac:dyDescent="0.35">
      <c r="A85" s="191" t="s">
        <v>581</v>
      </c>
      <c r="B85" s="192">
        <v>23939.188016767752</v>
      </c>
      <c r="C85" s="192">
        <v>25758.174370407694</v>
      </c>
      <c r="D85" s="192">
        <v>24294.280556375132</v>
      </c>
      <c r="E85" s="192">
        <v>25473.696554803104</v>
      </c>
      <c r="F85" s="192">
        <v>27644.478539862794</v>
      </c>
      <c r="G85" s="192">
        <v>6459.6999365325346</v>
      </c>
      <c r="H85" s="192">
        <v>6812.3948339176914</v>
      </c>
      <c r="I85" s="192">
        <v>6050.1414953155099</v>
      </c>
      <c r="J85" s="192">
        <v>6151.4602890373681</v>
      </c>
      <c r="K85" s="192">
        <v>6373.5921901323272</v>
      </c>
      <c r="L85" s="192">
        <v>7379.5692003649219</v>
      </c>
      <c r="M85" s="192">
        <v>6589.7044969347135</v>
      </c>
      <c r="N85" s="192">
        <v>7301.6126524308302</v>
      </c>
      <c r="O85" s="192">
        <v>6382.4685310220138</v>
      </c>
      <c r="P85" s="192">
        <v>7255.136156314029</v>
      </c>
      <c r="Q85" s="192">
        <v>6245.4321668213706</v>
      </c>
      <c r="R85" s="192">
        <v>2299.9074788225817</v>
      </c>
    </row>
    <row r="86" spans="1:18" ht="15.5" x14ac:dyDescent="0.35">
      <c r="A86" s="191" t="s">
        <v>634</v>
      </c>
      <c r="B86" s="192">
        <v>14459.97960144</v>
      </c>
      <c r="C86" s="192">
        <v>15588.282805327601</v>
      </c>
      <c r="D86" s="192">
        <v>14017.422286656596</v>
      </c>
      <c r="E86" s="192">
        <v>14078.288222827725</v>
      </c>
      <c r="F86" s="192">
        <v>15421.70355903262</v>
      </c>
      <c r="G86" s="192">
        <v>3517.4333283852634</v>
      </c>
      <c r="H86" s="192">
        <v>3927.9902993500027</v>
      </c>
      <c r="I86" s="192">
        <v>3345.6446380799998</v>
      </c>
      <c r="J86" s="192">
        <v>3287.2199570124599</v>
      </c>
      <c r="K86" s="192">
        <v>3544.3710385623276</v>
      </c>
      <c r="L86" s="192">
        <v>4021.1324057935717</v>
      </c>
      <c r="M86" s="192">
        <v>3614.5165933447129</v>
      </c>
      <c r="N86" s="192">
        <v>4241.6835213320064</v>
      </c>
      <c r="O86" s="192">
        <v>3482.0398795880128</v>
      </c>
      <c r="P86" s="192">
        <v>4216.9027729980116</v>
      </c>
      <c r="Q86" s="192">
        <v>3481.558461985509</v>
      </c>
      <c r="R86" s="192">
        <v>1144.9060156800001</v>
      </c>
    </row>
    <row r="87" spans="1:18" ht="15.5" x14ac:dyDescent="0.35">
      <c r="A87" s="173" t="s">
        <v>635</v>
      </c>
      <c r="B87" s="193">
        <v>4160.6971399999993</v>
      </c>
      <c r="C87" s="193">
        <v>4734.1578023776001</v>
      </c>
      <c r="D87" s="193">
        <v>3639.6663018751997</v>
      </c>
      <c r="E87" s="193">
        <v>3764.0296351000029</v>
      </c>
      <c r="F87" s="193">
        <v>4802.727469180003</v>
      </c>
      <c r="G87" s="193">
        <v>798.44045161999998</v>
      </c>
      <c r="H87" s="193">
        <v>1351.1090034800031</v>
      </c>
      <c r="I87" s="193">
        <v>886.8131800000001</v>
      </c>
      <c r="J87" s="193">
        <v>727.66699999999992</v>
      </c>
      <c r="K87" s="193">
        <v>897.68198400000051</v>
      </c>
      <c r="L87" s="193">
        <v>1477.8909671600002</v>
      </c>
      <c r="M87" s="193">
        <v>962.82886636000148</v>
      </c>
      <c r="N87" s="193">
        <v>1464.3256516600004</v>
      </c>
      <c r="O87" s="193">
        <v>864.09563161000187</v>
      </c>
      <c r="P87" s="193">
        <v>1679.9693376500022</v>
      </c>
      <c r="Q87" s="193">
        <v>901.13177830000097</v>
      </c>
      <c r="R87" s="193">
        <v>286.10510799999997</v>
      </c>
    </row>
    <row r="88" spans="1:18" ht="15.5" x14ac:dyDescent="0.35">
      <c r="A88" s="173" t="s">
        <v>636</v>
      </c>
      <c r="B88" s="193">
        <v>6375.6454099999992</v>
      </c>
      <c r="C88" s="193">
        <v>6352.3371999999999</v>
      </c>
      <c r="D88" s="193">
        <v>5399.6802469144613</v>
      </c>
      <c r="E88" s="193">
        <v>5978.8717814637239</v>
      </c>
      <c r="F88" s="193">
        <v>6383.9395783435175</v>
      </c>
      <c r="G88" s="193">
        <v>1526.6890023872638</v>
      </c>
      <c r="H88" s="193">
        <v>1446.422</v>
      </c>
      <c r="I88" s="193">
        <v>1476.616</v>
      </c>
      <c r="J88" s="193">
        <v>1529.1447790764601</v>
      </c>
      <c r="K88" s="193">
        <v>1595.3021647237833</v>
      </c>
      <c r="L88" s="193">
        <v>1510.1381687828455</v>
      </c>
      <c r="M88" s="193">
        <v>1602.9301908568821</v>
      </c>
      <c r="N88" s="193">
        <v>1675.5690539800064</v>
      </c>
      <c r="O88" s="193">
        <v>1623.0969709000096</v>
      </c>
      <c r="P88" s="193">
        <v>1560.7914722500093</v>
      </c>
      <c r="Q88" s="193">
        <v>1578.0745932500081</v>
      </c>
      <c r="R88" s="193">
        <v>532.98843599999998</v>
      </c>
    </row>
    <row r="89" spans="1:18" ht="15.5" x14ac:dyDescent="0.35">
      <c r="A89" s="173" t="s">
        <v>637</v>
      </c>
      <c r="B89" s="193">
        <v>803.20618000000013</v>
      </c>
      <c r="C89" s="193">
        <v>839.64319999999998</v>
      </c>
      <c r="D89" s="193">
        <v>789.61727587239693</v>
      </c>
      <c r="E89" s="193">
        <v>936.75001866999992</v>
      </c>
      <c r="F89" s="193">
        <v>978.21422045598024</v>
      </c>
      <c r="G89" s="193">
        <v>218.29320837</v>
      </c>
      <c r="H89" s="193">
        <v>226.76863999999998</v>
      </c>
      <c r="I89" s="193">
        <v>241.62492000000003</v>
      </c>
      <c r="J89" s="193">
        <v>250.06325029999999</v>
      </c>
      <c r="K89" s="193">
        <v>255.6584105</v>
      </c>
      <c r="L89" s="193">
        <v>242.83298891999999</v>
      </c>
      <c r="M89" s="193">
        <v>244.9666265059804</v>
      </c>
      <c r="N89" s="193">
        <v>234.75619452999996</v>
      </c>
      <c r="O89" s="193">
        <v>226.53224071</v>
      </c>
      <c r="P89" s="193">
        <v>225.26329605000001</v>
      </c>
      <c r="Q89" s="193">
        <v>227.43451002</v>
      </c>
      <c r="R89" s="193">
        <v>77.735662000000005</v>
      </c>
    </row>
    <row r="90" spans="1:18" ht="15.5" x14ac:dyDescent="0.35">
      <c r="A90" s="173" t="s">
        <v>638</v>
      </c>
      <c r="B90" s="193">
        <v>1357.12508144</v>
      </c>
      <c r="C90" s="193">
        <v>2025.7214029500001</v>
      </c>
      <c r="D90" s="193">
        <v>1632.6705756300003</v>
      </c>
      <c r="E90" s="193">
        <v>1467.9313182699998</v>
      </c>
      <c r="F90" s="193">
        <v>1560.8466276300001</v>
      </c>
      <c r="G90" s="193">
        <v>391.09075444000001</v>
      </c>
      <c r="H90" s="193">
        <v>340.62276587000002</v>
      </c>
      <c r="I90" s="193">
        <v>355.18807807999997</v>
      </c>
      <c r="J90" s="193">
        <v>381.02971988000002</v>
      </c>
      <c r="K90" s="193">
        <v>363.39703329999998</v>
      </c>
      <c r="L90" s="193">
        <v>378.52060465</v>
      </c>
      <c r="M90" s="193">
        <v>404.05712069999998</v>
      </c>
      <c r="N90" s="193">
        <v>414.87186898000004</v>
      </c>
      <c r="O90" s="193">
        <v>355.31015780000001</v>
      </c>
      <c r="P90" s="193">
        <v>352.43520309999997</v>
      </c>
      <c r="Q90" s="193">
        <v>370.63909164999995</v>
      </c>
      <c r="R90" s="193">
        <v>124.02365967999999</v>
      </c>
    </row>
    <row r="91" spans="1:18" ht="15.5" x14ac:dyDescent="0.35">
      <c r="A91" s="173" t="s">
        <v>639</v>
      </c>
      <c r="B91" s="193">
        <v>1763.3057899999999</v>
      </c>
      <c r="C91" s="193">
        <v>1636.4232</v>
      </c>
      <c r="D91" s="193">
        <v>2555.7878863645387</v>
      </c>
      <c r="E91" s="193">
        <v>1930.7054693239993</v>
      </c>
      <c r="F91" s="193">
        <v>1695.9756634231178</v>
      </c>
      <c r="G91" s="193">
        <v>582.91991156799941</v>
      </c>
      <c r="H91" s="193">
        <v>563.06788999999992</v>
      </c>
      <c r="I91" s="193">
        <v>385.40246000000002</v>
      </c>
      <c r="J91" s="193">
        <v>399.31520775600006</v>
      </c>
      <c r="K91" s="193">
        <v>432.3314460385435</v>
      </c>
      <c r="L91" s="193">
        <v>411.74967628072562</v>
      </c>
      <c r="M91" s="193">
        <v>399.73378892184883</v>
      </c>
      <c r="N91" s="193">
        <v>452.16075218199995</v>
      </c>
      <c r="O91" s="193">
        <v>413.004878568001</v>
      </c>
      <c r="P91" s="193">
        <v>398.44346394799976</v>
      </c>
      <c r="Q91" s="193">
        <v>404.27848876550001</v>
      </c>
      <c r="R91" s="193">
        <v>124.05315</v>
      </c>
    </row>
    <row r="92" spans="1:18" ht="15.5" x14ac:dyDescent="0.35">
      <c r="A92" s="191" t="s">
        <v>640</v>
      </c>
      <c r="B92" s="192">
        <v>4718.0825034171357</v>
      </c>
      <c r="C92" s="192">
        <v>5057.3083202633879</v>
      </c>
      <c r="D92" s="192">
        <v>4741.3607339549962</v>
      </c>
      <c r="E92" s="192">
        <v>5414.6435475517555</v>
      </c>
      <c r="F92" s="192">
        <v>5552.8021238154679</v>
      </c>
      <c r="G92" s="192">
        <v>1565.2929153242699</v>
      </c>
      <c r="H92" s="192">
        <v>1316.1474384574881</v>
      </c>
      <c r="I92" s="192">
        <v>1304.8845602152105</v>
      </c>
      <c r="J92" s="192">
        <v>1228.3186335547875</v>
      </c>
      <c r="K92" s="192">
        <v>1324.2227188100001</v>
      </c>
      <c r="L92" s="192">
        <v>1492.0381968799998</v>
      </c>
      <c r="M92" s="192">
        <v>1364.4389646</v>
      </c>
      <c r="N92" s="192">
        <v>1372.1022435254679</v>
      </c>
      <c r="O92" s="192">
        <v>1411.0517058400001</v>
      </c>
      <c r="P92" s="192">
        <v>1468.0873423500002</v>
      </c>
      <c r="Q92" s="192">
        <v>1397.6783873859065</v>
      </c>
      <c r="R92" s="192">
        <v>643.49771258718135</v>
      </c>
    </row>
    <row r="93" spans="1:18" ht="15.5" x14ac:dyDescent="0.35">
      <c r="A93" s="191" t="s">
        <v>641</v>
      </c>
      <c r="B93" s="192">
        <v>4761.1259119106162</v>
      </c>
      <c r="C93" s="192">
        <v>5112.5832448167048</v>
      </c>
      <c r="D93" s="192">
        <v>5535.4975357635421</v>
      </c>
      <c r="E93" s="192">
        <v>5980.7647844236217</v>
      </c>
      <c r="F93" s="192">
        <v>6669.9728570147063</v>
      </c>
      <c r="G93" s="192">
        <v>1376.9736928230011</v>
      </c>
      <c r="H93" s="192">
        <v>1568.2570961102001</v>
      </c>
      <c r="I93" s="192">
        <v>1399.6122970202994</v>
      </c>
      <c r="J93" s="192">
        <v>1635.9216984701206</v>
      </c>
      <c r="K93" s="192">
        <v>1504.99843276</v>
      </c>
      <c r="L93" s="192">
        <v>1866.3985976913509</v>
      </c>
      <c r="M93" s="192">
        <v>1610.7489389900004</v>
      </c>
      <c r="N93" s="192">
        <v>1687.826887573355</v>
      </c>
      <c r="O93" s="192">
        <v>1489.376945594001</v>
      </c>
      <c r="P93" s="192">
        <v>1570.1460409660172</v>
      </c>
      <c r="Q93" s="192">
        <v>1366.1953174499545</v>
      </c>
      <c r="R93" s="192">
        <v>511.50375055540013</v>
      </c>
    </row>
    <row r="94" spans="1:18" ht="15.5" x14ac:dyDescent="0.35">
      <c r="A94" s="194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</row>
    <row r="95" spans="1:18" ht="15.5" x14ac:dyDescent="0.35">
      <c r="A95" s="194" t="s">
        <v>642</v>
      </c>
      <c r="B95" s="192">
        <v>4187.0384517749999</v>
      </c>
      <c r="C95" s="192">
        <v>1076.1662789324814</v>
      </c>
      <c r="D95" s="192">
        <v>617.85250439160484</v>
      </c>
      <c r="E95" s="192">
        <v>2112.7878891533333</v>
      </c>
      <c r="F95" s="192">
        <v>2599.7432047559564</v>
      </c>
      <c r="G95" s="192">
        <v>650.7827238507482</v>
      </c>
      <c r="H95" s="192">
        <v>328.76376451228157</v>
      </c>
      <c r="I95" s="192">
        <v>408.10928400722634</v>
      </c>
      <c r="J95" s="192">
        <v>725.13211678307732</v>
      </c>
      <c r="K95" s="192">
        <v>1010.0032498397427</v>
      </c>
      <c r="L95" s="192">
        <v>747.20002749997116</v>
      </c>
      <c r="M95" s="192">
        <v>696.34619704520605</v>
      </c>
      <c r="N95" s="192">
        <v>146.19373037103651</v>
      </c>
      <c r="O95" s="192">
        <v>531.21511439485573</v>
      </c>
      <c r="P95" s="192">
        <v>679.38978249854449</v>
      </c>
      <c r="Q95" s="192">
        <v>806.06058366297225</v>
      </c>
      <c r="R95" s="192">
        <v>90.076670385539387</v>
      </c>
    </row>
    <row r="96" spans="1:18" ht="15.5" x14ac:dyDescent="0.35">
      <c r="A96" s="195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</row>
    <row r="97" spans="1:18" ht="15.5" x14ac:dyDescent="0.35">
      <c r="A97" s="191" t="s">
        <v>643</v>
      </c>
      <c r="B97" s="192">
        <v>44346.22905919949</v>
      </c>
      <c r="C97" s="192">
        <v>39261.722182660786</v>
      </c>
      <c r="D97" s="192">
        <v>37627.638736434223</v>
      </c>
      <c r="E97" s="192">
        <v>38079.470472848509</v>
      </c>
      <c r="F97" s="192">
        <v>40165.686173973751</v>
      </c>
      <c r="G97" s="192">
        <v>8971.5713865725065</v>
      </c>
      <c r="H97" s="192">
        <v>9003.0272706103842</v>
      </c>
      <c r="I97" s="192">
        <v>8691.7581028612512</v>
      </c>
      <c r="J97" s="192">
        <v>11413.113712804363</v>
      </c>
      <c r="K97" s="192">
        <v>8534.0676219446286</v>
      </c>
      <c r="L97" s="192">
        <v>9390.1754125121806</v>
      </c>
      <c r="M97" s="192">
        <v>10128.627241133667</v>
      </c>
      <c r="N97" s="192">
        <v>12112.81589838328</v>
      </c>
      <c r="O97" s="192">
        <v>8731.6000274116814</v>
      </c>
      <c r="P97" s="192">
        <v>9366.4403055025268</v>
      </c>
      <c r="Q97" s="192">
        <v>9589.7205687068217</v>
      </c>
      <c r="R97" s="192">
        <v>3018.7795194359733</v>
      </c>
    </row>
    <row r="98" spans="1:18" ht="15.5" x14ac:dyDescent="0.35">
      <c r="A98" s="195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</row>
    <row r="99" spans="1:18" ht="15.5" x14ac:dyDescent="0.35">
      <c r="A99" s="191" t="s">
        <v>644</v>
      </c>
      <c r="B99" s="192">
        <v>28991.849102829488</v>
      </c>
      <c r="C99" s="192">
        <v>27550.050353728613</v>
      </c>
      <c r="D99" s="192">
        <v>26603.70004121674</v>
      </c>
      <c r="E99" s="192">
        <v>28407.338956232154</v>
      </c>
      <c r="F99" s="192">
        <v>33032.34606206145</v>
      </c>
      <c r="G99" s="192">
        <v>6636.3158779406722</v>
      </c>
      <c r="H99" s="192">
        <v>6924.3269823710416</v>
      </c>
      <c r="I99" s="192">
        <v>6959.2169677685042</v>
      </c>
      <c r="J99" s="192">
        <v>7887.4791281519356</v>
      </c>
      <c r="K99" s="192">
        <v>7204.89752415571</v>
      </c>
      <c r="L99" s="192">
        <v>7934.2432276873242</v>
      </c>
      <c r="M99" s="192">
        <v>8486.2692697868588</v>
      </c>
      <c r="N99" s="192">
        <v>9406.9360404315521</v>
      </c>
      <c r="O99" s="192">
        <v>7688.0451997185928</v>
      </c>
      <c r="P99" s="192">
        <v>7847.5731801353868</v>
      </c>
      <c r="Q99" s="192">
        <v>8023.1876746815751</v>
      </c>
      <c r="R99" s="192">
        <v>2568.67110290751</v>
      </c>
    </row>
    <row r="100" spans="1:18" ht="15.5" x14ac:dyDescent="0.35">
      <c r="A100" s="173" t="s">
        <v>645</v>
      </c>
      <c r="B100" s="193">
        <v>1023.6058248961638</v>
      </c>
      <c r="C100" s="193">
        <v>1421.3185977360422</v>
      </c>
      <c r="D100" s="193">
        <v>1560.6673032167423</v>
      </c>
      <c r="E100" s="193">
        <v>2209.3889251326445</v>
      </c>
      <c r="F100" s="193">
        <v>2677.5033184177869</v>
      </c>
      <c r="G100" s="193">
        <v>574.40854330961747</v>
      </c>
      <c r="H100" s="193">
        <v>486.90405596224906</v>
      </c>
      <c r="I100" s="193">
        <v>588.97681347918979</v>
      </c>
      <c r="J100" s="193">
        <v>559.09951238158817</v>
      </c>
      <c r="K100" s="193">
        <v>578.40621040471751</v>
      </c>
      <c r="L100" s="193">
        <v>672.52987151709215</v>
      </c>
      <c r="M100" s="193">
        <v>705.77104605653631</v>
      </c>
      <c r="N100" s="193">
        <v>720.79619043944115</v>
      </c>
      <c r="O100" s="193">
        <v>685.38775390759076</v>
      </c>
      <c r="P100" s="193">
        <v>713.97029672517692</v>
      </c>
      <c r="Q100" s="193">
        <v>724.8241475752867</v>
      </c>
      <c r="R100" s="193">
        <v>214.34952236360004</v>
      </c>
    </row>
    <row r="101" spans="1:18" ht="15.5" x14ac:dyDescent="0.35">
      <c r="A101" s="173" t="s">
        <v>646</v>
      </c>
      <c r="B101" s="193">
        <v>828.52490517973661</v>
      </c>
      <c r="C101" s="193">
        <v>1143.3569607329716</v>
      </c>
      <c r="D101" s="193">
        <v>1334.8033731377286</v>
      </c>
      <c r="E101" s="193">
        <v>1850.3942976327401</v>
      </c>
      <c r="F101" s="193">
        <v>2306.203714696213</v>
      </c>
      <c r="G101" s="193">
        <v>506.75469073565546</v>
      </c>
      <c r="H101" s="193">
        <v>400.62933390590575</v>
      </c>
      <c r="I101" s="193">
        <v>473.27719489445258</v>
      </c>
      <c r="J101" s="193">
        <v>469.73307809672627</v>
      </c>
      <c r="K101" s="193">
        <v>472.30740418204243</v>
      </c>
      <c r="L101" s="193">
        <v>586.5903324549015</v>
      </c>
      <c r="M101" s="193">
        <v>609.26091135943807</v>
      </c>
      <c r="N101" s="193">
        <v>638.04506669983084</v>
      </c>
      <c r="O101" s="193">
        <v>613.23056962216697</v>
      </c>
      <c r="P101" s="193">
        <v>662.23704147137687</v>
      </c>
      <c r="Q101" s="193">
        <v>652.58872674288682</v>
      </c>
      <c r="R101" s="193">
        <v>198.04709022000003</v>
      </c>
    </row>
    <row r="102" spans="1:18" ht="15.5" x14ac:dyDescent="0.35">
      <c r="A102" s="173" t="s">
        <v>647</v>
      </c>
      <c r="B102" s="193">
        <v>195.08091971642722</v>
      </c>
      <c r="C102" s="193">
        <v>277.96163700307068</v>
      </c>
      <c r="D102" s="193">
        <v>225.86393007901358</v>
      </c>
      <c r="E102" s="193">
        <v>358.99462749990442</v>
      </c>
      <c r="F102" s="193">
        <v>371.29960372157427</v>
      </c>
      <c r="G102" s="193">
        <v>67.653852573962027</v>
      </c>
      <c r="H102" s="193">
        <v>86.274722056343336</v>
      </c>
      <c r="I102" s="193">
        <v>115.69961858473718</v>
      </c>
      <c r="J102" s="193">
        <v>89.366434284861882</v>
      </c>
      <c r="K102" s="193">
        <v>106.09880622267499</v>
      </c>
      <c r="L102" s="193">
        <v>85.939539062190661</v>
      </c>
      <c r="M102" s="193">
        <v>96.510134697098266</v>
      </c>
      <c r="N102" s="193">
        <v>82.751123739610307</v>
      </c>
      <c r="O102" s="193">
        <v>72.157184285423739</v>
      </c>
      <c r="P102" s="193">
        <v>51.73325525380006</v>
      </c>
      <c r="Q102" s="193">
        <v>72.235420832399996</v>
      </c>
      <c r="R102" s="193">
        <v>16.302432143600004</v>
      </c>
    </row>
    <row r="103" spans="1:18" ht="15.5" x14ac:dyDescent="0.35">
      <c r="A103" s="173" t="s">
        <v>648</v>
      </c>
      <c r="B103" s="193">
        <v>9478.3398585400209</v>
      </c>
      <c r="C103" s="193">
        <v>9903.8092511700015</v>
      </c>
      <c r="D103" s="193">
        <v>10013.763092139952</v>
      </c>
      <c r="E103" s="193">
        <v>10365.493469426892</v>
      </c>
      <c r="F103" s="193">
        <v>10672.073117349388</v>
      </c>
      <c r="G103" s="193">
        <v>2413.7979825010084</v>
      </c>
      <c r="H103" s="193">
        <v>2443.9354275512333</v>
      </c>
      <c r="I103" s="193">
        <v>2528.7665738743099</v>
      </c>
      <c r="J103" s="193">
        <v>2978.9934855003403</v>
      </c>
      <c r="K103" s="193">
        <v>2496.3492940359924</v>
      </c>
      <c r="L103" s="193">
        <v>2532.7551406102284</v>
      </c>
      <c r="M103" s="193">
        <v>2584.6790686753202</v>
      </c>
      <c r="N103" s="193">
        <v>3058.2896140278472</v>
      </c>
      <c r="O103" s="193">
        <v>2471.0888616710022</v>
      </c>
      <c r="P103" s="193">
        <v>2460.59570490022</v>
      </c>
      <c r="Q103" s="193">
        <v>2583.3908181252755</v>
      </c>
      <c r="R103" s="193">
        <v>843.79705293507845</v>
      </c>
    </row>
    <row r="104" spans="1:18" ht="15.5" x14ac:dyDescent="0.35">
      <c r="A104" s="173" t="s">
        <v>649</v>
      </c>
      <c r="B104" s="193">
        <v>5327.6690785273904</v>
      </c>
      <c r="C104" s="193">
        <v>5112.2977442299998</v>
      </c>
      <c r="D104" s="193">
        <v>4683.8698802000454</v>
      </c>
      <c r="E104" s="193">
        <v>5056.0498900450093</v>
      </c>
      <c r="F104" s="193">
        <v>6183.0572333425116</v>
      </c>
      <c r="G104" s="193">
        <v>1059.4262199899981</v>
      </c>
      <c r="H104" s="193">
        <v>1342.1306572899994</v>
      </c>
      <c r="I104" s="193">
        <v>1198.5919570750045</v>
      </c>
      <c r="J104" s="193">
        <v>1455.9010556900075</v>
      </c>
      <c r="K104" s="193">
        <v>1051.0437504050005</v>
      </c>
      <c r="L104" s="193">
        <v>1522.8893206200046</v>
      </c>
      <c r="M104" s="193">
        <v>1667.8345581850017</v>
      </c>
      <c r="N104" s="193">
        <v>1941.2896041325048</v>
      </c>
      <c r="O104" s="193">
        <v>1057.2586153199991</v>
      </c>
      <c r="P104" s="193">
        <v>1408.1322264599899</v>
      </c>
      <c r="Q104" s="193">
        <v>1221.5308426610134</v>
      </c>
      <c r="R104" s="193">
        <v>436.88136112500229</v>
      </c>
    </row>
    <row r="105" spans="1:18" ht="15.5" x14ac:dyDescent="0.35">
      <c r="A105" s="196" t="s">
        <v>650</v>
      </c>
      <c r="B105" s="193">
        <v>3665.1671420000002</v>
      </c>
      <c r="C105" s="193">
        <v>4222.1795824700002</v>
      </c>
      <c r="D105" s="193">
        <v>4654.5492032400007</v>
      </c>
      <c r="E105" s="193">
        <v>4999.2525218499995</v>
      </c>
      <c r="F105" s="193">
        <v>5382.3142519399998</v>
      </c>
      <c r="G105" s="193">
        <v>1182.2825846599999</v>
      </c>
      <c r="H105" s="193">
        <v>1171.3930440600002</v>
      </c>
      <c r="I105" s="193">
        <v>1257.3708131000001</v>
      </c>
      <c r="J105" s="193">
        <v>1388.2060800300001</v>
      </c>
      <c r="K105" s="193">
        <v>1238.68541774</v>
      </c>
      <c r="L105" s="193">
        <v>1300.90688155</v>
      </c>
      <c r="M105" s="193">
        <v>1336.2452276700001</v>
      </c>
      <c r="N105" s="193">
        <v>1506.47672498</v>
      </c>
      <c r="O105" s="193">
        <v>1411.70986973</v>
      </c>
      <c r="P105" s="193">
        <v>1309.7835960900002</v>
      </c>
      <c r="Q105" s="193">
        <v>1423.7490983300002</v>
      </c>
      <c r="R105" s="193">
        <v>442.88936799999993</v>
      </c>
    </row>
    <row r="106" spans="1:18" ht="15.5" x14ac:dyDescent="0.35">
      <c r="A106" s="173" t="s">
        <v>651</v>
      </c>
      <c r="B106" s="193">
        <v>9497.0671988659142</v>
      </c>
      <c r="C106" s="193">
        <v>6890.4451781225653</v>
      </c>
      <c r="D106" s="193">
        <v>5690.8505624199988</v>
      </c>
      <c r="E106" s="193">
        <v>5777.1541497776079</v>
      </c>
      <c r="F106" s="193">
        <v>8117.3981410117594</v>
      </c>
      <c r="G106" s="193">
        <v>1406.4005474800479</v>
      </c>
      <c r="H106" s="193">
        <v>1479.9637975075598</v>
      </c>
      <c r="I106" s="193">
        <v>1385.5108102400002</v>
      </c>
      <c r="J106" s="193">
        <v>1505.2789945499999</v>
      </c>
      <c r="K106" s="193">
        <v>1840.4128515699999</v>
      </c>
      <c r="L106" s="193">
        <v>1905.1620133900001</v>
      </c>
      <c r="M106" s="193">
        <v>2191.7393691999996</v>
      </c>
      <c r="N106" s="193">
        <v>2180.0839068517598</v>
      </c>
      <c r="O106" s="193">
        <v>2062.6000990900002</v>
      </c>
      <c r="P106" s="193">
        <v>1955.0913559599999</v>
      </c>
      <c r="Q106" s="193">
        <v>2069.6927679899995</v>
      </c>
      <c r="R106" s="193">
        <v>630.75379848382931</v>
      </c>
    </row>
    <row r="107" spans="1:18" ht="15.5" x14ac:dyDescent="0.35">
      <c r="A107" s="196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</row>
    <row r="108" spans="1:18" ht="15.5" x14ac:dyDescent="0.35">
      <c r="A108" s="191" t="s">
        <v>652</v>
      </c>
      <c r="B108" s="192">
        <v>15354.379956370001</v>
      </c>
      <c r="C108" s="192">
        <v>11711.671828932176</v>
      </c>
      <c r="D108" s="192">
        <v>11023.938695217472</v>
      </c>
      <c r="E108" s="192">
        <v>9672.1315166163513</v>
      </c>
      <c r="F108" s="192">
        <v>7133.34011191231</v>
      </c>
      <c r="G108" s="192">
        <v>2335.2555086318357</v>
      </c>
      <c r="H108" s="192">
        <v>2078.7002882393426</v>
      </c>
      <c r="I108" s="192">
        <v>1732.5411350927475</v>
      </c>
      <c r="J108" s="192">
        <v>3525.6345846524264</v>
      </c>
      <c r="K108" s="192">
        <v>1329.1700977889186</v>
      </c>
      <c r="L108" s="192">
        <v>1455.9321848248551</v>
      </c>
      <c r="M108" s="192">
        <v>1642.3579713468075</v>
      </c>
      <c r="N108" s="192">
        <v>2705.8798579517284</v>
      </c>
      <c r="O108" s="192">
        <v>1043.5548276930883</v>
      </c>
      <c r="P108" s="192">
        <v>1518.8671253671396</v>
      </c>
      <c r="Q108" s="192">
        <v>1566.5328940252455</v>
      </c>
      <c r="R108" s="192">
        <v>450.10841652846352</v>
      </c>
    </row>
    <row r="109" spans="1:18" ht="15.5" x14ac:dyDescent="0.35">
      <c r="A109" s="191" t="s">
        <v>653</v>
      </c>
      <c r="B109" s="192">
        <v>13979.657159570001</v>
      </c>
      <c r="C109" s="192">
        <v>10178.401828932176</v>
      </c>
      <c r="D109" s="192">
        <v>10292.912240787475</v>
      </c>
      <c r="E109" s="192">
        <v>8648.0640245399991</v>
      </c>
      <c r="F109" s="192">
        <v>6455.5372949102011</v>
      </c>
      <c r="G109" s="192">
        <v>2048.9853540318354</v>
      </c>
      <c r="H109" s="192">
        <v>1830.0552551593426</v>
      </c>
      <c r="I109" s="192">
        <v>1467.9093909227474</v>
      </c>
      <c r="J109" s="192">
        <v>3301.1140244260741</v>
      </c>
      <c r="K109" s="192">
        <v>1188.9900977889188</v>
      </c>
      <c r="L109" s="192">
        <v>1258.7921848248552</v>
      </c>
      <c r="M109" s="192">
        <v>1425.4108211046994</v>
      </c>
      <c r="N109" s="192">
        <v>2582.344191191728</v>
      </c>
      <c r="O109" s="192">
        <v>941.34066285308813</v>
      </c>
      <c r="P109" s="192">
        <v>1294.6917348671398</v>
      </c>
      <c r="Q109" s="192">
        <v>1369.6993683152455</v>
      </c>
      <c r="R109" s="192">
        <v>359.85389261846353</v>
      </c>
    </row>
    <row r="110" spans="1:18" ht="15.5" x14ac:dyDescent="0.35">
      <c r="A110" s="173" t="s">
        <v>654</v>
      </c>
      <c r="B110" s="193">
        <v>8289.5297185500021</v>
      </c>
      <c r="C110" s="193">
        <v>5532.0875562979591</v>
      </c>
      <c r="D110" s="193">
        <v>6104.7526720850001</v>
      </c>
      <c r="E110" s="193">
        <v>5086.2358064600003</v>
      </c>
      <c r="F110" s="193">
        <v>3243.3770139900007</v>
      </c>
      <c r="G110" s="193">
        <v>1260.5184133300004</v>
      </c>
      <c r="H110" s="193">
        <v>1006.3455280799999</v>
      </c>
      <c r="I110" s="193">
        <v>628.67487703999996</v>
      </c>
      <c r="J110" s="193">
        <v>2190.69698801</v>
      </c>
      <c r="K110" s="193">
        <v>521.01040804000002</v>
      </c>
      <c r="L110" s="193">
        <v>512.08928418000028</v>
      </c>
      <c r="M110" s="193">
        <v>652.44505699000092</v>
      </c>
      <c r="N110" s="193">
        <v>1557.8322647799994</v>
      </c>
      <c r="O110" s="193">
        <v>118.03603857000004</v>
      </c>
      <c r="P110" s="193">
        <v>492.15804472999992</v>
      </c>
      <c r="Q110" s="193">
        <v>643.31740393999939</v>
      </c>
      <c r="R110" s="193">
        <v>110.80340688000005</v>
      </c>
    </row>
    <row r="111" spans="1:18" ht="15.5" x14ac:dyDescent="0.35">
      <c r="A111" s="196" t="s">
        <v>655</v>
      </c>
      <c r="B111" s="193">
        <v>1471.7933604000002</v>
      </c>
      <c r="C111" s="193">
        <v>1518.2257050100002</v>
      </c>
      <c r="D111" s="193">
        <v>1654.9119466983557</v>
      </c>
      <c r="E111" s="193">
        <v>1691.6104704099998</v>
      </c>
      <c r="F111" s="193">
        <v>1423.6989201900001</v>
      </c>
      <c r="G111" s="193">
        <v>347.81788382999991</v>
      </c>
      <c r="H111" s="193">
        <v>415.97536698000005</v>
      </c>
      <c r="I111" s="193">
        <v>376.91606992999994</v>
      </c>
      <c r="J111" s="193">
        <v>550.90114967</v>
      </c>
      <c r="K111" s="193">
        <v>283.95452667000001</v>
      </c>
      <c r="L111" s="193">
        <v>321.29605253000005</v>
      </c>
      <c r="M111" s="193">
        <v>372.86877562000001</v>
      </c>
      <c r="N111" s="193">
        <v>445.57956537000007</v>
      </c>
      <c r="O111" s="193">
        <v>382.53905454</v>
      </c>
      <c r="P111" s="193">
        <v>317.79102351999995</v>
      </c>
      <c r="Q111" s="193">
        <v>252.61682436000001</v>
      </c>
      <c r="R111" s="193">
        <v>93.052928909999963</v>
      </c>
    </row>
    <row r="112" spans="1:18" ht="15.5" x14ac:dyDescent="0.35">
      <c r="A112" s="173" t="s">
        <v>656</v>
      </c>
      <c r="B112" s="193">
        <v>4218.3340806199994</v>
      </c>
      <c r="C112" s="193">
        <v>3128.0885676242151</v>
      </c>
      <c r="D112" s="193">
        <v>2533.2476220041176</v>
      </c>
      <c r="E112" s="193">
        <v>1870.2177476700001</v>
      </c>
      <c r="F112" s="193">
        <v>1788.4613607302008</v>
      </c>
      <c r="G112" s="193">
        <v>440.64905687183511</v>
      </c>
      <c r="H112" s="193">
        <v>407.73436009934272</v>
      </c>
      <c r="I112" s="193">
        <v>462.31844395274766</v>
      </c>
      <c r="J112" s="193">
        <v>559.51588674607456</v>
      </c>
      <c r="K112" s="193">
        <v>384.02516307891881</v>
      </c>
      <c r="L112" s="193">
        <v>425.40684811485494</v>
      </c>
      <c r="M112" s="193">
        <v>400.09698849469862</v>
      </c>
      <c r="N112" s="193">
        <v>578.93236104172843</v>
      </c>
      <c r="O112" s="193">
        <v>440.76556974308801</v>
      </c>
      <c r="P112" s="193">
        <v>484.74266661713995</v>
      </c>
      <c r="Q112" s="193">
        <v>473.76514001524629</v>
      </c>
      <c r="R112" s="193">
        <v>155.99755682846353</v>
      </c>
    </row>
    <row r="113" spans="1:18" ht="15.5" x14ac:dyDescent="0.35">
      <c r="A113" s="191" t="s">
        <v>657</v>
      </c>
      <c r="B113" s="192">
        <v>1374.7227968000002</v>
      </c>
      <c r="C113" s="192">
        <v>1533.27</v>
      </c>
      <c r="D113" s="192">
        <v>731.02645443000006</v>
      </c>
      <c r="E113" s="192">
        <v>1024.0674920763527</v>
      </c>
      <c r="F113" s="192">
        <v>677.80281700210833</v>
      </c>
      <c r="G113" s="192">
        <v>286.27015460000007</v>
      </c>
      <c r="H113" s="192">
        <v>248.64503308000016</v>
      </c>
      <c r="I113" s="192">
        <v>264.63174417000016</v>
      </c>
      <c r="J113" s="192">
        <v>224.5205602263523</v>
      </c>
      <c r="K113" s="192">
        <v>140.17999999999995</v>
      </c>
      <c r="L113" s="192">
        <v>197.14</v>
      </c>
      <c r="M113" s="192">
        <v>216.94715024210802</v>
      </c>
      <c r="N113" s="192">
        <v>123.53566676000034</v>
      </c>
      <c r="O113" s="192">
        <v>102.21416484000017</v>
      </c>
      <c r="P113" s="192">
        <v>224.17539049999991</v>
      </c>
      <c r="Q113" s="192">
        <v>196.83352570999978</v>
      </c>
      <c r="R113" s="192">
        <v>90.254523909999989</v>
      </c>
    </row>
    <row r="114" spans="1:18" ht="15.5" x14ac:dyDescent="0.35">
      <c r="A114" s="196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</row>
    <row r="115" spans="1:18" ht="15.5" x14ac:dyDescent="0.35">
      <c r="A115" s="191" t="s">
        <v>658</v>
      </c>
      <c r="B115" s="192">
        <v>-5314.1792524451448</v>
      </c>
      <c r="C115" s="192">
        <v>-5940.0008950198826</v>
      </c>
      <c r="D115" s="192">
        <v>-7313.5538964174757</v>
      </c>
      <c r="E115" s="192">
        <v>-4652.9775080044601</v>
      </c>
      <c r="F115" s="192">
        <v>-1300.2768653893841</v>
      </c>
      <c r="G115" s="192">
        <v>-557.95613997917735</v>
      </c>
      <c r="H115" s="192">
        <v>-427.03965066285127</v>
      </c>
      <c r="I115" s="192">
        <v>-752.12862134851503</v>
      </c>
      <c r="J115" s="192">
        <v>-2915.8530960139165</v>
      </c>
      <c r="K115" s="192">
        <v>366.9147975274409</v>
      </c>
      <c r="L115" s="192">
        <v>683.83378304271309</v>
      </c>
      <c r="M115" s="192">
        <v>-405.9689689870811</v>
      </c>
      <c r="N115" s="192">
        <v>-1945.0564769724569</v>
      </c>
      <c r="O115" s="192">
        <v>193.3368948651887</v>
      </c>
      <c r="P115" s="192">
        <v>569.72462045004613</v>
      </c>
      <c r="Q115" s="192">
        <v>-505.30530743247891</v>
      </c>
      <c r="R115" s="192">
        <v>-12.906046592408984</v>
      </c>
    </row>
    <row r="116" spans="1:18" ht="15.5" x14ac:dyDescent="0.35">
      <c r="A116" s="191"/>
      <c r="B116" s="192"/>
      <c r="C116" s="192"/>
      <c r="D116" s="192"/>
      <c r="E116" s="38"/>
      <c r="F116" s="192"/>
      <c r="G116" s="192"/>
      <c r="H116" s="192"/>
      <c r="I116" s="192"/>
      <c r="J116" s="192"/>
      <c r="K116" s="192"/>
      <c r="L116" s="192"/>
      <c r="M116" s="192"/>
      <c r="N116" s="192"/>
      <c r="O116" s="38"/>
      <c r="P116" s="38"/>
      <c r="Q116" s="38"/>
      <c r="R116" s="38"/>
    </row>
    <row r="117" spans="1:18" ht="15.5" x14ac:dyDescent="0.35">
      <c r="A117" s="191" t="s">
        <v>659</v>
      </c>
      <c r="B117" s="192">
        <v>-4290.5734275489749</v>
      </c>
      <c r="C117" s="192">
        <v>-4518.6822972838399</v>
      </c>
      <c r="D117" s="192">
        <v>-5752.8865932007338</v>
      </c>
      <c r="E117" s="192">
        <v>-2443.588582871816</v>
      </c>
      <c r="F117" s="192">
        <v>1377.2264530284028</v>
      </c>
      <c r="G117" s="192">
        <v>16.45240333044012</v>
      </c>
      <c r="H117" s="192">
        <v>59.864405299397788</v>
      </c>
      <c r="I117" s="192">
        <v>-163.1518078693253</v>
      </c>
      <c r="J117" s="192">
        <v>-2356.7535836323286</v>
      </c>
      <c r="K117" s="192">
        <v>945.3210079321583</v>
      </c>
      <c r="L117" s="192">
        <v>1356.3636545598054</v>
      </c>
      <c r="M117" s="192">
        <v>299.80207706945527</v>
      </c>
      <c r="N117" s="192">
        <v>-1224.2602865330159</v>
      </c>
      <c r="O117" s="192">
        <v>878.72464877277935</v>
      </c>
      <c r="P117" s="192">
        <v>1283.6949171752231</v>
      </c>
      <c r="Q117" s="192">
        <v>219.51884014280779</v>
      </c>
      <c r="R117" s="192">
        <v>201.44347577119106</v>
      </c>
    </row>
    <row r="118" spans="1:18" ht="15.5" x14ac:dyDescent="0.35">
      <c r="A118" s="197"/>
      <c r="B118" s="198"/>
      <c r="C118" s="198"/>
      <c r="D118" s="198"/>
      <c r="E118" s="198"/>
      <c r="F118" s="198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</row>
    <row r="119" spans="1:18" x14ac:dyDescent="0.35">
      <c r="A119" s="200" t="s">
        <v>660</v>
      </c>
      <c r="B119" s="201"/>
      <c r="C119" s="201"/>
      <c r="D119" s="201"/>
      <c r="E119" s="201"/>
      <c r="F119" s="201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</row>
    <row r="120" spans="1:18" x14ac:dyDescent="0.35">
      <c r="A120" s="200" t="s">
        <v>661</v>
      </c>
      <c r="B120" s="201"/>
      <c r="C120" s="201"/>
      <c r="D120" s="201"/>
      <c r="E120" s="201"/>
      <c r="F120" s="201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</row>
    <row r="121" spans="1:18" x14ac:dyDescent="0.35">
      <c r="A121" s="200" t="s">
        <v>662</v>
      </c>
      <c r="B121" s="201"/>
      <c r="C121" s="201"/>
      <c r="D121" s="201"/>
      <c r="E121" s="201"/>
      <c r="F121" s="201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</row>
    <row r="122" spans="1:18" ht="15.5" x14ac:dyDescent="0.35">
      <c r="A122" s="80" t="s">
        <v>663</v>
      </c>
      <c r="B122" s="201"/>
      <c r="C122" s="201"/>
      <c r="D122" s="201"/>
      <c r="E122" s="201"/>
      <c r="F122" s="201"/>
      <c r="G122" s="202"/>
      <c r="H122" s="202"/>
      <c r="I122" s="202"/>
      <c r="J122" s="202"/>
      <c r="K122" s="202"/>
      <c r="L122" s="202"/>
      <c r="M122" s="202"/>
      <c r="N122" s="202"/>
      <c r="O122" s="203"/>
      <c r="P122" s="203"/>
      <c r="Q122" s="203"/>
      <c r="R122" s="203"/>
    </row>
    <row r="123" spans="1:18" ht="15.5" x14ac:dyDescent="0.35">
      <c r="A123" s="200" t="s">
        <v>664</v>
      </c>
      <c r="B123" s="201"/>
      <c r="C123" s="201"/>
      <c r="D123" s="201"/>
      <c r="E123" s="201"/>
      <c r="F123" s="201"/>
      <c r="G123" s="202"/>
      <c r="H123" s="202"/>
      <c r="I123" s="202"/>
      <c r="J123" s="202"/>
      <c r="K123" s="202"/>
      <c r="L123" s="202"/>
      <c r="M123" s="202"/>
      <c r="N123" s="202"/>
      <c r="O123" s="203"/>
      <c r="P123" s="203"/>
      <c r="Q123" s="203"/>
      <c r="R123" s="203"/>
    </row>
    <row r="124" spans="1:18" ht="15.5" x14ac:dyDescent="0.35">
      <c r="A124" s="204" t="s">
        <v>665</v>
      </c>
      <c r="B124" s="205"/>
      <c r="C124" s="205"/>
      <c r="D124" s="205"/>
      <c r="E124" s="205"/>
      <c r="F124" s="205"/>
      <c r="G124" s="202"/>
      <c r="H124" s="202"/>
      <c r="I124" s="202"/>
      <c r="J124" s="202"/>
      <c r="K124" s="202"/>
      <c r="L124" s="202"/>
      <c r="M124" s="202"/>
      <c r="N124" s="202"/>
      <c r="O124" s="203"/>
      <c r="P124" s="203"/>
      <c r="Q124" s="203"/>
      <c r="R124" s="203"/>
    </row>
  </sheetData>
  <mergeCells count="22">
    <mergeCell ref="AX5:BI5"/>
    <mergeCell ref="A5:A6"/>
    <mergeCell ref="B5:M5"/>
    <mergeCell ref="N5:Y5"/>
    <mergeCell ref="Z5:AK5"/>
    <mergeCell ref="AL5:AW5"/>
    <mergeCell ref="A76:A77"/>
    <mergeCell ref="B76:F76"/>
    <mergeCell ref="G76:Q76"/>
    <mergeCell ref="GX5:HI5"/>
    <mergeCell ref="ED5:EO5"/>
    <mergeCell ref="EP5:FA5"/>
    <mergeCell ref="FB5:FM5"/>
    <mergeCell ref="FN5:FY5"/>
    <mergeCell ref="FZ5:GK5"/>
    <mergeCell ref="GL5:GW5"/>
    <mergeCell ref="BJ5:BU5"/>
    <mergeCell ref="BV5:CG5"/>
    <mergeCell ref="CH5:CS5"/>
    <mergeCell ref="CT5:DE5"/>
    <mergeCell ref="DF5:DQ5"/>
    <mergeCell ref="DR5:EC5"/>
  </mergeCells>
  <hyperlinks>
    <hyperlink ref="A4" location="Indice!A1" display="Regresar" xr:uid="{3D1DC080-FF83-4880-B403-0FF7E3502C55}"/>
  </hyperlinks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6"/>
  <sheetViews>
    <sheetView workbookViewId="0">
      <selection activeCell="B2" sqref="B2:B217"/>
    </sheetView>
  </sheetViews>
  <sheetFormatPr defaultRowHeight="14.5" x14ac:dyDescent="0.35"/>
  <sheetData>
    <row r="1" spans="1:2" x14ac:dyDescent="0.35">
      <c r="B1" t="s">
        <v>503</v>
      </c>
    </row>
    <row r="2" spans="1:2" x14ac:dyDescent="0.35">
      <c r="A2" s="61">
        <v>36526</v>
      </c>
      <c r="B2" s="76">
        <v>28.343358953839608</v>
      </c>
    </row>
    <row r="3" spans="1:2" x14ac:dyDescent="0.35">
      <c r="A3" s="61">
        <v>36557</v>
      </c>
      <c r="B3" s="76">
        <v>22.008969389999997</v>
      </c>
    </row>
    <row r="4" spans="1:2" x14ac:dyDescent="0.35">
      <c r="A4" s="61">
        <v>36586</v>
      </c>
      <c r="B4" s="76">
        <v>26.232688320000001</v>
      </c>
    </row>
    <row r="5" spans="1:2" x14ac:dyDescent="0.35">
      <c r="A5" s="61">
        <v>36617</v>
      </c>
      <c r="B5" s="76">
        <v>20.681452999999998</v>
      </c>
    </row>
    <row r="6" spans="1:2" x14ac:dyDescent="0.35">
      <c r="A6" s="61">
        <v>36647</v>
      </c>
      <c r="B6" s="76">
        <v>28.204444350000003</v>
      </c>
    </row>
    <row r="7" spans="1:2" x14ac:dyDescent="0.35">
      <c r="A7" s="61">
        <v>36678</v>
      </c>
      <c r="B7" s="76">
        <v>34.471105850000001</v>
      </c>
    </row>
    <row r="8" spans="1:2" x14ac:dyDescent="0.35">
      <c r="A8" s="61">
        <v>36708</v>
      </c>
      <c r="B8" s="76">
        <v>34.365728179999998</v>
      </c>
    </row>
    <row r="9" spans="1:2" x14ac:dyDescent="0.35">
      <c r="A9" s="61">
        <v>36739</v>
      </c>
      <c r="B9" s="76">
        <v>34.603116110000002</v>
      </c>
    </row>
    <row r="10" spans="1:2" x14ac:dyDescent="0.35">
      <c r="A10" s="61">
        <v>36770</v>
      </c>
      <c r="B10" s="76">
        <v>34.60641553</v>
      </c>
    </row>
    <row r="11" spans="1:2" x14ac:dyDescent="0.35">
      <c r="A11" s="61">
        <v>36800</v>
      </c>
      <c r="B11" s="76">
        <v>48.396680000000003</v>
      </c>
    </row>
    <row r="12" spans="1:2" x14ac:dyDescent="0.35">
      <c r="A12" s="61">
        <v>36831</v>
      </c>
      <c r="B12" s="76">
        <v>44.926558464047631</v>
      </c>
    </row>
    <row r="13" spans="1:2" x14ac:dyDescent="0.35">
      <c r="A13" s="61">
        <v>36861</v>
      </c>
      <c r="B13" s="76">
        <v>53.045542614842219</v>
      </c>
    </row>
    <row r="14" spans="1:2" x14ac:dyDescent="0.35">
      <c r="A14" s="61">
        <v>36892</v>
      </c>
      <c r="B14" s="76">
        <v>29.131584834916261</v>
      </c>
    </row>
    <row r="15" spans="1:2" x14ac:dyDescent="0.35">
      <c r="A15" s="61">
        <v>36923</v>
      </c>
      <c r="B15" s="76">
        <v>41.538916488488965</v>
      </c>
    </row>
    <row r="16" spans="1:2" x14ac:dyDescent="0.35">
      <c r="A16" s="61">
        <v>36951</v>
      </c>
      <c r="B16" s="76">
        <v>42.858999999999995</v>
      </c>
    </row>
    <row r="17" spans="1:2" x14ac:dyDescent="0.35">
      <c r="A17" s="61">
        <v>36982</v>
      </c>
      <c r="B17" s="76">
        <v>50.266170879701285</v>
      </c>
    </row>
    <row r="18" spans="1:2" x14ac:dyDescent="0.35">
      <c r="A18" s="61">
        <v>37012</v>
      </c>
      <c r="B18" s="76">
        <v>64.180000000000007</v>
      </c>
    </row>
    <row r="19" spans="1:2" x14ac:dyDescent="0.35">
      <c r="A19" s="61">
        <v>37043</v>
      </c>
      <c r="B19" s="76">
        <v>42.927</v>
      </c>
    </row>
    <row r="20" spans="1:2" x14ac:dyDescent="0.35">
      <c r="A20" s="61">
        <v>37073</v>
      </c>
      <c r="B20" s="76">
        <v>49.683999999999997</v>
      </c>
    </row>
    <row r="21" spans="1:2" x14ac:dyDescent="0.35">
      <c r="A21" s="61">
        <v>37104</v>
      </c>
      <c r="B21" s="76">
        <v>64.552999999999997</v>
      </c>
    </row>
    <row r="22" spans="1:2" x14ac:dyDescent="0.35">
      <c r="A22" s="61">
        <v>37135</v>
      </c>
      <c r="B22" s="76">
        <v>35.836500000000001</v>
      </c>
    </row>
    <row r="23" spans="1:2" x14ac:dyDescent="0.35">
      <c r="A23" s="61">
        <v>37165</v>
      </c>
      <c r="B23" s="76">
        <v>53.017600000000002</v>
      </c>
    </row>
    <row r="24" spans="1:2" x14ac:dyDescent="0.35">
      <c r="A24" s="61">
        <v>37196</v>
      </c>
      <c r="B24" s="76">
        <v>46.545900000000003</v>
      </c>
    </row>
    <row r="25" spans="1:2" x14ac:dyDescent="0.35">
      <c r="A25" s="61">
        <v>37226</v>
      </c>
      <c r="B25" s="76">
        <v>60.486000000000004</v>
      </c>
    </row>
    <row r="26" spans="1:2" x14ac:dyDescent="0.35">
      <c r="A26" s="61">
        <v>37257</v>
      </c>
      <c r="B26" s="76">
        <v>73.369</v>
      </c>
    </row>
    <row r="27" spans="1:2" x14ac:dyDescent="0.35">
      <c r="A27" s="61">
        <v>37288</v>
      </c>
      <c r="B27" s="76">
        <v>74.676000000000002</v>
      </c>
    </row>
    <row r="28" spans="1:2" x14ac:dyDescent="0.35">
      <c r="A28" s="61">
        <v>37316</v>
      </c>
      <c r="B28" s="76">
        <v>80.866562000000002</v>
      </c>
    </row>
    <row r="29" spans="1:2" x14ac:dyDescent="0.35">
      <c r="A29" s="61">
        <v>37347</v>
      </c>
      <c r="B29" s="76">
        <v>81.277000000000001</v>
      </c>
    </row>
    <row r="30" spans="1:2" x14ac:dyDescent="0.35">
      <c r="A30" s="61">
        <v>37377</v>
      </c>
      <c r="B30" s="76">
        <v>78.881867999999997</v>
      </c>
    </row>
    <row r="31" spans="1:2" x14ac:dyDescent="0.35">
      <c r="A31" s="61">
        <v>37408</v>
      </c>
      <c r="B31" s="76">
        <v>69.402141</v>
      </c>
    </row>
    <row r="32" spans="1:2" x14ac:dyDescent="0.35">
      <c r="A32" s="61">
        <v>37438</v>
      </c>
      <c r="B32" s="76">
        <v>71.947000000000003</v>
      </c>
    </row>
    <row r="33" spans="1:2" x14ac:dyDescent="0.35">
      <c r="A33" s="61">
        <v>37469</v>
      </c>
      <c r="B33" s="76">
        <v>80.447000000000003</v>
      </c>
    </row>
    <row r="34" spans="1:2" x14ac:dyDescent="0.35">
      <c r="A34" s="61">
        <v>37500</v>
      </c>
      <c r="B34" s="76">
        <v>70.585000000000008</v>
      </c>
    </row>
    <row r="35" spans="1:2" x14ac:dyDescent="0.35">
      <c r="A35" s="61">
        <v>37530</v>
      </c>
      <c r="B35" s="76">
        <v>66.878983296320854</v>
      </c>
    </row>
    <row r="36" spans="1:2" x14ac:dyDescent="0.35">
      <c r="A36" s="61">
        <v>37561</v>
      </c>
      <c r="B36" s="76">
        <v>72.848983296320853</v>
      </c>
    </row>
    <row r="37" spans="1:2" x14ac:dyDescent="0.35">
      <c r="A37" s="61">
        <v>37591</v>
      </c>
      <c r="B37" s="76">
        <v>79.55151954022989</v>
      </c>
    </row>
    <row r="38" spans="1:2" x14ac:dyDescent="0.35">
      <c r="A38" s="61">
        <v>37622</v>
      </c>
      <c r="B38" s="76">
        <v>52.999999999999993</v>
      </c>
    </row>
    <row r="39" spans="1:2" x14ac:dyDescent="0.35">
      <c r="A39" s="61">
        <v>37653</v>
      </c>
      <c r="B39" s="76">
        <v>61.6</v>
      </c>
    </row>
    <row r="40" spans="1:2" x14ac:dyDescent="0.35">
      <c r="A40" s="61">
        <v>37681</v>
      </c>
      <c r="B40" s="76">
        <v>67.975173500143967</v>
      </c>
    </row>
    <row r="41" spans="1:2" x14ac:dyDescent="0.35">
      <c r="A41" s="61">
        <v>37712</v>
      </c>
      <c r="B41" s="76">
        <v>82.77</v>
      </c>
    </row>
    <row r="42" spans="1:2" x14ac:dyDescent="0.35">
      <c r="A42" s="61">
        <v>37742</v>
      </c>
      <c r="B42" s="76">
        <v>77.904606658220544</v>
      </c>
    </row>
    <row r="43" spans="1:2" x14ac:dyDescent="0.35">
      <c r="A43" s="61">
        <v>37773</v>
      </c>
      <c r="B43" s="76">
        <v>84.585891215540286</v>
      </c>
    </row>
    <row r="44" spans="1:2" x14ac:dyDescent="0.35">
      <c r="A44" s="61">
        <v>37803</v>
      </c>
      <c r="B44" s="76">
        <v>94.8</v>
      </c>
    </row>
    <row r="45" spans="1:2" x14ac:dyDescent="0.35">
      <c r="A45" s="61">
        <v>37834</v>
      </c>
      <c r="B45" s="76">
        <v>79</v>
      </c>
    </row>
    <row r="46" spans="1:2" x14ac:dyDescent="0.35">
      <c r="A46" s="61">
        <v>37865</v>
      </c>
      <c r="B46" s="76">
        <v>91.789999999999992</v>
      </c>
    </row>
    <row r="47" spans="1:2" x14ac:dyDescent="0.35">
      <c r="A47" s="61">
        <v>37895</v>
      </c>
      <c r="B47" s="76">
        <v>95.17</v>
      </c>
    </row>
    <row r="48" spans="1:2" x14ac:dyDescent="0.35">
      <c r="A48" s="61">
        <v>37926</v>
      </c>
      <c r="B48" s="76">
        <v>78.149999999999991</v>
      </c>
    </row>
    <row r="49" spans="1:2" x14ac:dyDescent="0.35">
      <c r="A49" s="61">
        <v>37956</v>
      </c>
      <c r="B49" s="76">
        <v>81.542000000000002</v>
      </c>
    </row>
    <row r="50" spans="1:2" x14ac:dyDescent="0.35">
      <c r="A50" s="61">
        <v>37987</v>
      </c>
      <c r="B50" s="76">
        <v>68.809364240000008</v>
      </c>
    </row>
    <row r="51" spans="1:2" x14ac:dyDescent="0.35">
      <c r="A51" s="61">
        <v>38018</v>
      </c>
      <c r="B51" s="76">
        <v>75.029730819999997</v>
      </c>
    </row>
    <row r="52" spans="1:2" x14ac:dyDescent="0.35">
      <c r="A52" s="61">
        <v>38047</v>
      </c>
      <c r="B52" s="76">
        <v>73.66260720999999</v>
      </c>
    </row>
    <row r="53" spans="1:2" x14ac:dyDescent="0.35">
      <c r="A53" s="61">
        <v>38078</v>
      </c>
      <c r="B53" s="76">
        <v>82.760616999999982</v>
      </c>
    </row>
    <row r="54" spans="1:2" x14ac:dyDescent="0.35">
      <c r="A54" s="61">
        <v>38108</v>
      </c>
      <c r="B54" s="76">
        <v>83.440751900000009</v>
      </c>
    </row>
    <row r="55" spans="1:2" x14ac:dyDescent="0.35">
      <c r="A55" s="61">
        <v>38139</v>
      </c>
      <c r="B55" s="76">
        <v>86.025000000000006</v>
      </c>
    </row>
    <row r="56" spans="1:2" x14ac:dyDescent="0.35">
      <c r="A56" s="61">
        <v>38169</v>
      </c>
      <c r="B56" s="76">
        <v>88.356999999999999</v>
      </c>
    </row>
    <row r="57" spans="1:2" x14ac:dyDescent="0.35">
      <c r="A57" s="61">
        <v>38200</v>
      </c>
      <c r="B57" s="76">
        <v>91.747</v>
      </c>
    </row>
    <row r="58" spans="1:2" x14ac:dyDescent="0.35">
      <c r="A58" s="61">
        <v>38231</v>
      </c>
      <c r="B58" s="76">
        <v>87.894999999999996</v>
      </c>
    </row>
    <row r="59" spans="1:2" x14ac:dyDescent="0.35">
      <c r="A59" s="61">
        <v>38261</v>
      </c>
      <c r="B59" s="76">
        <v>80.73</v>
      </c>
    </row>
    <row r="60" spans="1:2" x14ac:dyDescent="0.35">
      <c r="A60" s="61">
        <v>38292</v>
      </c>
      <c r="B60" s="76">
        <v>76.502999999999986</v>
      </c>
    </row>
    <row r="61" spans="1:2" x14ac:dyDescent="0.35">
      <c r="A61" s="61">
        <v>38322</v>
      </c>
      <c r="B61" s="76">
        <v>138.29711111111112</v>
      </c>
    </row>
    <row r="62" spans="1:2" x14ac:dyDescent="0.35">
      <c r="A62" s="61">
        <v>38353</v>
      </c>
      <c r="B62" s="76">
        <v>82.760687959999998</v>
      </c>
    </row>
    <row r="63" spans="1:2" x14ac:dyDescent="0.35">
      <c r="A63" s="61">
        <v>38384</v>
      </c>
      <c r="B63" s="76">
        <v>78.929292679999989</v>
      </c>
    </row>
    <row r="64" spans="1:2" x14ac:dyDescent="0.35">
      <c r="A64" s="61">
        <v>38412</v>
      </c>
      <c r="B64" s="76">
        <v>88.029156720000003</v>
      </c>
    </row>
    <row r="65" spans="1:2" x14ac:dyDescent="0.35">
      <c r="A65" s="61">
        <v>38443</v>
      </c>
      <c r="B65" s="76">
        <v>80.550351179999993</v>
      </c>
    </row>
    <row r="66" spans="1:2" x14ac:dyDescent="0.35">
      <c r="A66" s="61">
        <v>38473</v>
      </c>
      <c r="B66" s="76">
        <v>95.018587020000012</v>
      </c>
    </row>
    <row r="67" spans="1:2" x14ac:dyDescent="0.35">
      <c r="A67" s="61">
        <v>38504</v>
      </c>
      <c r="B67" s="76">
        <v>92.02137664</v>
      </c>
    </row>
    <row r="68" spans="1:2" x14ac:dyDescent="0.35">
      <c r="A68" s="61">
        <v>38534</v>
      </c>
      <c r="B68" s="76">
        <v>93.658079199999989</v>
      </c>
    </row>
    <row r="69" spans="1:2" x14ac:dyDescent="0.35">
      <c r="A69" s="61">
        <v>38565</v>
      </c>
      <c r="B69" s="76">
        <v>99.042989689999999</v>
      </c>
    </row>
    <row r="70" spans="1:2" x14ac:dyDescent="0.35">
      <c r="A70" s="61">
        <v>38596</v>
      </c>
      <c r="B70" s="76">
        <v>101.06336398000001</v>
      </c>
    </row>
    <row r="71" spans="1:2" x14ac:dyDescent="0.35">
      <c r="A71" s="61">
        <v>38626</v>
      </c>
      <c r="B71" s="76">
        <v>97.735314639999984</v>
      </c>
    </row>
    <row r="72" spans="1:2" x14ac:dyDescent="0.35">
      <c r="A72" s="61">
        <v>38657</v>
      </c>
      <c r="B72" s="76">
        <v>95.846209939999994</v>
      </c>
    </row>
    <row r="73" spans="1:2" x14ac:dyDescent="0.35">
      <c r="A73" s="61">
        <v>38687</v>
      </c>
      <c r="B73" s="76">
        <v>132.99724258000001</v>
      </c>
    </row>
    <row r="74" spans="1:2" x14ac:dyDescent="0.35">
      <c r="A74" s="61">
        <v>38718</v>
      </c>
      <c r="B74" s="76">
        <v>96.254102669999995</v>
      </c>
    </row>
    <row r="75" spans="1:2" x14ac:dyDescent="0.35">
      <c r="A75" s="61">
        <v>38749</v>
      </c>
      <c r="B75" s="76">
        <v>93.975387300000008</v>
      </c>
    </row>
    <row r="76" spans="1:2" x14ac:dyDescent="0.35">
      <c r="A76" s="61">
        <v>38777</v>
      </c>
      <c r="B76" s="76">
        <v>135.52340513999999</v>
      </c>
    </row>
    <row r="77" spans="1:2" x14ac:dyDescent="0.35">
      <c r="A77" s="61">
        <v>38808</v>
      </c>
      <c r="B77" s="76">
        <v>114.84744302000001</v>
      </c>
    </row>
    <row r="78" spans="1:2" x14ac:dyDescent="0.35">
      <c r="A78" s="61">
        <v>38838</v>
      </c>
      <c r="B78" s="76">
        <v>122.53574263</v>
      </c>
    </row>
    <row r="79" spans="1:2" x14ac:dyDescent="0.35">
      <c r="A79" s="61">
        <v>38869</v>
      </c>
      <c r="B79" s="76">
        <v>130.81547956</v>
      </c>
    </row>
    <row r="80" spans="1:2" x14ac:dyDescent="0.35">
      <c r="A80" s="61">
        <v>38899</v>
      </c>
      <c r="B80" s="76">
        <v>115.14943833000001</v>
      </c>
    </row>
    <row r="81" spans="1:2" x14ac:dyDescent="0.35">
      <c r="A81" s="61">
        <v>38930</v>
      </c>
      <c r="B81" s="76">
        <v>119.86177857999999</v>
      </c>
    </row>
    <row r="82" spans="1:2" x14ac:dyDescent="0.35">
      <c r="A82" s="61">
        <v>38961</v>
      </c>
      <c r="B82" s="76">
        <v>122.92816451</v>
      </c>
    </row>
    <row r="83" spans="1:2" x14ac:dyDescent="0.35">
      <c r="A83" s="61">
        <v>38991</v>
      </c>
      <c r="B83" s="76">
        <v>133.16949857</v>
      </c>
    </row>
    <row r="84" spans="1:2" x14ac:dyDescent="0.35">
      <c r="A84" s="61">
        <v>39022</v>
      </c>
      <c r="B84" s="76">
        <v>125.937608</v>
      </c>
    </row>
    <row r="85" spans="1:2" x14ac:dyDescent="0.35">
      <c r="A85" s="61">
        <v>39052</v>
      </c>
      <c r="B85" s="76">
        <v>195.78000751989998</v>
      </c>
    </row>
    <row r="86" spans="1:2" x14ac:dyDescent="0.35">
      <c r="A86" s="61">
        <v>39083</v>
      </c>
      <c r="B86" s="76">
        <v>99.985639629999994</v>
      </c>
    </row>
    <row r="87" spans="1:2" x14ac:dyDescent="0.35">
      <c r="A87" s="61">
        <v>39114</v>
      </c>
      <c r="B87" s="76">
        <v>101.31423146</v>
      </c>
    </row>
    <row r="88" spans="1:2" x14ac:dyDescent="0.35">
      <c r="A88" s="61">
        <v>39142</v>
      </c>
      <c r="B88" s="76">
        <v>95.037895710000001</v>
      </c>
    </row>
    <row r="89" spans="1:2" x14ac:dyDescent="0.35">
      <c r="A89" s="61">
        <v>39173</v>
      </c>
      <c r="B89" s="76">
        <v>116.41495722000002</v>
      </c>
    </row>
    <row r="90" spans="1:2" x14ac:dyDescent="0.35">
      <c r="A90" s="61">
        <v>39203</v>
      </c>
      <c r="B90" s="76">
        <v>105.94355825</v>
      </c>
    </row>
    <row r="91" spans="1:2" x14ac:dyDescent="0.35">
      <c r="A91" s="61">
        <v>39234</v>
      </c>
      <c r="B91" s="76">
        <v>108.01586938</v>
      </c>
    </row>
    <row r="92" spans="1:2" x14ac:dyDescent="0.35">
      <c r="A92" s="61">
        <v>39264</v>
      </c>
      <c r="B92" s="76">
        <v>184.83897785000002</v>
      </c>
    </row>
    <row r="93" spans="1:2" x14ac:dyDescent="0.35">
      <c r="A93" s="61">
        <v>39295</v>
      </c>
      <c r="B93" s="76">
        <v>126.37345374</v>
      </c>
    </row>
    <row r="94" spans="1:2" x14ac:dyDescent="0.35">
      <c r="A94" s="61">
        <v>39326</v>
      </c>
      <c r="B94" s="76">
        <v>119.66119115999999</v>
      </c>
    </row>
    <row r="95" spans="1:2" x14ac:dyDescent="0.35">
      <c r="A95" s="61">
        <v>39356</v>
      </c>
      <c r="B95" s="76">
        <v>138.50538098999999</v>
      </c>
    </row>
    <row r="96" spans="1:2" x14ac:dyDescent="0.35">
      <c r="A96" s="61">
        <v>39387</v>
      </c>
      <c r="B96" s="76">
        <v>137.06694562908334</v>
      </c>
    </row>
    <row r="97" spans="1:2" x14ac:dyDescent="0.35">
      <c r="A97" s="61">
        <v>39417</v>
      </c>
      <c r="B97" s="76">
        <v>243.06234573908333</v>
      </c>
    </row>
    <row r="98" spans="1:2" x14ac:dyDescent="0.35">
      <c r="A98" s="61">
        <v>39448</v>
      </c>
      <c r="B98" s="76">
        <v>104.98897095999997</v>
      </c>
    </row>
    <row r="99" spans="1:2" x14ac:dyDescent="0.35">
      <c r="A99" s="61">
        <v>39479</v>
      </c>
      <c r="B99" s="76">
        <v>96.063589120000003</v>
      </c>
    </row>
    <row r="100" spans="1:2" x14ac:dyDescent="0.35">
      <c r="A100" s="61">
        <v>39508</v>
      </c>
      <c r="B100" s="76">
        <v>131.17222385800017</v>
      </c>
    </row>
    <row r="101" spans="1:2" x14ac:dyDescent="0.35">
      <c r="A101" s="61">
        <v>39539</v>
      </c>
      <c r="B101" s="76">
        <v>168.76794286635754</v>
      </c>
    </row>
    <row r="102" spans="1:2" x14ac:dyDescent="0.35">
      <c r="A102" s="61">
        <v>39569</v>
      </c>
      <c r="B102" s="76">
        <v>156.18244220543838</v>
      </c>
    </row>
    <row r="103" spans="1:2" x14ac:dyDescent="0.35">
      <c r="A103" s="61">
        <v>39600</v>
      </c>
      <c r="B103" s="76">
        <v>154.55652560030072</v>
      </c>
    </row>
    <row r="104" spans="1:2" x14ac:dyDescent="0.35">
      <c r="A104" s="61">
        <v>39630</v>
      </c>
      <c r="B104" s="76">
        <v>195.15897419240008</v>
      </c>
    </row>
    <row r="105" spans="1:2" x14ac:dyDescent="0.35">
      <c r="A105" s="61">
        <v>39661</v>
      </c>
      <c r="B105" s="76">
        <v>190.1876197162222</v>
      </c>
    </row>
    <row r="106" spans="1:2" x14ac:dyDescent="0.35">
      <c r="A106" s="61">
        <v>39692</v>
      </c>
      <c r="B106" s="76">
        <v>199.08647205147312</v>
      </c>
    </row>
    <row r="107" spans="1:2" x14ac:dyDescent="0.35">
      <c r="A107" s="61">
        <v>39722</v>
      </c>
      <c r="B107" s="76">
        <v>204.07253760657505</v>
      </c>
    </row>
    <row r="108" spans="1:2" x14ac:dyDescent="0.35">
      <c r="A108" s="61">
        <v>39753</v>
      </c>
      <c r="B108" s="76">
        <v>183.01136301747019</v>
      </c>
    </row>
    <row r="109" spans="1:2" x14ac:dyDescent="0.35">
      <c r="A109" s="61">
        <v>39783</v>
      </c>
      <c r="B109" s="76">
        <v>303.65853352196234</v>
      </c>
    </row>
    <row r="110" spans="1:2" x14ac:dyDescent="0.35">
      <c r="A110" s="61">
        <v>39814</v>
      </c>
      <c r="B110" s="76">
        <v>115.67130517513743</v>
      </c>
    </row>
    <row r="111" spans="1:2" x14ac:dyDescent="0.35">
      <c r="A111" s="61">
        <v>39845</v>
      </c>
      <c r="B111" s="76">
        <v>125.65799893437162</v>
      </c>
    </row>
    <row r="112" spans="1:2" x14ac:dyDescent="0.35">
      <c r="A112" s="61">
        <v>39873</v>
      </c>
      <c r="B112" s="76">
        <v>140.36298313495831</v>
      </c>
    </row>
    <row r="113" spans="1:2" x14ac:dyDescent="0.35">
      <c r="A113" s="61">
        <v>39904</v>
      </c>
      <c r="B113" s="76">
        <v>195.64827677886737</v>
      </c>
    </row>
    <row r="114" spans="1:2" x14ac:dyDescent="0.35">
      <c r="A114" s="61">
        <v>39934</v>
      </c>
      <c r="B114" s="76">
        <v>135.81988773142945</v>
      </c>
    </row>
    <row r="115" spans="1:2" x14ac:dyDescent="0.35">
      <c r="A115" s="61">
        <v>39965</v>
      </c>
      <c r="B115" s="76">
        <v>151.53385479704434</v>
      </c>
    </row>
    <row r="116" spans="1:2" x14ac:dyDescent="0.35">
      <c r="A116" s="61">
        <v>39995</v>
      </c>
      <c r="B116" s="76">
        <v>170.96705846912599</v>
      </c>
    </row>
    <row r="117" spans="1:2" x14ac:dyDescent="0.35">
      <c r="A117" s="61">
        <v>40026</v>
      </c>
      <c r="B117" s="76">
        <v>145.27280066790016</v>
      </c>
    </row>
    <row r="118" spans="1:2" x14ac:dyDescent="0.35">
      <c r="A118" s="61">
        <v>40057</v>
      </c>
      <c r="B118" s="76">
        <v>131.51101972308618</v>
      </c>
    </row>
    <row r="119" spans="1:2" x14ac:dyDescent="0.35">
      <c r="A119" s="61">
        <v>40087</v>
      </c>
      <c r="B119" s="76">
        <v>164.11980992383505</v>
      </c>
    </row>
    <row r="120" spans="1:2" x14ac:dyDescent="0.35">
      <c r="A120" s="61">
        <v>40118</v>
      </c>
      <c r="B120" s="76">
        <v>150.12999612389098</v>
      </c>
    </row>
    <row r="121" spans="1:2" x14ac:dyDescent="0.35">
      <c r="A121" s="61">
        <v>40148</v>
      </c>
      <c r="B121" s="76">
        <v>297.46118692223297</v>
      </c>
    </row>
    <row r="122" spans="1:2" x14ac:dyDescent="0.35">
      <c r="A122" s="61">
        <v>40179</v>
      </c>
      <c r="B122" s="76">
        <v>104.53585572</v>
      </c>
    </row>
    <row r="123" spans="1:2" x14ac:dyDescent="0.35">
      <c r="A123" s="61">
        <v>40210</v>
      </c>
      <c r="B123" s="76">
        <v>120.21405146000001</v>
      </c>
    </row>
    <row r="124" spans="1:2" x14ac:dyDescent="0.35">
      <c r="A124" s="61">
        <v>40238</v>
      </c>
      <c r="B124" s="76">
        <v>163.00564355</v>
      </c>
    </row>
    <row r="125" spans="1:2" x14ac:dyDescent="0.35">
      <c r="A125" s="61">
        <v>40269</v>
      </c>
      <c r="B125" s="76">
        <v>146.64338977</v>
      </c>
    </row>
    <row r="126" spans="1:2" x14ac:dyDescent="0.35">
      <c r="A126" s="61">
        <v>40299</v>
      </c>
      <c r="B126" s="76">
        <v>138.78873797999998</v>
      </c>
    </row>
    <row r="127" spans="1:2" x14ac:dyDescent="0.35">
      <c r="A127" s="61">
        <v>40330</v>
      </c>
      <c r="B127" s="76">
        <v>158.02395504</v>
      </c>
    </row>
    <row r="128" spans="1:2" x14ac:dyDescent="0.35">
      <c r="A128" s="61">
        <v>40360</v>
      </c>
      <c r="B128" s="76">
        <v>173.16751379999999</v>
      </c>
    </row>
    <row r="129" spans="1:2" x14ac:dyDescent="0.35">
      <c r="A129" s="61">
        <v>40391</v>
      </c>
      <c r="B129" s="76">
        <v>184.60837594999998</v>
      </c>
    </row>
    <row r="130" spans="1:2" x14ac:dyDescent="0.35">
      <c r="A130" s="61">
        <v>40422</v>
      </c>
      <c r="B130" s="76">
        <v>188.95141638999999</v>
      </c>
    </row>
    <row r="131" spans="1:2" x14ac:dyDescent="0.35">
      <c r="A131" s="61">
        <v>40452</v>
      </c>
      <c r="B131" s="76">
        <v>195.22427890999998</v>
      </c>
    </row>
    <row r="132" spans="1:2" x14ac:dyDescent="0.35">
      <c r="A132" s="61">
        <v>40483</v>
      </c>
      <c r="B132" s="76">
        <v>198.18272461000004</v>
      </c>
    </row>
    <row r="133" spans="1:2" x14ac:dyDescent="0.35">
      <c r="A133" s="61">
        <v>40513</v>
      </c>
      <c r="B133" s="76">
        <v>318.85583106000001</v>
      </c>
    </row>
    <row r="134" spans="1:2" x14ac:dyDescent="0.35">
      <c r="A134" s="61">
        <v>40544</v>
      </c>
      <c r="B134" s="76">
        <v>122.96841653</v>
      </c>
    </row>
    <row r="135" spans="1:2" x14ac:dyDescent="0.35">
      <c r="A135" s="61">
        <v>40575</v>
      </c>
      <c r="B135" s="76">
        <v>154.64703675999996</v>
      </c>
    </row>
    <row r="136" spans="1:2" x14ac:dyDescent="0.35">
      <c r="A136" s="61">
        <v>40603</v>
      </c>
      <c r="B136" s="76">
        <v>190.24883231000001</v>
      </c>
    </row>
    <row r="137" spans="1:2" x14ac:dyDescent="0.35">
      <c r="A137" s="61">
        <v>40634</v>
      </c>
      <c r="B137" s="76">
        <v>196.60812676</v>
      </c>
    </row>
    <row r="138" spans="1:2" x14ac:dyDescent="0.35">
      <c r="A138" s="61">
        <v>40664</v>
      </c>
      <c r="B138" s="76">
        <v>194.71196671189225</v>
      </c>
    </row>
    <row r="139" spans="1:2" x14ac:dyDescent="0.35">
      <c r="A139" s="61">
        <v>40695</v>
      </c>
      <c r="B139" s="76">
        <v>210.27879565000001</v>
      </c>
    </row>
    <row r="140" spans="1:2" x14ac:dyDescent="0.35">
      <c r="A140" s="61">
        <v>40725</v>
      </c>
      <c r="B140" s="76">
        <v>207.26814390000001</v>
      </c>
    </row>
    <row r="141" spans="1:2" x14ac:dyDescent="0.35">
      <c r="A141" s="61">
        <v>40756</v>
      </c>
      <c r="B141" s="76">
        <v>217.23209364161499</v>
      </c>
    </row>
    <row r="142" spans="1:2" x14ac:dyDescent="0.35">
      <c r="A142" s="61">
        <v>40787</v>
      </c>
      <c r="B142" s="76">
        <v>206.44669228000001</v>
      </c>
    </row>
    <row r="143" spans="1:2" x14ac:dyDescent="0.35">
      <c r="A143" s="61">
        <v>40817</v>
      </c>
      <c r="B143" s="76">
        <v>222.20169800000002</v>
      </c>
    </row>
    <row r="144" spans="1:2" x14ac:dyDescent="0.35">
      <c r="A144" s="61">
        <v>40848</v>
      </c>
      <c r="B144" s="76">
        <v>272.21351997000005</v>
      </c>
    </row>
    <row r="145" spans="1:2" x14ac:dyDescent="0.35">
      <c r="A145" s="61">
        <v>40878</v>
      </c>
      <c r="B145" s="76">
        <v>348.35476193</v>
      </c>
    </row>
    <row r="146" spans="1:2" x14ac:dyDescent="0.35">
      <c r="A146" s="61">
        <v>40909</v>
      </c>
      <c r="B146" s="76">
        <v>171.10499100000001</v>
      </c>
    </row>
    <row r="147" spans="1:2" x14ac:dyDescent="0.35">
      <c r="A147" s="61">
        <v>40940</v>
      </c>
      <c r="B147" s="76">
        <v>242.435923</v>
      </c>
    </row>
    <row r="148" spans="1:2" x14ac:dyDescent="0.35">
      <c r="A148" s="61">
        <v>40969</v>
      </c>
      <c r="B148" s="76">
        <v>283.10509300000001</v>
      </c>
    </row>
    <row r="149" spans="1:2" x14ac:dyDescent="0.35">
      <c r="A149" s="61">
        <v>41000</v>
      </c>
      <c r="B149" s="76">
        <v>324.54069529999998</v>
      </c>
    </row>
    <row r="150" spans="1:2" x14ac:dyDescent="0.35">
      <c r="A150" s="61">
        <v>41030</v>
      </c>
      <c r="B150" s="76">
        <v>267.76074299999999</v>
      </c>
    </row>
    <row r="151" spans="1:2" x14ac:dyDescent="0.35">
      <c r="A151" s="61">
        <v>41061</v>
      </c>
      <c r="B151" s="76">
        <v>284.26902600000005</v>
      </c>
    </row>
    <row r="152" spans="1:2" x14ac:dyDescent="0.35">
      <c r="A152" s="61">
        <v>41091</v>
      </c>
      <c r="B152" s="76">
        <v>313.44268099999999</v>
      </c>
    </row>
    <row r="153" spans="1:2" x14ac:dyDescent="0.35">
      <c r="A153" s="61">
        <v>41122</v>
      </c>
      <c r="B153" s="76">
        <v>297.42947600000002</v>
      </c>
    </row>
    <row r="154" spans="1:2" x14ac:dyDescent="0.35">
      <c r="A154" s="61">
        <v>41153</v>
      </c>
      <c r="B154" s="76">
        <v>262.03749700000003</v>
      </c>
    </row>
    <row r="155" spans="1:2" x14ac:dyDescent="0.35">
      <c r="A155" s="61">
        <v>41183</v>
      </c>
      <c r="B155" s="76">
        <v>300.42162389999999</v>
      </c>
    </row>
    <row r="156" spans="1:2" x14ac:dyDescent="0.35">
      <c r="A156" s="61">
        <v>41214</v>
      </c>
      <c r="B156" s="76">
        <v>315.17648410000004</v>
      </c>
    </row>
    <row r="157" spans="1:2" x14ac:dyDescent="0.35">
      <c r="A157" s="61">
        <v>41244</v>
      </c>
      <c r="B157" s="76">
        <v>411.02647800000005</v>
      </c>
    </row>
    <row r="158" spans="1:2" x14ac:dyDescent="0.35">
      <c r="A158" s="61">
        <v>41275</v>
      </c>
      <c r="B158" s="76">
        <v>253.12851809999995</v>
      </c>
    </row>
    <row r="159" spans="1:2" x14ac:dyDescent="0.35">
      <c r="A159" s="61">
        <v>41306</v>
      </c>
      <c r="B159" s="76">
        <v>271.49168172000003</v>
      </c>
    </row>
    <row r="160" spans="1:2" x14ac:dyDescent="0.35">
      <c r="A160" s="61">
        <v>41334</v>
      </c>
      <c r="B160" s="76">
        <v>342.81863112999997</v>
      </c>
    </row>
    <row r="161" spans="1:2" x14ac:dyDescent="0.35">
      <c r="A161" s="61">
        <v>41365</v>
      </c>
      <c r="B161" s="76">
        <v>367.28344702999999</v>
      </c>
    </row>
    <row r="162" spans="1:2" x14ac:dyDescent="0.35">
      <c r="A162" s="61">
        <v>41395</v>
      </c>
      <c r="B162" s="76">
        <v>349.77718511</v>
      </c>
    </row>
    <row r="163" spans="1:2" x14ac:dyDescent="0.35">
      <c r="A163" s="61">
        <v>41426</v>
      </c>
      <c r="B163" s="76">
        <v>333.91637239999994</v>
      </c>
    </row>
    <row r="164" spans="1:2" x14ac:dyDescent="0.35">
      <c r="A164" s="61">
        <v>41456</v>
      </c>
      <c r="B164" s="76">
        <v>376.64073150000007</v>
      </c>
    </row>
    <row r="165" spans="1:2" x14ac:dyDescent="0.35">
      <c r="A165" s="61">
        <v>41487</v>
      </c>
      <c r="B165" s="76">
        <v>370.75714500999999</v>
      </c>
    </row>
    <row r="166" spans="1:2" x14ac:dyDescent="0.35">
      <c r="A166" s="61">
        <v>41518</v>
      </c>
      <c r="B166" s="76">
        <v>349.57383182000007</v>
      </c>
    </row>
    <row r="167" spans="1:2" x14ac:dyDescent="0.35">
      <c r="A167" s="61">
        <v>41548</v>
      </c>
      <c r="B167" s="76">
        <v>363.19439886000009</v>
      </c>
    </row>
    <row r="168" spans="1:2" x14ac:dyDescent="0.35">
      <c r="A168" s="61">
        <v>41579</v>
      </c>
      <c r="B168" s="76">
        <v>430.74787309999999</v>
      </c>
    </row>
    <row r="169" spans="1:2" x14ac:dyDescent="0.35">
      <c r="A169" s="61">
        <v>41609</v>
      </c>
      <c r="B169" s="76">
        <v>625.76691910000011</v>
      </c>
    </row>
    <row r="170" spans="1:2" x14ac:dyDescent="0.35">
      <c r="A170" s="61">
        <v>41640</v>
      </c>
      <c r="B170" s="76">
        <v>145.4390563</v>
      </c>
    </row>
    <row r="171" spans="1:2" x14ac:dyDescent="0.35">
      <c r="A171" s="61">
        <v>41671</v>
      </c>
      <c r="B171" s="76">
        <v>244.69515319999999</v>
      </c>
    </row>
    <row r="172" spans="1:2" x14ac:dyDescent="0.35">
      <c r="A172" s="61">
        <v>41699</v>
      </c>
      <c r="B172" s="76">
        <v>267.41474890000006</v>
      </c>
    </row>
    <row r="173" spans="1:2" x14ac:dyDescent="0.35">
      <c r="A173" s="61">
        <v>41730</v>
      </c>
      <c r="B173" s="76">
        <v>333.97277380000003</v>
      </c>
    </row>
    <row r="174" spans="1:2" x14ac:dyDescent="0.35">
      <c r="A174" s="61">
        <v>41760</v>
      </c>
      <c r="B174" s="76">
        <v>322.80687456000032</v>
      </c>
    </row>
    <row r="175" spans="1:2" x14ac:dyDescent="0.35">
      <c r="A175" s="61">
        <v>41791</v>
      </c>
      <c r="B175" s="76">
        <v>342.99355104999898</v>
      </c>
    </row>
    <row r="176" spans="1:2" x14ac:dyDescent="0.35">
      <c r="A176" s="61">
        <v>41821</v>
      </c>
      <c r="B176" s="76">
        <v>375.60953510000002</v>
      </c>
    </row>
    <row r="177" spans="1:2" x14ac:dyDescent="0.35">
      <c r="A177" s="61">
        <v>41852</v>
      </c>
      <c r="B177" s="76">
        <v>400.23845827000002</v>
      </c>
    </row>
    <row r="178" spans="1:2" x14ac:dyDescent="0.35">
      <c r="A178" s="61">
        <v>41883</v>
      </c>
      <c r="B178" s="76">
        <v>426.49228340000008</v>
      </c>
    </row>
    <row r="179" spans="1:2" x14ac:dyDescent="0.35">
      <c r="A179" s="61">
        <v>41913</v>
      </c>
      <c r="B179" s="76">
        <v>587.37875900000006</v>
      </c>
    </row>
    <row r="180" spans="1:2" x14ac:dyDescent="0.35">
      <c r="A180" s="61">
        <v>41944</v>
      </c>
      <c r="B180" s="76">
        <v>635.29560129999993</v>
      </c>
    </row>
    <row r="181" spans="1:2" x14ac:dyDescent="0.35">
      <c r="A181" s="61">
        <v>41974</v>
      </c>
      <c r="B181" s="76">
        <v>1245.3322836473913</v>
      </c>
    </row>
    <row r="182" spans="1:2" x14ac:dyDescent="0.35">
      <c r="A182" s="61">
        <v>42005</v>
      </c>
      <c r="B182" s="76">
        <v>284.87518789000001</v>
      </c>
    </row>
    <row r="183" spans="1:2" x14ac:dyDescent="0.35">
      <c r="A183" s="61">
        <v>42036</v>
      </c>
      <c r="B183" s="76">
        <v>342.18741473</v>
      </c>
    </row>
    <row r="184" spans="1:2" x14ac:dyDescent="0.35">
      <c r="A184" s="61">
        <v>42064</v>
      </c>
      <c r="B184" s="76">
        <v>432.71789779000005</v>
      </c>
    </row>
    <row r="185" spans="1:2" x14ac:dyDescent="0.35">
      <c r="A185" s="61">
        <v>42095</v>
      </c>
      <c r="B185" s="76">
        <v>413.36712706000009</v>
      </c>
    </row>
    <row r="186" spans="1:2" x14ac:dyDescent="0.35">
      <c r="A186" s="61">
        <v>42125</v>
      </c>
      <c r="B186" s="76">
        <v>398.50793811999995</v>
      </c>
    </row>
    <row r="187" spans="1:2" x14ac:dyDescent="0.35">
      <c r="A187" s="61">
        <v>42156</v>
      </c>
      <c r="B187" s="76">
        <v>442.98995613</v>
      </c>
    </row>
    <row r="188" spans="1:2" x14ac:dyDescent="0.35">
      <c r="A188" s="61">
        <v>42186</v>
      </c>
      <c r="B188" s="76">
        <v>487.06040154999999</v>
      </c>
    </row>
    <row r="189" spans="1:2" x14ac:dyDescent="0.35">
      <c r="A189" s="61">
        <v>42217</v>
      </c>
      <c r="B189" s="76">
        <v>407.07125623000002</v>
      </c>
    </row>
    <row r="190" spans="1:2" x14ac:dyDescent="0.35">
      <c r="A190" s="61">
        <v>42248</v>
      </c>
      <c r="B190" s="76">
        <v>460.35063240000005</v>
      </c>
    </row>
    <row r="191" spans="1:2" x14ac:dyDescent="0.35">
      <c r="A191" s="61">
        <v>42278</v>
      </c>
      <c r="B191" s="76">
        <v>429.58203384999996</v>
      </c>
    </row>
    <row r="192" spans="1:2" x14ac:dyDescent="0.35">
      <c r="A192" s="61">
        <v>42309</v>
      </c>
      <c r="B192" s="76">
        <v>488.95624447999995</v>
      </c>
    </row>
    <row r="193" spans="1:2" x14ac:dyDescent="0.35">
      <c r="A193" s="61">
        <v>42339</v>
      </c>
      <c r="B193" s="76">
        <v>524.63165400000003</v>
      </c>
    </row>
    <row r="194" spans="1:2" x14ac:dyDescent="0.35">
      <c r="A194" s="61">
        <v>42370</v>
      </c>
      <c r="B194" s="76">
        <v>251.05258684999981</v>
      </c>
    </row>
    <row r="195" spans="1:2" x14ac:dyDescent="0.35">
      <c r="A195" s="61">
        <v>42401</v>
      </c>
      <c r="B195" s="76">
        <v>300.42567520999978</v>
      </c>
    </row>
    <row r="196" spans="1:2" x14ac:dyDescent="0.35">
      <c r="A196" s="61">
        <v>42430</v>
      </c>
      <c r="B196" s="76">
        <v>367.05280289000058</v>
      </c>
    </row>
    <row r="197" spans="1:2" x14ac:dyDescent="0.35">
      <c r="A197" s="61">
        <v>42461</v>
      </c>
      <c r="B197" s="76">
        <v>392.33357327999818</v>
      </c>
    </row>
    <row r="198" spans="1:2" x14ac:dyDescent="0.35">
      <c r="A198" s="61">
        <v>42491</v>
      </c>
      <c r="B198" s="76">
        <v>407.45570662000313</v>
      </c>
    </row>
    <row r="199" spans="1:2" x14ac:dyDescent="0.35">
      <c r="A199" s="61">
        <v>42522</v>
      </c>
      <c r="B199" s="76">
        <v>385.81598006999997</v>
      </c>
    </row>
    <row r="200" spans="1:2" x14ac:dyDescent="0.35">
      <c r="A200" s="61">
        <v>42552</v>
      </c>
      <c r="B200" s="76">
        <v>361.11018635999994</v>
      </c>
    </row>
    <row r="201" spans="1:2" x14ac:dyDescent="0.35">
      <c r="A201" s="61">
        <v>42583</v>
      </c>
      <c r="B201" s="76">
        <v>400.84064266999997</v>
      </c>
    </row>
    <row r="202" spans="1:2" x14ac:dyDescent="0.35">
      <c r="A202" s="61">
        <v>42614</v>
      </c>
      <c r="B202" s="76">
        <v>401.12253330000789</v>
      </c>
    </row>
    <row r="203" spans="1:2" x14ac:dyDescent="0.35">
      <c r="A203" s="61">
        <v>42644</v>
      </c>
      <c r="B203" s="76">
        <v>439.20668316999979</v>
      </c>
    </row>
    <row r="204" spans="1:2" x14ac:dyDescent="0.35">
      <c r="A204" s="61">
        <v>42675</v>
      </c>
      <c r="B204" s="76">
        <v>439.19021982999999</v>
      </c>
    </row>
    <row r="205" spans="1:2" x14ac:dyDescent="0.35">
      <c r="A205" s="61">
        <v>42705</v>
      </c>
      <c r="B205" s="76">
        <v>538.26328995003564</v>
      </c>
    </row>
    <row r="206" spans="1:2" x14ac:dyDescent="0.35">
      <c r="A206" s="61">
        <v>42736</v>
      </c>
      <c r="B206" s="73">
        <v>249.62394123999988</v>
      </c>
    </row>
    <row r="207" spans="1:2" x14ac:dyDescent="0.35">
      <c r="A207" s="61">
        <v>42767</v>
      </c>
      <c r="B207" s="73">
        <v>340.98423372999957</v>
      </c>
    </row>
    <row r="208" spans="1:2" x14ac:dyDescent="0.35">
      <c r="A208" s="61">
        <v>42795</v>
      </c>
      <c r="B208" s="73">
        <v>468.81804501999875</v>
      </c>
    </row>
    <row r="209" spans="1:2" x14ac:dyDescent="0.35">
      <c r="A209" s="61">
        <v>42826</v>
      </c>
      <c r="B209" s="73">
        <v>409.01702221999818</v>
      </c>
    </row>
    <row r="210" spans="1:2" x14ac:dyDescent="0.35">
      <c r="A210" s="61">
        <v>42856</v>
      </c>
      <c r="B210" s="73">
        <v>443.83494014000223</v>
      </c>
    </row>
    <row r="211" spans="1:2" x14ac:dyDescent="0.35">
      <c r="A211" s="61">
        <v>42887</v>
      </c>
      <c r="B211" s="73">
        <v>489.27869492999884</v>
      </c>
    </row>
    <row r="212" spans="1:2" x14ac:dyDescent="0.35">
      <c r="A212" s="61">
        <v>42917</v>
      </c>
      <c r="B212" s="73">
        <v>430.3790651300032</v>
      </c>
    </row>
    <row r="213" spans="1:2" x14ac:dyDescent="0.35">
      <c r="A213" s="61">
        <v>42948</v>
      </c>
      <c r="B213" s="73">
        <v>372.61119983750228</v>
      </c>
    </row>
    <row r="214" spans="1:2" x14ac:dyDescent="0.35">
      <c r="A214" s="61">
        <v>42979</v>
      </c>
      <c r="B214" s="73">
        <v>395.60169210749905</v>
      </c>
    </row>
    <row r="215" spans="1:2" x14ac:dyDescent="0.35">
      <c r="A215" s="61">
        <v>43009</v>
      </c>
      <c r="B215" s="73">
        <v>394.51929481250886</v>
      </c>
    </row>
    <row r="216" spans="1:2" x14ac:dyDescent="0.35">
      <c r="A216" s="61">
        <v>43040</v>
      </c>
      <c r="B216" s="73">
        <v>401.58048522749925</v>
      </c>
    </row>
    <row r="217" spans="1:2" x14ac:dyDescent="0.35">
      <c r="A217" s="61">
        <v>43070</v>
      </c>
      <c r="B217" s="73">
        <v>659.8012756499993</v>
      </c>
    </row>
    <row r="218" spans="1:2" ht="15.5" x14ac:dyDescent="0.35">
      <c r="A218" s="186" t="s">
        <v>666</v>
      </c>
      <c r="B218" s="193">
        <v>1051.0437504050005</v>
      </c>
    </row>
    <row r="219" spans="1:2" ht="15.5" x14ac:dyDescent="0.35">
      <c r="A219" s="186" t="s">
        <v>667</v>
      </c>
      <c r="B219" s="193">
        <v>1522.8893206200046</v>
      </c>
    </row>
    <row r="220" spans="1:2" ht="15.5" x14ac:dyDescent="0.35">
      <c r="A220" s="186" t="s">
        <v>668</v>
      </c>
      <c r="B220" s="193">
        <v>1667.8345581850017</v>
      </c>
    </row>
    <row r="221" spans="1:2" ht="15.5" x14ac:dyDescent="0.35">
      <c r="A221" s="186" t="s">
        <v>669</v>
      </c>
      <c r="B221" s="193">
        <v>1941.2896041325048</v>
      </c>
    </row>
    <row r="222" spans="1:2" ht="15.5" x14ac:dyDescent="0.35">
      <c r="A222" s="186" t="s">
        <v>670</v>
      </c>
      <c r="B222" s="193">
        <v>1057.2586153199991</v>
      </c>
    </row>
    <row r="223" spans="1:2" ht="15.5" x14ac:dyDescent="0.35">
      <c r="A223" s="186" t="s">
        <v>671</v>
      </c>
      <c r="B223" s="193">
        <v>1408.1322264599899</v>
      </c>
    </row>
    <row r="224" spans="1:2" ht="15.5" x14ac:dyDescent="0.35">
      <c r="A224" s="186" t="s">
        <v>672</v>
      </c>
      <c r="B224" s="193">
        <v>1221.5308426610134</v>
      </c>
    </row>
    <row r="225" spans="1:2" x14ac:dyDescent="0.35">
      <c r="A225" s="61"/>
      <c r="B225" s="76"/>
    </row>
    <row r="226" spans="1:2" x14ac:dyDescent="0.35">
      <c r="A226" s="61"/>
      <c r="B226" s="76"/>
    </row>
    <row r="227" spans="1:2" x14ac:dyDescent="0.35">
      <c r="A227" s="61"/>
      <c r="B227" s="76"/>
    </row>
    <row r="228" spans="1:2" x14ac:dyDescent="0.35">
      <c r="A228" s="61"/>
      <c r="B228" s="76"/>
    </row>
    <row r="229" spans="1:2" x14ac:dyDescent="0.35">
      <c r="A229" s="61"/>
      <c r="B229" s="76"/>
    </row>
    <row r="230" spans="1:2" x14ac:dyDescent="0.35">
      <c r="A230" s="61"/>
      <c r="B230" s="76"/>
    </row>
    <row r="231" spans="1:2" x14ac:dyDescent="0.35">
      <c r="A231" s="61"/>
      <c r="B231" s="76"/>
    </row>
    <row r="232" spans="1:2" x14ac:dyDescent="0.35">
      <c r="A232" s="61"/>
      <c r="B232" s="76"/>
    </row>
    <row r="233" spans="1:2" x14ac:dyDescent="0.35">
      <c r="A233" s="61"/>
      <c r="B233" s="76"/>
    </row>
    <row r="234" spans="1:2" x14ac:dyDescent="0.35">
      <c r="A234" s="61"/>
      <c r="B234" s="76"/>
    </row>
    <row r="235" spans="1:2" x14ac:dyDescent="0.35">
      <c r="A235" s="61"/>
      <c r="B235" s="76"/>
    </row>
    <row r="236" spans="1:2" x14ac:dyDescent="0.35">
      <c r="A236" s="61"/>
      <c r="B236" s="76"/>
    </row>
    <row r="237" spans="1:2" x14ac:dyDescent="0.35">
      <c r="A237" s="61"/>
      <c r="B237" s="76"/>
    </row>
    <row r="238" spans="1:2" x14ac:dyDescent="0.35">
      <c r="A238" s="61"/>
      <c r="B238" s="76"/>
    </row>
    <row r="239" spans="1:2" x14ac:dyDescent="0.35">
      <c r="A239" s="61"/>
      <c r="B239" s="76"/>
    </row>
    <row r="240" spans="1:2" x14ac:dyDescent="0.35">
      <c r="A240" s="61"/>
      <c r="B240" s="76"/>
    </row>
    <row r="241" spans="1:2" x14ac:dyDescent="0.35">
      <c r="A241" s="61"/>
      <c r="B241" s="76"/>
    </row>
    <row r="242" spans="1:2" x14ac:dyDescent="0.35">
      <c r="A242" s="61"/>
      <c r="B242" s="76"/>
    </row>
    <row r="243" spans="1:2" x14ac:dyDescent="0.35">
      <c r="A243" s="61"/>
      <c r="B243" s="76"/>
    </row>
    <row r="244" spans="1:2" x14ac:dyDescent="0.35">
      <c r="A244" s="61"/>
      <c r="B244" s="76"/>
    </row>
    <row r="245" spans="1:2" x14ac:dyDescent="0.35">
      <c r="A245" s="61"/>
      <c r="B245" s="76"/>
    </row>
    <row r="246" spans="1:2" x14ac:dyDescent="0.35">
      <c r="A246" s="61"/>
      <c r="B246" s="76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46"/>
  <sheetViews>
    <sheetView workbookViewId="0">
      <selection activeCell="K233" sqref="K233"/>
    </sheetView>
  </sheetViews>
  <sheetFormatPr defaultRowHeight="14.5" x14ac:dyDescent="0.35"/>
  <sheetData>
    <row r="1" spans="1:2" x14ac:dyDescent="0.35">
      <c r="B1" t="s">
        <v>504</v>
      </c>
    </row>
    <row r="2" spans="1:2" x14ac:dyDescent="0.35">
      <c r="A2" s="61">
        <v>36526</v>
      </c>
      <c r="B2" s="76">
        <v>5.0834106769427132</v>
      </c>
    </row>
    <row r="3" spans="1:2" x14ac:dyDescent="0.35">
      <c r="A3" s="61">
        <v>36557</v>
      </c>
      <c r="B3" s="76">
        <v>76.140046438461539</v>
      </c>
    </row>
    <row r="4" spans="1:2" x14ac:dyDescent="0.35">
      <c r="A4" s="61">
        <v>36586</v>
      </c>
      <c r="B4" s="76">
        <v>47.612526428461543</v>
      </c>
    </row>
    <row r="5" spans="1:2" x14ac:dyDescent="0.35">
      <c r="A5" s="61">
        <v>36617</v>
      </c>
      <c r="B5" s="76">
        <v>45.337873698461543</v>
      </c>
    </row>
    <row r="6" spans="1:2" x14ac:dyDescent="0.35">
      <c r="A6" s="61">
        <v>36647</v>
      </c>
      <c r="B6" s="76">
        <v>47.782719898461529</v>
      </c>
    </row>
    <row r="7" spans="1:2" x14ac:dyDescent="0.35">
      <c r="A7" s="61">
        <v>36678</v>
      </c>
      <c r="B7" s="76">
        <v>57.056738348461543</v>
      </c>
    </row>
    <row r="8" spans="1:2" x14ac:dyDescent="0.35">
      <c r="A8" s="61">
        <v>36708</v>
      </c>
      <c r="B8" s="76">
        <v>62.032084928461543</v>
      </c>
    </row>
    <row r="9" spans="1:2" x14ac:dyDescent="0.35">
      <c r="A9" s="61">
        <v>36739</v>
      </c>
      <c r="B9" s="76">
        <v>70.840883438461532</v>
      </c>
    </row>
    <row r="10" spans="1:2" x14ac:dyDescent="0.35">
      <c r="A10" s="61">
        <v>36770</v>
      </c>
      <c r="B10" s="76">
        <v>63.421063648461541</v>
      </c>
    </row>
    <row r="11" spans="1:2" x14ac:dyDescent="0.35">
      <c r="A11" s="61">
        <v>36800</v>
      </c>
      <c r="B11" s="76">
        <v>68.159541538461539</v>
      </c>
    </row>
    <row r="12" spans="1:2" x14ac:dyDescent="0.35">
      <c r="A12" s="61">
        <v>36831</v>
      </c>
      <c r="B12" s="76">
        <v>93.931981538461528</v>
      </c>
    </row>
    <row r="13" spans="1:2" x14ac:dyDescent="0.35">
      <c r="A13" s="61">
        <v>36861</v>
      </c>
      <c r="B13" s="76">
        <v>123.59982153846153</v>
      </c>
    </row>
    <row r="14" spans="1:2" x14ac:dyDescent="0.35">
      <c r="A14" s="61">
        <v>36892</v>
      </c>
      <c r="B14" s="76">
        <v>79.467483373085571</v>
      </c>
    </row>
    <row r="15" spans="1:2" x14ac:dyDescent="0.35">
      <c r="A15" s="61">
        <v>36923</v>
      </c>
      <c r="B15" s="76">
        <v>92.226933414310366</v>
      </c>
    </row>
    <row r="16" spans="1:2" x14ac:dyDescent="0.35">
      <c r="A16" s="61">
        <v>36951</v>
      </c>
      <c r="B16" s="76">
        <v>109.81659999999999</v>
      </c>
    </row>
    <row r="17" spans="1:2" x14ac:dyDescent="0.35">
      <c r="A17" s="61">
        <v>36982</v>
      </c>
      <c r="B17" s="76">
        <v>105.90344714806413</v>
      </c>
    </row>
    <row r="18" spans="1:2" x14ac:dyDescent="0.35">
      <c r="A18" s="61">
        <v>37012</v>
      </c>
      <c r="B18" s="76">
        <v>115.486</v>
      </c>
    </row>
    <row r="19" spans="1:2" x14ac:dyDescent="0.35">
      <c r="A19" s="61">
        <v>37043</v>
      </c>
      <c r="B19" s="76">
        <v>120.009</v>
      </c>
    </row>
    <row r="20" spans="1:2" x14ac:dyDescent="0.35">
      <c r="A20" s="61">
        <v>37073</v>
      </c>
      <c r="B20" s="76">
        <v>89.780500000000004</v>
      </c>
    </row>
    <row r="21" spans="1:2" x14ac:dyDescent="0.35">
      <c r="A21" s="61">
        <v>37104</v>
      </c>
      <c r="B21" s="76">
        <v>89.355999999999995</v>
      </c>
    </row>
    <row r="22" spans="1:2" x14ac:dyDescent="0.35">
      <c r="A22" s="61">
        <v>37135</v>
      </c>
      <c r="B22" s="76">
        <v>101.03619999999999</v>
      </c>
    </row>
    <row r="23" spans="1:2" x14ac:dyDescent="0.35">
      <c r="A23" s="61">
        <v>37165</v>
      </c>
      <c r="B23" s="76">
        <v>116.18860000000001</v>
      </c>
    </row>
    <row r="24" spans="1:2" x14ac:dyDescent="0.35">
      <c r="A24" s="61">
        <v>37196</v>
      </c>
      <c r="B24" s="76">
        <v>112.94200000000001</v>
      </c>
    </row>
    <row r="25" spans="1:2" x14ac:dyDescent="0.35">
      <c r="A25" s="61">
        <v>37226</v>
      </c>
      <c r="B25" s="76">
        <v>224.922</v>
      </c>
    </row>
    <row r="26" spans="1:2" x14ac:dyDescent="0.35">
      <c r="A26" s="61">
        <v>37257</v>
      </c>
      <c r="B26" s="76">
        <v>126.516884</v>
      </c>
    </row>
    <row r="27" spans="1:2" x14ac:dyDescent="0.35">
      <c r="A27" s="61">
        <v>37288</v>
      </c>
      <c r="B27" s="76">
        <v>139.07695699999999</v>
      </c>
    </row>
    <row r="28" spans="1:2" x14ac:dyDescent="0.35">
      <c r="A28" s="61">
        <v>37316</v>
      </c>
      <c r="B28" s="76">
        <v>134.96151599999999</v>
      </c>
    </row>
    <row r="29" spans="1:2" x14ac:dyDescent="0.35">
      <c r="A29" s="61">
        <v>37347</v>
      </c>
      <c r="B29" s="76">
        <v>169.67099999999999</v>
      </c>
    </row>
    <row r="30" spans="1:2" x14ac:dyDescent="0.35">
      <c r="A30" s="61">
        <v>37377</v>
      </c>
      <c r="B30" s="76">
        <v>165.92249800000002</v>
      </c>
    </row>
    <row r="31" spans="1:2" x14ac:dyDescent="0.35">
      <c r="A31" s="61">
        <v>37408</v>
      </c>
      <c r="B31" s="76">
        <v>157.79583500000001</v>
      </c>
    </row>
    <row r="32" spans="1:2" x14ac:dyDescent="0.35">
      <c r="A32" s="61">
        <v>37438</v>
      </c>
      <c r="B32" s="76">
        <v>173.08449999999999</v>
      </c>
    </row>
    <row r="33" spans="1:2" x14ac:dyDescent="0.35">
      <c r="A33" s="61">
        <v>37469</v>
      </c>
      <c r="B33" s="76">
        <v>153.61750000000001</v>
      </c>
    </row>
    <row r="34" spans="1:2" x14ac:dyDescent="0.35">
      <c r="A34" s="61">
        <v>37500</v>
      </c>
      <c r="B34" s="76">
        <v>169.65746321999998</v>
      </c>
    </row>
    <row r="35" spans="1:2" x14ac:dyDescent="0.35">
      <c r="A35" s="61">
        <v>37530</v>
      </c>
      <c r="B35" s="76">
        <v>157.87714514000001</v>
      </c>
    </row>
    <row r="36" spans="1:2" x14ac:dyDescent="0.35">
      <c r="A36" s="61">
        <v>37561</v>
      </c>
      <c r="B36" s="76">
        <v>178.00214513999998</v>
      </c>
    </row>
    <row r="37" spans="1:2" x14ac:dyDescent="0.35">
      <c r="A37" s="61">
        <v>37591</v>
      </c>
      <c r="B37" s="76">
        <v>281.41714514</v>
      </c>
    </row>
    <row r="38" spans="1:2" x14ac:dyDescent="0.35">
      <c r="A38" s="61">
        <v>37622</v>
      </c>
      <c r="B38" s="76">
        <v>149.6</v>
      </c>
    </row>
    <row r="39" spans="1:2" x14ac:dyDescent="0.35">
      <c r="A39" s="61">
        <v>37653</v>
      </c>
      <c r="B39" s="76">
        <v>153.4</v>
      </c>
    </row>
    <row r="40" spans="1:2" x14ac:dyDescent="0.35">
      <c r="A40" s="61">
        <v>37681</v>
      </c>
      <c r="B40" s="76">
        <v>210.4</v>
      </c>
    </row>
    <row r="41" spans="1:2" x14ac:dyDescent="0.35">
      <c r="A41" s="61">
        <v>37712</v>
      </c>
      <c r="B41" s="76">
        <v>168.81</v>
      </c>
    </row>
    <row r="42" spans="1:2" x14ac:dyDescent="0.35">
      <c r="A42" s="61">
        <v>37742</v>
      </c>
      <c r="B42" s="76">
        <v>184.8</v>
      </c>
    </row>
    <row r="43" spans="1:2" x14ac:dyDescent="0.35">
      <c r="A43" s="61">
        <v>37773</v>
      </c>
      <c r="B43" s="76">
        <v>178.4</v>
      </c>
    </row>
    <row r="44" spans="1:2" x14ac:dyDescent="0.35">
      <c r="A44" s="61">
        <v>37803</v>
      </c>
      <c r="B44" s="76">
        <v>174</v>
      </c>
    </row>
    <row r="45" spans="1:2" x14ac:dyDescent="0.35">
      <c r="A45" s="61">
        <v>37834</v>
      </c>
      <c r="B45" s="76">
        <v>176.9</v>
      </c>
    </row>
    <row r="46" spans="1:2" x14ac:dyDescent="0.35">
      <c r="A46" s="61">
        <v>37865</v>
      </c>
      <c r="B46" s="76">
        <v>208.3</v>
      </c>
    </row>
    <row r="47" spans="1:2" x14ac:dyDescent="0.35">
      <c r="A47" s="61">
        <v>37895</v>
      </c>
      <c r="B47" s="76">
        <v>168.6</v>
      </c>
    </row>
    <row r="48" spans="1:2" x14ac:dyDescent="0.35">
      <c r="A48" s="61">
        <v>37926</v>
      </c>
      <c r="B48" s="76">
        <v>212.3</v>
      </c>
    </row>
    <row r="49" spans="1:2" x14ac:dyDescent="0.35">
      <c r="A49" s="61">
        <v>37956</v>
      </c>
      <c r="B49" s="76">
        <v>303.51</v>
      </c>
    </row>
    <row r="50" spans="1:2" x14ac:dyDescent="0.35">
      <c r="A50" s="61">
        <v>37987</v>
      </c>
      <c r="B50" s="76">
        <v>183.50193499999997</v>
      </c>
    </row>
    <row r="51" spans="1:2" x14ac:dyDescent="0.35">
      <c r="A51" s="61">
        <v>38018</v>
      </c>
      <c r="B51" s="76">
        <v>214.61629686999999</v>
      </c>
    </row>
    <row r="52" spans="1:2" x14ac:dyDescent="0.35">
      <c r="A52" s="61">
        <v>38047</v>
      </c>
      <c r="B52" s="76">
        <v>218.068004</v>
      </c>
    </row>
    <row r="53" spans="1:2" x14ac:dyDescent="0.35">
      <c r="A53" s="61">
        <v>38078</v>
      </c>
      <c r="B53" s="76">
        <v>209.56601425999997</v>
      </c>
    </row>
    <row r="54" spans="1:2" x14ac:dyDescent="0.35">
      <c r="A54" s="61">
        <v>38108</v>
      </c>
      <c r="B54" s="76">
        <v>218.31842279999998</v>
      </c>
    </row>
    <row r="55" spans="1:2" x14ac:dyDescent="0.35">
      <c r="A55" s="61">
        <v>38139</v>
      </c>
      <c r="B55" s="76">
        <v>197.38619444444444</v>
      </c>
    </row>
    <row r="56" spans="1:2" x14ac:dyDescent="0.35">
      <c r="A56" s="61">
        <v>38169</v>
      </c>
      <c r="B56" s="76">
        <v>217.97659544999999</v>
      </c>
    </row>
    <row r="57" spans="1:2" x14ac:dyDescent="0.35">
      <c r="A57" s="61">
        <v>38200</v>
      </c>
      <c r="B57" s="76">
        <v>210.3767</v>
      </c>
    </row>
    <row r="58" spans="1:2" x14ac:dyDescent="0.35">
      <c r="A58" s="61">
        <v>38231</v>
      </c>
      <c r="B58" s="76">
        <v>219.09900000000002</v>
      </c>
    </row>
    <row r="59" spans="1:2" x14ac:dyDescent="0.35">
      <c r="A59" s="61">
        <v>38261</v>
      </c>
      <c r="B59" s="76">
        <v>200.53899999999996</v>
      </c>
    </row>
    <row r="60" spans="1:2" x14ac:dyDescent="0.35">
      <c r="A60" s="61">
        <v>38292</v>
      </c>
      <c r="B60" s="76">
        <v>204.63044444444444</v>
      </c>
    </row>
    <row r="61" spans="1:2" x14ac:dyDescent="0.35">
      <c r="A61" s="61">
        <v>38322</v>
      </c>
      <c r="B61" s="76">
        <v>291.94300000000004</v>
      </c>
    </row>
    <row r="62" spans="1:2" x14ac:dyDescent="0.35">
      <c r="A62" s="61">
        <v>38353</v>
      </c>
      <c r="B62" s="76">
        <v>208.22020487</v>
      </c>
    </row>
    <row r="63" spans="1:2" x14ac:dyDescent="0.35">
      <c r="A63" s="61">
        <v>38384</v>
      </c>
      <c r="B63" s="76">
        <v>221.91069335999998</v>
      </c>
    </row>
    <row r="64" spans="1:2" x14ac:dyDescent="0.35">
      <c r="A64" s="61">
        <v>38412</v>
      </c>
      <c r="B64" s="76">
        <v>254.99293352000001</v>
      </c>
    </row>
    <row r="65" spans="1:2" x14ac:dyDescent="0.35">
      <c r="A65" s="61">
        <v>38443</v>
      </c>
      <c r="B65" s="76">
        <v>215.36045777000004</v>
      </c>
    </row>
    <row r="66" spans="1:2" x14ac:dyDescent="0.35">
      <c r="A66" s="61">
        <v>38473</v>
      </c>
      <c r="B66" s="76">
        <v>231.07757533999995</v>
      </c>
    </row>
    <row r="67" spans="1:2" x14ac:dyDescent="0.35">
      <c r="A67" s="61">
        <v>38504</v>
      </c>
      <c r="B67" s="76">
        <v>226.13381237000002</v>
      </c>
    </row>
    <row r="68" spans="1:2" x14ac:dyDescent="0.35">
      <c r="A68" s="61">
        <v>38534</v>
      </c>
      <c r="B68" s="76">
        <v>230.47523180000005</v>
      </c>
    </row>
    <row r="69" spans="1:2" x14ac:dyDescent="0.35">
      <c r="A69" s="61">
        <v>38565</v>
      </c>
      <c r="B69" s="76">
        <v>251.07468642000003</v>
      </c>
    </row>
    <row r="70" spans="1:2" x14ac:dyDescent="0.35">
      <c r="A70" s="61">
        <v>38596</v>
      </c>
      <c r="B70" s="76">
        <v>233.50499883000001</v>
      </c>
    </row>
    <row r="71" spans="1:2" x14ac:dyDescent="0.35">
      <c r="A71" s="61">
        <v>38626</v>
      </c>
      <c r="B71" s="76">
        <v>215.27355555555553</v>
      </c>
    </row>
    <row r="72" spans="1:2" x14ac:dyDescent="0.35">
      <c r="A72" s="61">
        <v>38657</v>
      </c>
      <c r="B72" s="76">
        <v>225.11626701000006</v>
      </c>
    </row>
    <row r="73" spans="1:2" x14ac:dyDescent="0.35">
      <c r="A73" s="61">
        <v>38687</v>
      </c>
      <c r="B73" s="76">
        <v>393.66574045333329</v>
      </c>
    </row>
    <row r="74" spans="1:2" x14ac:dyDescent="0.35">
      <c r="A74" s="61">
        <v>38718</v>
      </c>
      <c r="B74" s="76">
        <v>221.64678569</v>
      </c>
    </row>
    <row r="75" spans="1:2" x14ac:dyDescent="0.35">
      <c r="A75" s="61">
        <v>38749</v>
      </c>
      <c r="B75" s="76">
        <v>230.47602815999997</v>
      </c>
    </row>
    <row r="76" spans="1:2" x14ac:dyDescent="0.35">
      <c r="A76" s="61">
        <v>38777</v>
      </c>
      <c r="B76" s="76">
        <v>255.98728174999999</v>
      </c>
    </row>
    <row r="77" spans="1:2" x14ac:dyDescent="0.35">
      <c r="A77" s="61">
        <v>38808</v>
      </c>
      <c r="B77" s="76">
        <v>246.50075496999997</v>
      </c>
    </row>
    <row r="78" spans="1:2" x14ac:dyDescent="0.35">
      <c r="A78" s="61">
        <v>38838</v>
      </c>
      <c r="B78" s="76">
        <v>239.49183378999999</v>
      </c>
    </row>
    <row r="79" spans="1:2" x14ac:dyDescent="0.35">
      <c r="A79" s="61">
        <v>38869</v>
      </c>
      <c r="B79" s="76">
        <v>249.75524624000002</v>
      </c>
    </row>
    <row r="80" spans="1:2" x14ac:dyDescent="0.35">
      <c r="A80" s="61">
        <v>38899</v>
      </c>
      <c r="B80" s="76">
        <v>254.94816018</v>
      </c>
    </row>
    <row r="81" spans="1:2" x14ac:dyDescent="0.35">
      <c r="A81" s="61">
        <v>38930</v>
      </c>
      <c r="B81" s="76">
        <v>261.06712625999995</v>
      </c>
    </row>
    <row r="82" spans="1:2" x14ac:dyDescent="0.35">
      <c r="A82" s="61">
        <v>38961</v>
      </c>
      <c r="B82" s="76">
        <v>255.80415740999999</v>
      </c>
    </row>
    <row r="83" spans="1:2" x14ac:dyDescent="0.35">
      <c r="A83" s="61">
        <v>38991</v>
      </c>
      <c r="B83" s="76">
        <v>253.61102147999998</v>
      </c>
    </row>
    <row r="84" spans="1:2" x14ac:dyDescent="0.35">
      <c r="A84" s="61">
        <v>39022</v>
      </c>
      <c r="B84" s="76">
        <v>249.11430680000001</v>
      </c>
    </row>
    <row r="85" spans="1:2" x14ac:dyDescent="0.35">
      <c r="A85" s="61">
        <v>39052</v>
      </c>
      <c r="B85" s="76">
        <v>443.48346081</v>
      </c>
    </row>
    <row r="86" spans="1:2" x14ac:dyDescent="0.35">
      <c r="A86" s="61">
        <v>39083</v>
      </c>
      <c r="B86" s="76">
        <v>245.21823676</v>
      </c>
    </row>
    <row r="87" spans="1:2" x14ac:dyDescent="0.35">
      <c r="A87" s="61">
        <v>39114</v>
      </c>
      <c r="B87" s="76">
        <v>294.88852392000001</v>
      </c>
    </row>
    <row r="88" spans="1:2" x14ac:dyDescent="0.35">
      <c r="A88" s="61">
        <v>39142</v>
      </c>
      <c r="B88" s="76">
        <v>268.58574014000004</v>
      </c>
    </row>
    <row r="89" spans="1:2" x14ac:dyDescent="0.35">
      <c r="A89" s="61">
        <v>39173</v>
      </c>
      <c r="B89" s="76">
        <v>285.63020448000003</v>
      </c>
    </row>
    <row r="90" spans="1:2" x14ac:dyDescent="0.35">
      <c r="A90" s="61">
        <v>39203</v>
      </c>
      <c r="B90" s="76">
        <v>287.31806245999996</v>
      </c>
    </row>
    <row r="91" spans="1:2" x14ac:dyDescent="0.35">
      <c r="A91" s="61">
        <v>39234</v>
      </c>
      <c r="B91" s="76">
        <v>274.40755220000005</v>
      </c>
    </row>
    <row r="92" spans="1:2" x14ac:dyDescent="0.35">
      <c r="A92" s="61">
        <v>39264</v>
      </c>
      <c r="B92" s="76">
        <v>332.30186488999999</v>
      </c>
    </row>
    <row r="93" spans="1:2" x14ac:dyDescent="0.35">
      <c r="A93" s="61">
        <v>39295</v>
      </c>
      <c r="B93" s="76">
        <v>319.33903022800007</v>
      </c>
    </row>
    <row r="94" spans="1:2" x14ac:dyDescent="0.35">
      <c r="A94" s="61">
        <v>39326</v>
      </c>
      <c r="B94" s="76">
        <v>307.37916452999997</v>
      </c>
    </row>
    <row r="95" spans="1:2" x14ac:dyDescent="0.35">
      <c r="A95" s="61">
        <v>39356</v>
      </c>
      <c r="B95" s="76">
        <v>324.20108720999997</v>
      </c>
    </row>
    <row r="96" spans="1:2" x14ac:dyDescent="0.35">
      <c r="A96" s="61">
        <v>39387</v>
      </c>
      <c r="B96" s="76">
        <v>274.2238513018039</v>
      </c>
    </row>
    <row r="97" spans="1:2" x14ac:dyDescent="0.35">
      <c r="A97" s="61">
        <v>39417</v>
      </c>
      <c r="B97" s="76">
        <v>479.08134106913639</v>
      </c>
    </row>
    <row r="98" spans="1:2" x14ac:dyDescent="0.35">
      <c r="A98" s="61">
        <v>39448</v>
      </c>
      <c r="B98" s="76">
        <v>277.08424510999993</v>
      </c>
    </row>
    <row r="99" spans="1:2" x14ac:dyDescent="0.35">
      <c r="A99" s="61">
        <v>39479</v>
      </c>
      <c r="B99" s="76">
        <v>346.67021641999997</v>
      </c>
    </row>
    <row r="100" spans="1:2" x14ac:dyDescent="0.35">
      <c r="A100" s="61">
        <v>39508</v>
      </c>
      <c r="B100" s="76">
        <v>370.36835866004321</v>
      </c>
    </row>
    <row r="101" spans="1:2" x14ac:dyDescent="0.35">
      <c r="A101" s="61">
        <v>39539</v>
      </c>
      <c r="B101" s="76">
        <v>406.46501129875662</v>
      </c>
    </row>
    <row r="102" spans="1:2" x14ac:dyDescent="0.35">
      <c r="A102" s="61">
        <v>39569</v>
      </c>
      <c r="B102" s="76">
        <v>289.47865503188888</v>
      </c>
    </row>
    <row r="103" spans="1:2" x14ac:dyDescent="0.35">
      <c r="A103" s="61">
        <v>39600</v>
      </c>
      <c r="B103" s="76">
        <v>383.62346911425232</v>
      </c>
    </row>
    <row r="104" spans="1:2" x14ac:dyDescent="0.35">
      <c r="A104" s="61">
        <v>39630</v>
      </c>
      <c r="B104" s="76">
        <v>464.51857078636937</v>
      </c>
    </row>
    <row r="105" spans="1:2" x14ac:dyDescent="0.35">
      <c r="A105" s="61">
        <v>39661</v>
      </c>
      <c r="B105" s="76">
        <v>459.45362557573696</v>
      </c>
    </row>
    <row r="106" spans="1:2" x14ac:dyDescent="0.35">
      <c r="A106" s="61">
        <v>39692</v>
      </c>
      <c r="B106" s="76">
        <v>280.18599567004355</v>
      </c>
    </row>
    <row r="107" spans="1:2" x14ac:dyDescent="0.35">
      <c r="A107" s="61">
        <v>39722</v>
      </c>
      <c r="B107" s="76">
        <v>498.62869954771713</v>
      </c>
    </row>
    <row r="108" spans="1:2" x14ac:dyDescent="0.35">
      <c r="A108" s="61">
        <v>39753</v>
      </c>
      <c r="B108" s="76">
        <v>311.92226321398027</v>
      </c>
    </row>
    <row r="109" spans="1:2" x14ac:dyDescent="0.35">
      <c r="A109" s="61">
        <v>39783</v>
      </c>
      <c r="B109" s="76">
        <v>781.26826929722449</v>
      </c>
    </row>
    <row r="110" spans="1:2" x14ac:dyDescent="0.35">
      <c r="A110" s="61">
        <v>39814</v>
      </c>
      <c r="B110" s="76">
        <v>322.57853161999992</v>
      </c>
    </row>
    <row r="111" spans="1:2" x14ac:dyDescent="0.35">
      <c r="A111" s="61">
        <v>39845</v>
      </c>
      <c r="B111" s="76">
        <v>474.01509976999995</v>
      </c>
    </row>
    <row r="112" spans="1:2" x14ac:dyDescent="0.35">
      <c r="A112" s="61">
        <v>39873</v>
      </c>
      <c r="B112" s="76">
        <v>573.53734027004316</v>
      </c>
    </row>
    <row r="113" spans="1:2" x14ac:dyDescent="0.35">
      <c r="A113" s="61">
        <v>39904</v>
      </c>
      <c r="B113" s="76">
        <v>454.5830531985485</v>
      </c>
    </row>
    <row r="114" spans="1:2" x14ac:dyDescent="0.35">
      <c r="A114" s="61">
        <v>39934</v>
      </c>
      <c r="B114" s="76">
        <v>423.19475416780739</v>
      </c>
    </row>
    <row r="115" spans="1:2" x14ac:dyDescent="0.35">
      <c r="A115" s="61">
        <v>39965</v>
      </c>
      <c r="B115" s="76">
        <v>431.51668939629701</v>
      </c>
    </row>
    <row r="116" spans="1:2" x14ac:dyDescent="0.35">
      <c r="A116" s="61">
        <v>39995</v>
      </c>
      <c r="B116" s="76">
        <v>536.31493952551068</v>
      </c>
    </row>
    <row r="117" spans="1:2" x14ac:dyDescent="0.35">
      <c r="A117" s="61">
        <v>40026</v>
      </c>
      <c r="B117" s="76">
        <v>476.28634580196871</v>
      </c>
    </row>
    <row r="118" spans="1:2" x14ac:dyDescent="0.35">
      <c r="A118" s="61">
        <v>40057</v>
      </c>
      <c r="B118" s="76">
        <v>433.93050255014867</v>
      </c>
    </row>
    <row r="119" spans="1:2" x14ac:dyDescent="0.35">
      <c r="A119" s="61">
        <v>40087</v>
      </c>
      <c r="B119" s="76">
        <v>493.94622010638562</v>
      </c>
    </row>
    <row r="120" spans="1:2" x14ac:dyDescent="0.35">
      <c r="A120" s="61">
        <v>40118</v>
      </c>
      <c r="B120" s="76">
        <v>397.39015233537486</v>
      </c>
    </row>
    <row r="121" spans="1:2" x14ac:dyDescent="0.35">
      <c r="A121" s="61">
        <v>40148</v>
      </c>
      <c r="B121" s="76">
        <v>911.92811591619363</v>
      </c>
    </row>
    <row r="122" spans="1:2" x14ac:dyDescent="0.35">
      <c r="A122" s="61">
        <v>40179</v>
      </c>
      <c r="B122" s="76">
        <v>346.76303349</v>
      </c>
    </row>
    <row r="123" spans="1:2" x14ac:dyDescent="0.35">
      <c r="A123" s="61">
        <v>40210</v>
      </c>
      <c r="B123" s="76">
        <v>560.19486128000005</v>
      </c>
    </row>
    <row r="124" spans="1:2" x14ac:dyDescent="0.35">
      <c r="A124" s="61">
        <v>40238</v>
      </c>
      <c r="B124" s="76">
        <v>636.29020904999993</v>
      </c>
    </row>
    <row r="125" spans="1:2" x14ac:dyDescent="0.35">
      <c r="A125" s="61">
        <v>40269</v>
      </c>
      <c r="B125" s="76">
        <v>515.41411255999992</v>
      </c>
    </row>
    <row r="126" spans="1:2" x14ac:dyDescent="0.35">
      <c r="A126" s="61">
        <v>40299</v>
      </c>
      <c r="B126" s="76">
        <v>486.36980302999996</v>
      </c>
    </row>
    <row r="127" spans="1:2" x14ac:dyDescent="0.35">
      <c r="A127" s="61">
        <v>40330</v>
      </c>
      <c r="B127" s="76">
        <v>520.45122641</v>
      </c>
    </row>
    <row r="128" spans="1:2" x14ac:dyDescent="0.35">
      <c r="A128" s="61">
        <v>40360</v>
      </c>
      <c r="B128" s="76">
        <v>517.41573062999998</v>
      </c>
    </row>
    <row r="129" spans="1:2" x14ac:dyDescent="0.35">
      <c r="A129" s="61">
        <v>40391</v>
      </c>
      <c r="B129" s="76">
        <v>601.37976750999997</v>
      </c>
    </row>
    <row r="130" spans="1:2" x14ac:dyDescent="0.35">
      <c r="A130" s="61">
        <v>40422</v>
      </c>
      <c r="B130" s="76">
        <v>502.97510395000006</v>
      </c>
    </row>
    <row r="131" spans="1:2" x14ac:dyDescent="0.35">
      <c r="A131" s="61">
        <v>40452</v>
      </c>
      <c r="B131" s="76">
        <v>575.21890918999998</v>
      </c>
    </row>
    <row r="132" spans="1:2" x14ac:dyDescent="0.35">
      <c r="A132" s="61">
        <v>40483</v>
      </c>
      <c r="B132" s="76">
        <v>551.48560831999998</v>
      </c>
    </row>
    <row r="133" spans="1:2" x14ac:dyDescent="0.35">
      <c r="A133" s="61">
        <v>40513</v>
      </c>
      <c r="B133" s="76">
        <v>971.93268313999999</v>
      </c>
    </row>
    <row r="134" spans="1:2" x14ac:dyDescent="0.35">
      <c r="A134" s="61">
        <v>40544</v>
      </c>
      <c r="B134" s="76">
        <v>434.62902931999997</v>
      </c>
    </row>
    <row r="135" spans="1:2" x14ac:dyDescent="0.35">
      <c r="A135" s="61">
        <v>40575</v>
      </c>
      <c r="B135" s="76">
        <v>511.7149948899999</v>
      </c>
    </row>
    <row r="136" spans="1:2" x14ac:dyDescent="0.35">
      <c r="A136" s="61">
        <v>40603</v>
      </c>
      <c r="B136" s="76">
        <v>600.30529203000003</v>
      </c>
    </row>
    <row r="137" spans="1:2" x14ac:dyDescent="0.35">
      <c r="A137" s="61">
        <v>40634</v>
      </c>
      <c r="B137" s="76">
        <v>644.98466394000002</v>
      </c>
    </row>
    <row r="138" spans="1:2" x14ac:dyDescent="0.35">
      <c r="A138" s="61">
        <v>40664</v>
      </c>
      <c r="B138" s="76">
        <v>554.95301999999992</v>
      </c>
    </row>
    <row r="139" spans="1:2" x14ac:dyDescent="0.35">
      <c r="A139" s="61">
        <v>40695</v>
      </c>
      <c r="B139" s="76">
        <v>578.73105485999986</v>
      </c>
    </row>
    <row r="140" spans="1:2" x14ac:dyDescent="0.35">
      <c r="A140" s="61">
        <v>40725</v>
      </c>
      <c r="B140" s="76">
        <v>562.0017390700001</v>
      </c>
    </row>
    <row r="141" spans="1:2" x14ac:dyDescent="0.35">
      <c r="A141" s="61">
        <v>40756</v>
      </c>
      <c r="B141" s="76">
        <v>639.92025362242214</v>
      </c>
    </row>
    <row r="142" spans="1:2" x14ac:dyDescent="0.35">
      <c r="A142" s="61">
        <v>40787</v>
      </c>
      <c r="B142" s="76">
        <v>564.06471174000001</v>
      </c>
    </row>
    <row r="143" spans="1:2" x14ac:dyDescent="0.35">
      <c r="A143" s="61">
        <v>40817</v>
      </c>
      <c r="B143" s="76">
        <v>546.41632963000006</v>
      </c>
    </row>
    <row r="144" spans="1:2" x14ac:dyDescent="0.35">
      <c r="A144" s="61">
        <v>40848</v>
      </c>
      <c r="B144" s="76">
        <v>569.09764889000007</v>
      </c>
    </row>
    <row r="145" spans="1:2" x14ac:dyDescent="0.35">
      <c r="A145" s="61">
        <v>40878</v>
      </c>
      <c r="B145" s="76">
        <v>1057.8209145399999</v>
      </c>
    </row>
    <row r="146" spans="1:2" x14ac:dyDescent="0.35">
      <c r="A146" s="61">
        <v>40909</v>
      </c>
      <c r="B146" s="76">
        <v>509.35886800000003</v>
      </c>
    </row>
    <row r="147" spans="1:2" x14ac:dyDescent="0.35">
      <c r="A147" s="61">
        <v>40940</v>
      </c>
      <c r="B147" s="76">
        <v>659.74868100000003</v>
      </c>
    </row>
    <row r="148" spans="1:2" x14ac:dyDescent="0.35">
      <c r="A148" s="61">
        <v>40969</v>
      </c>
      <c r="B148" s="76">
        <v>718.68103450000001</v>
      </c>
    </row>
    <row r="149" spans="1:2" x14ac:dyDescent="0.35">
      <c r="A149" s="61">
        <v>41000</v>
      </c>
      <c r="B149" s="76">
        <v>625.5630910000001</v>
      </c>
    </row>
    <row r="150" spans="1:2" x14ac:dyDescent="0.35">
      <c r="A150" s="61">
        <v>41030</v>
      </c>
      <c r="B150" s="76">
        <v>633.55324299999995</v>
      </c>
    </row>
    <row r="151" spans="1:2" x14ac:dyDescent="0.35">
      <c r="A151" s="61">
        <v>41061</v>
      </c>
      <c r="B151" s="76">
        <v>615.72852300000011</v>
      </c>
    </row>
    <row r="152" spans="1:2" x14ac:dyDescent="0.35">
      <c r="A152" s="61">
        <v>41091</v>
      </c>
      <c r="B152" s="76">
        <v>646.21662800000001</v>
      </c>
    </row>
    <row r="153" spans="1:2" x14ac:dyDescent="0.35">
      <c r="A153" s="61">
        <v>41122</v>
      </c>
      <c r="B153" s="76">
        <v>744.05892593668614</v>
      </c>
    </row>
    <row r="154" spans="1:2" x14ac:dyDescent="0.35">
      <c r="A154" s="61">
        <v>41153</v>
      </c>
      <c r="B154" s="76">
        <v>621.70023700000002</v>
      </c>
    </row>
    <row r="155" spans="1:2" x14ac:dyDescent="0.35">
      <c r="A155" s="61">
        <v>41183</v>
      </c>
      <c r="B155" s="76">
        <v>683.93061900000009</v>
      </c>
    </row>
    <row r="156" spans="1:2" x14ac:dyDescent="0.35">
      <c r="A156" s="61">
        <v>41214</v>
      </c>
      <c r="B156" s="76">
        <v>698.29955099999995</v>
      </c>
    </row>
    <row r="157" spans="1:2" x14ac:dyDescent="0.35">
      <c r="A157" s="61">
        <v>41244</v>
      </c>
      <c r="B157" s="76">
        <v>1188.6503968999998</v>
      </c>
    </row>
    <row r="158" spans="1:2" x14ac:dyDescent="0.35">
      <c r="A158" s="61">
        <v>41275</v>
      </c>
      <c r="B158" s="76">
        <v>590.24530969999989</v>
      </c>
    </row>
    <row r="159" spans="1:2" x14ac:dyDescent="0.35">
      <c r="A159" s="61">
        <v>41306</v>
      </c>
      <c r="B159" s="76">
        <v>673.01492100999997</v>
      </c>
    </row>
    <row r="160" spans="1:2" x14ac:dyDescent="0.35">
      <c r="A160" s="61">
        <v>41334</v>
      </c>
      <c r="B160" s="76">
        <v>783.80014989000006</v>
      </c>
    </row>
    <row r="161" spans="1:2" x14ac:dyDescent="0.35">
      <c r="A161" s="61">
        <v>41365</v>
      </c>
      <c r="B161" s="76">
        <v>675.8437429999999</v>
      </c>
    </row>
    <row r="162" spans="1:2" x14ac:dyDescent="0.35">
      <c r="A162" s="61">
        <v>41395</v>
      </c>
      <c r="B162" s="76">
        <v>671.77501599999982</v>
      </c>
    </row>
    <row r="163" spans="1:2" x14ac:dyDescent="0.35">
      <c r="A163" s="61">
        <v>41426</v>
      </c>
      <c r="B163" s="76">
        <v>655.86853379999991</v>
      </c>
    </row>
    <row r="164" spans="1:2" x14ac:dyDescent="0.35">
      <c r="A164" s="61">
        <v>41456</v>
      </c>
      <c r="B164" s="76">
        <v>700.04449950000003</v>
      </c>
    </row>
    <row r="165" spans="1:2" x14ac:dyDescent="0.35">
      <c r="A165" s="61">
        <v>41487</v>
      </c>
      <c r="B165" s="76">
        <v>793.00140209999995</v>
      </c>
    </row>
    <row r="166" spans="1:2" x14ac:dyDescent="0.35">
      <c r="A166" s="61">
        <v>41518</v>
      </c>
      <c r="B166" s="76">
        <v>674.03079975000014</v>
      </c>
    </row>
    <row r="167" spans="1:2" x14ac:dyDescent="0.35">
      <c r="A167" s="61">
        <v>41548</v>
      </c>
      <c r="B167" s="76">
        <v>701.56332060000011</v>
      </c>
    </row>
    <row r="168" spans="1:2" x14ac:dyDescent="0.35">
      <c r="A168" s="61">
        <v>41579</v>
      </c>
      <c r="B168" s="76">
        <v>710.62475170000005</v>
      </c>
    </row>
    <row r="169" spans="1:2" x14ac:dyDescent="0.35">
      <c r="A169" s="61">
        <v>41609</v>
      </c>
      <c r="B169" s="76">
        <v>1266.6136018999998</v>
      </c>
    </row>
    <row r="170" spans="1:2" x14ac:dyDescent="0.35">
      <c r="A170" s="61">
        <v>41640</v>
      </c>
      <c r="B170" s="76">
        <v>558.85304900000006</v>
      </c>
    </row>
    <row r="171" spans="1:2" x14ac:dyDescent="0.35">
      <c r="A171" s="61">
        <v>41671</v>
      </c>
      <c r="B171" s="76">
        <v>768.57291270000007</v>
      </c>
    </row>
    <row r="172" spans="1:2" x14ac:dyDescent="0.35">
      <c r="A172" s="61">
        <v>41699</v>
      </c>
      <c r="B172" s="76">
        <v>751.86521100000004</v>
      </c>
    </row>
    <row r="173" spans="1:2" x14ac:dyDescent="0.35">
      <c r="A173" s="61">
        <v>41730</v>
      </c>
      <c r="B173" s="76">
        <v>758.94158039999979</v>
      </c>
    </row>
    <row r="174" spans="1:2" x14ac:dyDescent="0.35">
      <c r="A174" s="61">
        <v>41760</v>
      </c>
      <c r="B174" s="76">
        <v>693.79769118999991</v>
      </c>
    </row>
    <row r="175" spans="1:2" x14ac:dyDescent="0.35">
      <c r="A175" s="61">
        <v>41791</v>
      </c>
      <c r="B175" s="76">
        <v>622.78597755002204</v>
      </c>
    </row>
    <row r="176" spans="1:2" x14ac:dyDescent="0.35">
      <c r="A176" s="61">
        <v>41821</v>
      </c>
      <c r="B176" s="76">
        <v>829.94922499999996</v>
      </c>
    </row>
    <row r="177" spans="1:2" x14ac:dyDescent="0.35">
      <c r="A177" s="61">
        <v>41852</v>
      </c>
      <c r="B177" s="76">
        <v>848.1496484999999</v>
      </c>
    </row>
    <row r="178" spans="1:2" x14ac:dyDescent="0.35">
      <c r="A178" s="61">
        <v>41883</v>
      </c>
      <c r="B178" s="76">
        <v>680.86029299999996</v>
      </c>
    </row>
    <row r="179" spans="1:2" x14ac:dyDescent="0.35">
      <c r="A179" s="61">
        <v>41913</v>
      </c>
      <c r="B179" s="76">
        <v>823.59658500000012</v>
      </c>
    </row>
    <row r="180" spans="1:2" x14ac:dyDescent="0.35">
      <c r="A180" s="61">
        <v>41944</v>
      </c>
      <c r="B180" s="76">
        <v>782.24692539999978</v>
      </c>
    </row>
    <row r="181" spans="1:2" x14ac:dyDescent="0.35">
      <c r="A181" s="61">
        <v>41974</v>
      </c>
      <c r="B181" s="76">
        <v>1358.7207598</v>
      </c>
    </row>
    <row r="182" spans="1:2" x14ac:dyDescent="0.35">
      <c r="A182" s="61">
        <v>42005</v>
      </c>
      <c r="B182" s="76">
        <v>540.74345916000004</v>
      </c>
    </row>
    <row r="183" spans="1:2" x14ac:dyDescent="0.35">
      <c r="A183" s="61">
        <v>42036</v>
      </c>
      <c r="B183" s="76">
        <v>835.70888043000014</v>
      </c>
    </row>
    <row r="184" spans="1:2" x14ac:dyDescent="0.35">
      <c r="A184" s="61">
        <v>42064</v>
      </c>
      <c r="B184" s="76">
        <v>847.04378197999995</v>
      </c>
    </row>
    <row r="185" spans="1:2" x14ac:dyDescent="0.35">
      <c r="A185" s="61">
        <v>42095</v>
      </c>
      <c r="B185" s="76">
        <v>804.21228669000004</v>
      </c>
    </row>
    <row r="186" spans="1:2" x14ac:dyDescent="0.35">
      <c r="A186" s="61">
        <v>42125</v>
      </c>
      <c r="B186" s="76">
        <v>736.43864917999997</v>
      </c>
    </row>
    <row r="187" spans="1:2" x14ac:dyDescent="0.35">
      <c r="A187" s="61">
        <v>42156</v>
      </c>
      <c r="B187" s="76">
        <v>766.95939167000006</v>
      </c>
    </row>
    <row r="188" spans="1:2" x14ac:dyDescent="0.35">
      <c r="A188" s="61">
        <v>42186</v>
      </c>
      <c r="B188" s="76">
        <v>798.43691881999996</v>
      </c>
    </row>
    <row r="189" spans="1:2" x14ac:dyDescent="0.35">
      <c r="A189" s="61">
        <v>42217</v>
      </c>
      <c r="B189" s="76">
        <v>884.04428797999992</v>
      </c>
    </row>
    <row r="190" spans="1:2" x14ac:dyDescent="0.35">
      <c r="A190" s="61">
        <v>42248</v>
      </c>
      <c r="B190" s="76">
        <v>772.14122333</v>
      </c>
    </row>
    <row r="191" spans="1:2" x14ac:dyDescent="0.35">
      <c r="A191" s="61">
        <v>42278</v>
      </c>
      <c r="B191" s="76">
        <v>801.83982402000015</v>
      </c>
    </row>
    <row r="192" spans="1:2" x14ac:dyDescent="0.35">
      <c r="A192" s="61">
        <v>42309</v>
      </c>
      <c r="B192" s="76">
        <v>758.58338190999996</v>
      </c>
    </row>
    <row r="193" spans="1:2" x14ac:dyDescent="0.35">
      <c r="A193" s="61">
        <v>42339</v>
      </c>
      <c r="B193" s="76">
        <v>1357.657166</v>
      </c>
    </row>
    <row r="194" spans="1:2" x14ac:dyDescent="0.35">
      <c r="A194" s="61">
        <v>42370</v>
      </c>
      <c r="B194" s="76">
        <v>648.82230754</v>
      </c>
    </row>
    <row r="195" spans="1:2" x14ac:dyDescent="0.35">
      <c r="A195" s="61">
        <v>42401</v>
      </c>
      <c r="B195" s="76">
        <v>828.20763624999995</v>
      </c>
    </row>
    <row r="196" spans="1:2" x14ac:dyDescent="0.35">
      <c r="A196" s="61">
        <v>42430</v>
      </c>
      <c r="B196" s="76">
        <v>871.91294678000008</v>
      </c>
    </row>
    <row r="197" spans="1:2" x14ac:dyDescent="0.35">
      <c r="A197" s="61">
        <v>42461</v>
      </c>
      <c r="B197" s="76">
        <v>800.57156236999981</v>
      </c>
    </row>
    <row r="198" spans="1:2" x14ac:dyDescent="0.35">
      <c r="A198" s="61">
        <v>42491</v>
      </c>
      <c r="B198" s="76">
        <v>765.7886722500009</v>
      </c>
    </row>
    <row r="199" spans="1:2" x14ac:dyDescent="0.35">
      <c r="A199" s="61">
        <v>42522</v>
      </c>
      <c r="B199" s="76">
        <v>788.9478690799989</v>
      </c>
    </row>
    <row r="200" spans="1:2" x14ac:dyDescent="0.35">
      <c r="A200" s="61">
        <v>42552</v>
      </c>
      <c r="B200" s="76">
        <v>765.19322510000075</v>
      </c>
    </row>
    <row r="201" spans="1:2" x14ac:dyDescent="0.35">
      <c r="A201" s="61">
        <v>42583</v>
      </c>
      <c r="B201" s="76">
        <v>897.28280402999917</v>
      </c>
    </row>
    <row r="202" spans="1:2" x14ac:dyDescent="0.35">
      <c r="A202" s="61">
        <v>42614</v>
      </c>
      <c r="B202" s="76">
        <v>772.54135293000786</v>
      </c>
    </row>
    <row r="203" spans="1:2" x14ac:dyDescent="0.35">
      <c r="A203" s="61">
        <v>42644</v>
      </c>
      <c r="B203" s="76">
        <v>785.88097353999945</v>
      </c>
    </row>
    <row r="204" spans="1:2" x14ac:dyDescent="0.35">
      <c r="A204" s="61">
        <v>42675</v>
      </c>
      <c r="B204" s="76">
        <v>771.57923866998397</v>
      </c>
    </row>
    <row r="205" spans="1:2" x14ac:dyDescent="0.35">
      <c r="A205" s="61">
        <v>42705</v>
      </c>
      <c r="B205" s="76">
        <v>1317.034503599964</v>
      </c>
    </row>
    <row r="206" spans="1:2" x14ac:dyDescent="0.35">
      <c r="A206" s="61">
        <v>42736</v>
      </c>
      <c r="B206" s="73">
        <v>707.99592577999931</v>
      </c>
    </row>
    <row r="207" spans="1:2" x14ac:dyDescent="0.35">
      <c r="A207" s="61">
        <v>42767</v>
      </c>
      <c r="B207" s="73">
        <v>833.9054707199972</v>
      </c>
    </row>
    <row r="208" spans="1:2" x14ac:dyDescent="0.35">
      <c r="A208" s="61">
        <v>42795</v>
      </c>
      <c r="B208" s="73">
        <v>871.89658600101177</v>
      </c>
    </row>
    <row r="209" spans="1:2" x14ac:dyDescent="0.35">
      <c r="A209" s="61">
        <v>42826</v>
      </c>
      <c r="B209" s="73">
        <v>844.26007925001727</v>
      </c>
    </row>
    <row r="210" spans="1:2" x14ac:dyDescent="0.35">
      <c r="A210" s="61">
        <v>42856</v>
      </c>
      <c r="B210" s="73">
        <v>792.27975602009553</v>
      </c>
    </row>
    <row r="211" spans="1:2" x14ac:dyDescent="0.35">
      <c r="A211" s="61">
        <v>42887</v>
      </c>
      <c r="B211" s="73">
        <v>807.39559228112046</v>
      </c>
    </row>
    <row r="212" spans="1:2" x14ac:dyDescent="0.35">
      <c r="A212" s="61">
        <v>42917</v>
      </c>
      <c r="B212" s="73">
        <v>796.21253336908433</v>
      </c>
    </row>
    <row r="213" spans="1:2" x14ac:dyDescent="0.35">
      <c r="A213" s="61">
        <v>42948</v>
      </c>
      <c r="B213" s="73">
        <v>938.72217508261053</v>
      </c>
    </row>
    <row r="214" spans="1:2" x14ac:dyDescent="0.35">
      <c r="A214" s="61">
        <v>42979</v>
      </c>
      <c r="B214" s="73">
        <v>793.83186542261524</v>
      </c>
    </row>
    <row r="215" spans="1:2" x14ac:dyDescent="0.35">
      <c r="A215" s="61">
        <v>43009</v>
      </c>
      <c r="B215" s="73">
        <v>813.64388418759779</v>
      </c>
    </row>
    <row r="216" spans="1:2" x14ac:dyDescent="0.35">
      <c r="A216" s="61">
        <v>43040</v>
      </c>
      <c r="B216" s="73">
        <v>802.473261032614</v>
      </c>
    </row>
    <row r="217" spans="1:2" x14ac:dyDescent="0.35">
      <c r="A217" s="61">
        <v>43070</v>
      </c>
      <c r="B217" s="73">
        <v>1362.8763402801283</v>
      </c>
    </row>
    <row r="218" spans="1:2" ht="15.5" x14ac:dyDescent="0.35">
      <c r="A218" s="186" t="s">
        <v>666</v>
      </c>
      <c r="B218" s="193">
        <v>2496.3492940359924</v>
      </c>
    </row>
    <row r="219" spans="1:2" ht="15.5" x14ac:dyDescent="0.35">
      <c r="A219" s="186" t="s">
        <v>667</v>
      </c>
      <c r="B219" s="193">
        <v>2532.7551406102284</v>
      </c>
    </row>
    <row r="220" spans="1:2" ht="15.5" x14ac:dyDescent="0.35">
      <c r="A220" s="186" t="s">
        <v>668</v>
      </c>
      <c r="B220" s="193">
        <v>2584.6790686753202</v>
      </c>
    </row>
    <row r="221" spans="1:2" ht="15.5" x14ac:dyDescent="0.35">
      <c r="A221" s="186" t="s">
        <v>669</v>
      </c>
      <c r="B221" s="193">
        <v>3058.2896140278472</v>
      </c>
    </row>
    <row r="222" spans="1:2" ht="15.5" x14ac:dyDescent="0.35">
      <c r="A222" s="186" t="s">
        <v>670</v>
      </c>
      <c r="B222" s="193">
        <v>2471.0888616710022</v>
      </c>
    </row>
    <row r="223" spans="1:2" ht="15.5" x14ac:dyDescent="0.35">
      <c r="A223" s="186" t="s">
        <v>671</v>
      </c>
      <c r="B223" s="193">
        <v>2460.59570490022</v>
      </c>
    </row>
    <row r="224" spans="1:2" ht="15.5" x14ac:dyDescent="0.35">
      <c r="A224" s="186" t="s">
        <v>672</v>
      </c>
      <c r="B224" s="193">
        <v>2583.3908181252755</v>
      </c>
    </row>
    <row r="225" spans="1:2" x14ac:dyDescent="0.35">
      <c r="A225" s="61"/>
      <c r="B225" s="76"/>
    </row>
    <row r="226" spans="1:2" x14ac:dyDescent="0.35">
      <c r="A226" s="61"/>
      <c r="B226" s="76"/>
    </row>
    <row r="227" spans="1:2" x14ac:dyDescent="0.35">
      <c r="A227" s="61"/>
      <c r="B227" s="76"/>
    </row>
    <row r="228" spans="1:2" x14ac:dyDescent="0.35">
      <c r="A228" s="61"/>
      <c r="B228" s="76"/>
    </row>
    <row r="229" spans="1:2" x14ac:dyDescent="0.35">
      <c r="A229" s="61"/>
      <c r="B229" s="76"/>
    </row>
    <row r="230" spans="1:2" x14ac:dyDescent="0.35">
      <c r="A230" s="61"/>
      <c r="B230" s="76"/>
    </row>
    <row r="231" spans="1:2" x14ac:dyDescent="0.35">
      <c r="A231" s="61"/>
      <c r="B231" s="76"/>
    </row>
    <row r="232" spans="1:2" x14ac:dyDescent="0.35">
      <c r="A232" s="61"/>
      <c r="B232" s="76"/>
    </row>
    <row r="233" spans="1:2" x14ac:dyDescent="0.35">
      <c r="A233" s="61"/>
      <c r="B233" s="76"/>
    </row>
    <row r="234" spans="1:2" x14ac:dyDescent="0.35">
      <c r="A234" s="61"/>
      <c r="B234" s="76"/>
    </row>
    <row r="235" spans="1:2" x14ac:dyDescent="0.35">
      <c r="A235" s="61"/>
      <c r="B235" s="76"/>
    </row>
    <row r="236" spans="1:2" x14ac:dyDescent="0.35">
      <c r="A236" s="61"/>
      <c r="B236" s="76"/>
    </row>
    <row r="237" spans="1:2" x14ac:dyDescent="0.35">
      <c r="A237" s="61"/>
      <c r="B237" s="76"/>
    </row>
    <row r="238" spans="1:2" x14ac:dyDescent="0.35">
      <c r="A238" s="61"/>
      <c r="B238" s="76"/>
    </row>
    <row r="239" spans="1:2" x14ac:dyDescent="0.35">
      <c r="A239" s="61"/>
      <c r="B239" s="76"/>
    </row>
    <row r="240" spans="1:2" x14ac:dyDescent="0.35">
      <c r="A240" s="61"/>
      <c r="B240" s="76"/>
    </row>
    <row r="241" spans="1:2" x14ac:dyDescent="0.35">
      <c r="A241" s="61"/>
      <c r="B241" s="76"/>
    </row>
    <row r="242" spans="1:2" x14ac:dyDescent="0.35">
      <c r="A242" s="61"/>
      <c r="B242" s="76"/>
    </row>
    <row r="243" spans="1:2" x14ac:dyDescent="0.35">
      <c r="A243" s="61"/>
      <c r="B243" s="76"/>
    </row>
    <row r="244" spans="1:2" x14ac:dyDescent="0.35">
      <c r="A244" s="61"/>
      <c r="B244" s="76"/>
    </row>
    <row r="245" spans="1:2" x14ac:dyDescent="0.35">
      <c r="A245" s="61"/>
      <c r="B245" s="76"/>
    </row>
    <row r="246" spans="1:2" x14ac:dyDescent="0.35">
      <c r="A246" s="61"/>
      <c r="B246" s="76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46"/>
  <sheetViews>
    <sheetView topLeftCell="A198" workbookViewId="0">
      <selection activeCell="B218" sqref="B218:B224"/>
    </sheetView>
  </sheetViews>
  <sheetFormatPr defaultRowHeight="14.5" x14ac:dyDescent="0.35"/>
  <sheetData>
    <row r="1" spans="1:2" x14ac:dyDescent="0.35">
      <c r="B1" t="s">
        <v>103</v>
      </c>
    </row>
    <row r="2" spans="1:2" x14ac:dyDescent="0.35">
      <c r="A2" s="61">
        <v>36526</v>
      </c>
      <c r="B2" s="74">
        <v>28.949102829185286</v>
      </c>
    </row>
    <row r="3" spans="1:2" x14ac:dyDescent="0.35">
      <c r="A3" s="61">
        <v>36557</v>
      </c>
      <c r="B3" s="74">
        <v>33.752031620000004</v>
      </c>
    </row>
    <row r="4" spans="1:2" x14ac:dyDescent="0.35">
      <c r="A4" s="61">
        <v>36586</v>
      </c>
      <c r="B4" s="74">
        <v>44.72974585</v>
      </c>
    </row>
    <row r="5" spans="1:2" x14ac:dyDescent="0.35">
      <c r="A5" s="61">
        <v>36617</v>
      </c>
      <c r="B5" s="74">
        <v>70.471062950000004</v>
      </c>
    </row>
    <row r="6" spans="1:2" x14ac:dyDescent="0.35">
      <c r="A6" s="61">
        <v>36647</v>
      </c>
      <c r="B6" s="74">
        <v>58.448923809999997</v>
      </c>
    </row>
    <row r="7" spans="1:2" x14ac:dyDescent="0.35">
      <c r="A7" s="61">
        <v>36678</v>
      </c>
      <c r="B7" s="74">
        <v>67.945128440000005</v>
      </c>
    </row>
    <row r="8" spans="1:2" x14ac:dyDescent="0.35">
      <c r="A8" s="61">
        <v>36708</v>
      </c>
      <c r="B8" s="74">
        <v>67.404170796666676</v>
      </c>
    </row>
    <row r="9" spans="1:2" x14ac:dyDescent="0.35">
      <c r="A9" s="61">
        <v>36739</v>
      </c>
      <c r="B9" s="74">
        <v>73.141680916666658</v>
      </c>
    </row>
    <row r="10" spans="1:2" x14ac:dyDescent="0.35">
      <c r="A10" s="61">
        <v>36770</v>
      </c>
      <c r="B10" s="74">
        <v>86.696515816666661</v>
      </c>
    </row>
    <row r="11" spans="1:2" x14ac:dyDescent="0.35">
      <c r="A11" s="61">
        <v>36800</v>
      </c>
      <c r="B11" s="74">
        <v>89.389386666666667</v>
      </c>
    </row>
    <row r="12" spans="1:2" x14ac:dyDescent="0.35">
      <c r="A12" s="61">
        <v>36831</v>
      </c>
      <c r="B12" s="74">
        <v>66.728280306842578</v>
      </c>
    </row>
    <row r="13" spans="1:2" x14ac:dyDescent="0.35">
      <c r="A13" s="61">
        <v>36861</v>
      </c>
      <c r="B13" s="74">
        <v>94.582664321157154</v>
      </c>
    </row>
    <row r="14" spans="1:2" x14ac:dyDescent="0.35">
      <c r="A14" s="61">
        <v>36892</v>
      </c>
      <c r="B14" s="74">
        <v>52.133253666666675</v>
      </c>
    </row>
    <row r="15" spans="1:2" x14ac:dyDescent="0.35">
      <c r="A15" s="61">
        <v>36923</v>
      </c>
      <c r="B15" s="74">
        <v>63.444124666666667</v>
      </c>
    </row>
    <row r="16" spans="1:2" x14ac:dyDescent="0.35">
      <c r="A16" s="61">
        <v>36951</v>
      </c>
      <c r="B16" s="74">
        <v>119.64995666666667</v>
      </c>
    </row>
    <row r="17" spans="1:2" x14ac:dyDescent="0.35">
      <c r="A17" s="61">
        <v>36982</v>
      </c>
      <c r="B17" s="74">
        <v>75.276426666666651</v>
      </c>
    </row>
    <row r="18" spans="1:2" x14ac:dyDescent="0.35">
      <c r="A18" s="61">
        <v>37012</v>
      </c>
      <c r="B18" s="74">
        <v>99.594666666666669</v>
      </c>
    </row>
    <row r="19" spans="1:2" x14ac:dyDescent="0.35">
      <c r="A19" s="61">
        <v>37043</v>
      </c>
      <c r="B19" s="74">
        <v>95.849666666666678</v>
      </c>
    </row>
    <row r="20" spans="1:2" x14ac:dyDescent="0.35">
      <c r="A20" s="61">
        <v>37073</v>
      </c>
      <c r="B20" s="74">
        <v>77.333581666666674</v>
      </c>
    </row>
    <row r="21" spans="1:2" x14ac:dyDescent="0.35">
      <c r="A21" s="61">
        <v>37104</v>
      </c>
      <c r="B21" s="74">
        <v>101.25091066666667</v>
      </c>
    </row>
    <row r="22" spans="1:2" x14ac:dyDescent="0.35">
      <c r="A22" s="61">
        <v>37135</v>
      </c>
      <c r="B22" s="74">
        <v>113.80536666666666</v>
      </c>
    </row>
    <row r="23" spans="1:2" x14ac:dyDescent="0.35">
      <c r="A23" s="61">
        <v>37165</v>
      </c>
      <c r="B23" s="74">
        <v>105.34666666666668</v>
      </c>
    </row>
    <row r="24" spans="1:2" x14ac:dyDescent="0.35">
      <c r="A24" s="61">
        <v>37196</v>
      </c>
      <c r="B24" s="74">
        <v>105.46266666666666</v>
      </c>
    </row>
    <row r="25" spans="1:2" x14ac:dyDescent="0.35">
      <c r="A25" s="61">
        <v>37226</v>
      </c>
      <c r="B25" s="74">
        <v>151.54866666666661</v>
      </c>
    </row>
    <row r="26" spans="1:2" x14ac:dyDescent="0.35">
      <c r="A26" s="61">
        <v>37257</v>
      </c>
      <c r="B26" s="74">
        <v>76.937999999999988</v>
      </c>
    </row>
    <row r="27" spans="1:2" x14ac:dyDescent="0.35">
      <c r="A27" s="61">
        <v>37288</v>
      </c>
      <c r="B27" s="74">
        <v>93.763958000000002</v>
      </c>
    </row>
    <row r="28" spans="1:2" x14ac:dyDescent="0.35">
      <c r="A28" s="61">
        <v>37316</v>
      </c>
      <c r="B28" s="74">
        <v>112.430475</v>
      </c>
    </row>
    <row r="29" spans="1:2" x14ac:dyDescent="0.35">
      <c r="A29" s="61">
        <v>37347</v>
      </c>
      <c r="B29" s="74">
        <v>143.02932300000001</v>
      </c>
    </row>
    <row r="30" spans="1:2" x14ac:dyDescent="0.35">
      <c r="A30" s="61">
        <v>37377</v>
      </c>
      <c r="B30" s="74">
        <v>148.86594871428571</v>
      </c>
    </row>
    <row r="31" spans="1:2" x14ac:dyDescent="0.35">
      <c r="A31" s="61">
        <v>37408</v>
      </c>
      <c r="B31" s="74">
        <v>113.61804871428572</v>
      </c>
    </row>
    <row r="32" spans="1:2" x14ac:dyDescent="0.35">
      <c r="A32" s="61">
        <v>37438</v>
      </c>
      <c r="B32" s="74">
        <v>89.165642857142871</v>
      </c>
    </row>
    <row r="33" spans="1:2" x14ac:dyDescent="0.35">
      <c r="A33" s="61">
        <v>37469</v>
      </c>
      <c r="B33" s="74">
        <v>110.23759642857144</v>
      </c>
    </row>
    <row r="34" spans="1:2" x14ac:dyDescent="0.35">
      <c r="A34" s="61">
        <v>37500</v>
      </c>
      <c r="B34" s="74">
        <v>112.86962697466467</v>
      </c>
    </row>
    <row r="35" spans="1:2" x14ac:dyDescent="0.35">
      <c r="A35" s="61">
        <v>37530</v>
      </c>
      <c r="B35" s="74">
        <v>114.66357142857143</v>
      </c>
    </row>
    <row r="36" spans="1:2" x14ac:dyDescent="0.35">
      <c r="A36" s="61">
        <v>37561</v>
      </c>
      <c r="B36" s="74">
        <v>141.15867142857144</v>
      </c>
    </row>
    <row r="37" spans="1:2" x14ac:dyDescent="0.35">
      <c r="A37" s="61">
        <v>37591</v>
      </c>
      <c r="B37" s="74">
        <v>122.92437142857142</v>
      </c>
    </row>
    <row r="38" spans="1:2" x14ac:dyDescent="0.35">
      <c r="A38" s="61">
        <v>37622</v>
      </c>
      <c r="B38" s="74">
        <v>95.837999999999994</v>
      </c>
    </row>
    <row r="39" spans="1:2" x14ac:dyDescent="0.35">
      <c r="A39" s="61">
        <v>37653</v>
      </c>
      <c r="B39" s="74">
        <v>82.213999999999999</v>
      </c>
    </row>
    <row r="40" spans="1:2" x14ac:dyDescent="0.35">
      <c r="A40" s="61">
        <v>37681</v>
      </c>
      <c r="B40" s="74">
        <v>68.430999999999997</v>
      </c>
    </row>
    <row r="41" spans="1:2" x14ac:dyDescent="0.35">
      <c r="A41" s="61">
        <v>37712</v>
      </c>
      <c r="B41" s="74">
        <v>99.635000000000005</v>
      </c>
    </row>
    <row r="42" spans="1:2" x14ac:dyDescent="0.35">
      <c r="A42" s="61">
        <v>37742</v>
      </c>
      <c r="B42" s="74">
        <v>93.516337777725539</v>
      </c>
    </row>
    <row r="43" spans="1:2" x14ac:dyDescent="0.35">
      <c r="A43" s="61">
        <v>37773</v>
      </c>
      <c r="B43" s="74">
        <v>116.67511302349907</v>
      </c>
    </row>
    <row r="44" spans="1:2" x14ac:dyDescent="0.35">
      <c r="A44" s="61">
        <v>37803</v>
      </c>
      <c r="B44" s="74">
        <v>115.11687959595011</v>
      </c>
    </row>
    <row r="45" spans="1:2" x14ac:dyDescent="0.35">
      <c r="A45" s="61">
        <v>37834</v>
      </c>
      <c r="B45" s="74">
        <v>133.17279932658352</v>
      </c>
    </row>
    <row r="46" spans="1:2" x14ac:dyDescent="0.35">
      <c r="A46" s="61">
        <v>37865</v>
      </c>
      <c r="B46" s="74">
        <v>172.44200000000001</v>
      </c>
    </row>
    <row r="47" spans="1:2" x14ac:dyDescent="0.35">
      <c r="A47" s="61">
        <v>37895</v>
      </c>
      <c r="B47" s="74">
        <v>127.54479932658352</v>
      </c>
    </row>
    <row r="48" spans="1:2" x14ac:dyDescent="0.35">
      <c r="A48" s="61">
        <v>37926</v>
      </c>
      <c r="B48" s="74">
        <v>141.00479932658351</v>
      </c>
    </row>
    <row r="49" spans="1:2" x14ac:dyDescent="0.35">
      <c r="A49" s="61">
        <v>37956</v>
      </c>
      <c r="B49" s="74">
        <v>142.47079932658349</v>
      </c>
    </row>
    <row r="50" spans="1:2" x14ac:dyDescent="0.35">
      <c r="A50" s="61">
        <v>37987</v>
      </c>
      <c r="B50" s="74">
        <v>44.500285580000003</v>
      </c>
    </row>
    <row r="51" spans="1:2" x14ac:dyDescent="0.35">
      <c r="A51" s="61">
        <v>38018</v>
      </c>
      <c r="B51" s="74">
        <v>100.87669033333333</v>
      </c>
    </row>
    <row r="52" spans="1:2" x14ac:dyDescent="0.35">
      <c r="A52" s="61">
        <v>38047</v>
      </c>
      <c r="B52" s="74">
        <v>150.03440029333336</v>
      </c>
    </row>
    <row r="53" spans="1:2" x14ac:dyDescent="0.35">
      <c r="A53" s="61">
        <v>38078</v>
      </c>
      <c r="B53" s="74">
        <v>134.70646359333332</v>
      </c>
    </row>
    <row r="54" spans="1:2" x14ac:dyDescent="0.35">
      <c r="A54" s="61">
        <v>38108</v>
      </c>
      <c r="B54" s="74">
        <v>146.64899982333333</v>
      </c>
    </row>
    <row r="55" spans="1:2" x14ac:dyDescent="0.35">
      <c r="A55" s="61">
        <v>38139</v>
      </c>
      <c r="B55" s="74">
        <v>141.81351212333334</v>
      </c>
    </row>
    <row r="56" spans="1:2" x14ac:dyDescent="0.35">
      <c r="A56" s="61">
        <v>38169</v>
      </c>
      <c r="B56" s="74">
        <v>109.84181281000001</v>
      </c>
    </row>
    <row r="57" spans="1:2" x14ac:dyDescent="0.35">
      <c r="A57" s="61">
        <v>38200</v>
      </c>
      <c r="B57" s="74">
        <v>113.16002736999999</v>
      </c>
    </row>
    <row r="58" spans="1:2" x14ac:dyDescent="0.35">
      <c r="A58" s="61">
        <v>38231</v>
      </c>
      <c r="B58" s="74">
        <v>118.36217962000001</v>
      </c>
    </row>
    <row r="59" spans="1:2" x14ac:dyDescent="0.35">
      <c r="A59" s="61">
        <v>38261</v>
      </c>
      <c r="B59" s="74">
        <v>137.47890860835483</v>
      </c>
    </row>
    <row r="60" spans="1:2" x14ac:dyDescent="0.35">
      <c r="A60" s="61">
        <v>38292</v>
      </c>
      <c r="B60" s="74">
        <v>103.92968560835483</v>
      </c>
    </row>
    <row r="61" spans="1:2" x14ac:dyDescent="0.35">
      <c r="A61" s="61">
        <v>38322</v>
      </c>
      <c r="B61" s="74">
        <v>191.56597760835484</v>
      </c>
    </row>
    <row r="62" spans="1:2" x14ac:dyDescent="0.35">
      <c r="A62" s="61">
        <v>38353</v>
      </c>
      <c r="B62" s="74">
        <v>111.215416</v>
      </c>
    </row>
    <row r="63" spans="1:2" x14ac:dyDescent="0.35">
      <c r="A63" s="61">
        <v>38384</v>
      </c>
      <c r="B63" s="74">
        <v>135.17703370999999</v>
      </c>
    </row>
    <row r="64" spans="1:2" x14ac:dyDescent="0.35">
      <c r="A64" s="61">
        <v>38412</v>
      </c>
      <c r="B64" s="74">
        <v>157.78552055</v>
      </c>
    </row>
    <row r="65" spans="1:2" x14ac:dyDescent="0.35">
      <c r="A65" s="61">
        <v>38443</v>
      </c>
      <c r="B65" s="74">
        <v>147.51551840666667</v>
      </c>
    </row>
    <row r="66" spans="1:2" x14ac:dyDescent="0.35">
      <c r="A66" s="61">
        <v>38473</v>
      </c>
      <c r="B66" s="74">
        <v>152.83853396587801</v>
      </c>
    </row>
    <row r="67" spans="1:2" x14ac:dyDescent="0.35">
      <c r="A67" s="61">
        <v>38504</v>
      </c>
      <c r="B67" s="74">
        <v>89.484400285878024</v>
      </c>
    </row>
    <row r="68" spans="1:2" x14ac:dyDescent="0.35">
      <c r="A68" s="61">
        <v>38534</v>
      </c>
      <c r="B68" s="74">
        <v>115.76165786172029</v>
      </c>
    </row>
    <row r="69" spans="1:2" x14ac:dyDescent="0.35">
      <c r="A69" s="61">
        <v>38565</v>
      </c>
      <c r="B69" s="74">
        <v>151.89471489508938</v>
      </c>
    </row>
    <row r="70" spans="1:2" x14ac:dyDescent="0.35">
      <c r="A70" s="61">
        <v>38596</v>
      </c>
      <c r="B70" s="74">
        <v>179.27074345666665</v>
      </c>
    </row>
    <row r="71" spans="1:2" x14ac:dyDescent="0.35">
      <c r="A71" s="61">
        <v>38626</v>
      </c>
      <c r="B71" s="74">
        <v>121.34638392508936</v>
      </c>
    </row>
    <row r="72" spans="1:2" x14ac:dyDescent="0.35">
      <c r="A72" s="61">
        <v>38657</v>
      </c>
      <c r="B72" s="74">
        <v>164.31457892508936</v>
      </c>
    </row>
    <row r="73" spans="1:2" x14ac:dyDescent="0.35">
      <c r="A73" s="61">
        <v>38687</v>
      </c>
      <c r="B73" s="74">
        <v>291.21020265508946</v>
      </c>
    </row>
    <row r="74" spans="1:2" x14ac:dyDescent="0.35">
      <c r="A74" s="61">
        <v>38718</v>
      </c>
      <c r="B74" s="74">
        <v>85.333407293333323</v>
      </c>
    </row>
    <row r="75" spans="1:2" x14ac:dyDescent="0.35">
      <c r="A75" s="61">
        <v>38749</v>
      </c>
      <c r="B75" s="74">
        <v>98.192333333333323</v>
      </c>
    </row>
    <row r="76" spans="1:2" x14ac:dyDescent="0.35">
      <c r="A76" s="61">
        <v>38777</v>
      </c>
      <c r="B76" s="74">
        <v>216.8479389966667</v>
      </c>
    </row>
    <row r="77" spans="1:2" x14ac:dyDescent="0.35">
      <c r="A77" s="61">
        <v>38808</v>
      </c>
      <c r="B77" s="74">
        <v>115.97863272666666</v>
      </c>
    </row>
    <row r="78" spans="1:2" x14ac:dyDescent="0.35">
      <c r="A78" s="61">
        <v>38838</v>
      </c>
      <c r="B78" s="74">
        <v>145.20574031254472</v>
      </c>
    </row>
    <row r="79" spans="1:2" x14ac:dyDescent="0.35">
      <c r="A79" s="61">
        <v>38869</v>
      </c>
      <c r="B79" s="74">
        <v>184.22679635254468</v>
      </c>
    </row>
    <row r="80" spans="1:2" x14ac:dyDescent="0.35">
      <c r="A80" s="61">
        <v>38899</v>
      </c>
      <c r="B80" s="74">
        <v>122.67458764505362</v>
      </c>
    </row>
    <row r="81" spans="1:2" x14ac:dyDescent="0.35">
      <c r="A81" s="61">
        <v>38930</v>
      </c>
      <c r="B81" s="74">
        <v>151.98212047175605</v>
      </c>
    </row>
    <row r="82" spans="1:2" x14ac:dyDescent="0.35">
      <c r="A82" s="61">
        <v>38961</v>
      </c>
      <c r="B82" s="74">
        <v>134.68697289333335</v>
      </c>
    </row>
    <row r="83" spans="1:2" x14ac:dyDescent="0.35">
      <c r="A83" s="61">
        <v>38991</v>
      </c>
      <c r="B83" s="74">
        <v>134.22636773175603</v>
      </c>
    </row>
    <row r="84" spans="1:2" x14ac:dyDescent="0.35">
      <c r="A84" s="61">
        <v>39022</v>
      </c>
      <c r="B84" s="74">
        <v>263.75489952175599</v>
      </c>
    </row>
    <row r="85" spans="1:2" x14ac:dyDescent="0.35">
      <c r="A85" s="61">
        <v>39052</v>
      </c>
      <c r="B85" s="74">
        <v>246.87538112508935</v>
      </c>
    </row>
    <row r="86" spans="1:2" x14ac:dyDescent="0.35">
      <c r="A86" s="61">
        <v>39083</v>
      </c>
      <c r="B86" s="74">
        <v>126.93971759583334</v>
      </c>
    </row>
    <row r="87" spans="1:2" x14ac:dyDescent="0.35">
      <c r="A87" s="61">
        <v>39114</v>
      </c>
      <c r="B87" s="74">
        <v>105.16301779583334</v>
      </c>
    </row>
    <row r="88" spans="1:2" x14ac:dyDescent="0.35">
      <c r="A88" s="61">
        <v>39142</v>
      </c>
      <c r="B88" s="74">
        <v>285.92681287554609</v>
      </c>
    </row>
    <row r="89" spans="1:2" x14ac:dyDescent="0.35">
      <c r="A89" s="61">
        <v>39173</v>
      </c>
      <c r="B89" s="74">
        <v>206.20348809583334</v>
      </c>
    </row>
    <row r="90" spans="1:2" x14ac:dyDescent="0.35">
      <c r="A90" s="61">
        <v>39203</v>
      </c>
      <c r="B90" s="74">
        <v>245.64903229171136</v>
      </c>
    </row>
    <row r="91" spans="1:2" x14ac:dyDescent="0.35">
      <c r="A91" s="61">
        <v>39234</v>
      </c>
      <c r="B91" s="74">
        <v>257.62590904471131</v>
      </c>
    </row>
    <row r="92" spans="1:2" x14ac:dyDescent="0.35">
      <c r="A92" s="61">
        <v>39264</v>
      </c>
      <c r="B92" s="74">
        <v>266.68454602755367</v>
      </c>
    </row>
    <row r="93" spans="1:2" x14ac:dyDescent="0.35">
      <c r="A93" s="61">
        <v>39295</v>
      </c>
      <c r="B93" s="74">
        <v>295.10539782175607</v>
      </c>
    </row>
    <row r="94" spans="1:2" x14ac:dyDescent="0.35">
      <c r="A94" s="61">
        <v>39326</v>
      </c>
      <c r="B94" s="74">
        <v>326.25899491333331</v>
      </c>
    </row>
    <row r="95" spans="1:2" x14ac:dyDescent="0.35">
      <c r="A95" s="61">
        <v>39356</v>
      </c>
      <c r="B95" s="74">
        <v>281.23113396092265</v>
      </c>
    </row>
    <row r="96" spans="1:2" x14ac:dyDescent="0.35">
      <c r="A96" s="61">
        <v>39387</v>
      </c>
      <c r="B96" s="74">
        <v>273.2987670309227</v>
      </c>
    </row>
    <row r="97" spans="1:2" x14ac:dyDescent="0.35">
      <c r="A97" s="61">
        <v>39417</v>
      </c>
      <c r="B97" s="74">
        <v>441.58063176425605</v>
      </c>
    </row>
    <row r="98" spans="1:2" x14ac:dyDescent="0.35">
      <c r="A98" s="61">
        <v>39448</v>
      </c>
      <c r="B98" s="74">
        <v>272.09566106993856</v>
      </c>
    </row>
    <row r="99" spans="1:2" x14ac:dyDescent="0.35">
      <c r="A99" s="61">
        <v>39479</v>
      </c>
      <c r="B99" s="74">
        <v>209.33255088677154</v>
      </c>
    </row>
    <row r="100" spans="1:2" x14ac:dyDescent="0.35">
      <c r="A100" s="61">
        <v>39508</v>
      </c>
      <c r="B100" s="74">
        <v>417.77597358243986</v>
      </c>
    </row>
    <row r="101" spans="1:2" x14ac:dyDescent="0.35">
      <c r="A101" s="61">
        <v>39539</v>
      </c>
      <c r="B101" s="74">
        <v>450.07531677876318</v>
      </c>
    </row>
    <row r="102" spans="1:2" x14ac:dyDescent="0.35">
      <c r="A102" s="61">
        <v>39569</v>
      </c>
      <c r="B102" s="74">
        <v>475.75145321015191</v>
      </c>
    </row>
    <row r="103" spans="1:2" x14ac:dyDescent="0.35">
      <c r="A103" s="61">
        <v>39600</v>
      </c>
      <c r="B103" s="74">
        <v>420.24253582287429</v>
      </c>
    </row>
    <row r="104" spans="1:2" x14ac:dyDescent="0.35">
      <c r="A104" s="61">
        <v>39630</v>
      </c>
      <c r="B104" s="74">
        <v>613.44621310294031</v>
      </c>
    </row>
    <row r="105" spans="1:2" x14ac:dyDescent="0.35">
      <c r="A105" s="61">
        <v>39661</v>
      </c>
      <c r="B105" s="74">
        <v>707.5180703429171</v>
      </c>
    </row>
    <row r="106" spans="1:2" x14ac:dyDescent="0.35">
      <c r="A106" s="61">
        <v>39692</v>
      </c>
      <c r="B106" s="74">
        <v>662.9962019489235</v>
      </c>
    </row>
    <row r="107" spans="1:2" x14ac:dyDescent="0.35">
      <c r="A107" s="61">
        <v>39722</v>
      </c>
      <c r="B107" s="74">
        <v>660.27198475040086</v>
      </c>
    </row>
    <row r="108" spans="1:2" x14ac:dyDescent="0.35">
      <c r="A108" s="61">
        <v>39753</v>
      </c>
      <c r="B108" s="74">
        <v>774.16413428618876</v>
      </c>
    </row>
    <row r="109" spans="1:2" x14ac:dyDescent="0.35">
      <c r="A109" s="61">
        <v>39783</v>
      </c>
      <c r="B109" s="74">
        <v>1266.0413668040626</v>
      </c>
    </row>
    <row r="110" spans="1:2" x14ac:dyDescent="0.35">
      <c r="A110" s="61">
        <v>39814</v>
      </c>
      <c r="B110" s="74">
        <v>280.32279465081615</v>
      </c>
    </row>
    <row r="111" spans="1:2" x14ac:dyDescent="0.35">
      <c r="A111" s="61">
        <v>39845</v>
      </c>
      <c r="B111" s="74">
        <v>352.94763004464789</v>
      </c>
    </row>
    <row r="112" spans="1:2" x14ac:dyDescent="0.35">
      <c r="A112" s="61">
        <v>39873</v>
      </c>
      <c r="B112" s="74">
        <v>559.96583790591831</v>
      </c>
    </row>
    <row r="113" spans="1:2" x14ac:dyDescent="0.35">
      <c r="A113" s="61">
        <v>39904</v>
      </c>
      <c r="B113" s="74">
        <v>578.26782216932077</v>
      </c>
    </row>
    <row r="114" spans="1:2" x14ac:dyDescent="0.35">
      <c r="A114" s="61">
        <v>39934</v>
      </c>
      <c r="B114" s="74">
        <v>307.97988388069768</v>
      </c>
    </row>
    <row r="115" spans="1:2" x14ac:dyDescent="0.35">
      <c r="A115" s="61">
        <v>39965</v>
      </c>
      <c r="B115" s="74">
        <v>493.84150141639896</v>
      </c>
    </row>
    <row r="116" spans="1:2" x14ac:dyDescent="0.35">
      <c r="A116" s="61">
        <v>39995</v>
      </c>
      <c r="B116" s="74">
        <v>435.52884626483018</v>
      </c>
    </row>
    <row r="117" spans="1:2" x14ac:dyDescent="0.35">
      <c r="A117" s="61">
        <v>40026</v>
      </c>
      <c r="B117" s="74">
        <v>473.33326855921416</v>
      </c>
    </row>
    <row r="118" spans="1:2" x14ac:dyDescent="0.35">
      <c r="A118" s="61">
        <v>40057</v>
      </c>
      <c r="B118" s="74">
        <v>562.97411791279433</v>
      </c>
    </row>
    <row r="119" spans="1:2" x14ac:dyDescent="0.35">
      <c r="A119" s="61">
        <v>40087</v>
      </c>
      <c r="B119" s="74">
        <v>651.11468824229337</v>
      </c>
    </row>
    <row r="120" spans="1:2" x14ac:dyDescent="0.35">
      <c r="A120" s="61">
        <v>40118</v>
      </c>
      <c r="B120" s="74">
        <v>693.89268655310889</v>
      </c>
    </row>
    <row r="121" spans="1:2" x14ac:dyDescent="0.35">
      <c r="A121" s="61">
        <v>40148</v>
      </c>
      <c r="B121" s="74">
        <v>919.81112523682327</v>
      </c>
    </row>
    <row r="122" spans="1:2" x14ac:dyDescent="0.35">
      <c r="A122" s="61">
        <v>40179</v>
      </c>
      <c r="B122" s="74">
        <v>279.02748679756616</v>
      </c>
    </row>
    <row r="123" spans="1:2" x14ac:dyDescent="0.35">
      <c r="A123" s="61">
        <v>40210</v>
      </c>
      <c r="B123" s="74">
        <v>273.29606291585679</v>
      </c>
    </row>
    <row r="124" spans="1:2" x14ac:dyDescent="0.35">
      <c r="A124" s="61">
        <v>40238</v>
      </c>
      <c r="B124" s="74">
        <v>433.25588620931876</v>
      </c>
    </row>
    <row r="125" spans="1:2" x14ac:dyDescent="0.35">
      <c r="A125" s="61">
        <v>40269</v>
      </c>
      <c r="B125" s="74">
        <v>720.82360094323042</v>
      </c>
    </row>
    <row r="126" spans="1:2" x14ac:dyDescent="0.35">
      <c r="A126" s="61">
        <v>40299</v>
      </c>
      <c r="B126" s="74">
        <v>574.51430814643675</v>
      </c>
    </row>
    <row r="127" spans="1:2" x14ac:dyDescent="0.35">
      <c r="A127" s="61">
        <v>40330</v>
      </c>
      <c r="B127" s="74">
        <v>471.29692737633161</v>
      </c>
    </row>
    <row r="128" spans="1:2" x14ac:dyDescent="0.35">
      <c r="A128" s="61">
        <v>40360</v>
      </c>
      <c r="B128" s="74">
        <v>557.44866544370041</v>
      </c>
    </row>
    <row r="129" spans="1:2" x14ac:dyDescent="0.35">
      <c r="A129" s="61">
        <v>40391</v>
      </c>
      <c r="B129" s="74">
        <v>470.36451683077934</v>
      </c>
    </row>
    <row r="130" spans="1:2" x14ac:dyDescent="0.35">
      <c r="A130" s="61">
        <v>40422</v>
      </c>
      <c r="B130" s="74">
        <v>545.92160960881813</v>
      </c>
    </row>
    <row r="131" spans="1:2" x14ac:dyDescent="0.35">
      <c r="A131" s="61">
        <v>40452</v>
      </c>
      <c r="B131" s="74">
        <v>662.24825421461014</v>
      </c>
    </row>
    <row r="132" spans="1:2" x14ac:dyDescent="0.35">
      <c r="A132" s="61">
        <v>40483</v>
      </c>
      <c r="B132" s="74">
        <v>574.60622505988408</v>
      </c>
    </row>
    <row r="133" spans="1:2" x14ac:dyDescent="0.35">
      <c r="A133" s="61">
        <v>40513</v>
      </c>
      <c r="B133" s="74">
        <v>1008.1472153166665</v>
      </c>
    </row>
    <row r="134" spans="1:2" x14ac:dyDescent="0.35">
      <c r="A134" s="61">
        <v>40544</v>
      </c>
      <c r="B134" s="74">
        <v>541.83690504013441</v>
      </c>
    </row>
    <row r="135" spans="1:2" x14ac:dyDescent="0.35">
      <c r="A135" s="61">
        <v>40575</v>
      </c>
      <c r="B135" s="74">
        <v>452.15398903562766</v>
      </c>
    </row>
    <row r="136" spans="1:2" x14ac:dyDescent="0.35">
      <c r="A136" s="61">
        <v>40603</v>
      </c>
      <c r="B136" s="74">
        <v>906.00062728116018</v>
      </c>
    </row>
    <row r="137" spans="1:2" x14ac:dyDescent="0.35">
      <c r="A137" s="61">
        <v>40634</v>
      </c>
      <c r="B137" s="74">
        <v>520.72090654956014</v>
      </c>
    </row>
    <row r="138" spans="1:2" x14ac:dyDescent="0.35">
      <c r="A138" s="61">
        <v>40664</v>
      </c>
      <c r="B138" s="74">
        <v>769.62586682040887</v>
      </c>
    </row>
    <row r="139" spans="1:2" x14ac:dyDescent="0.35">
      <c r="A139" s="61">
        <v>40695</v>
      </c>
      <c r="B139" s="74">
        <v>627.44195043859918</v>
      </c>
    </row>
    <row r="140" spans="1:2" x14ac:dyDescent="0.35">
      <c r="A140" s="61">
        <v>40725</v>
      </c>
      <c r="B140" s="74">
        <v>678.63007065669547</v>
      </c>
    </row>
    <row r="141" spans="1:2" x14ac:dyDescent="0.35">
      <c r="A141" s="61">
        <v>40756</v>
      </c>
      <c r="B141" s="74">
        <v>671.95077061630741</v>
      </c>
    </row>
    <row r="142" spans="1:2" x14ac:dyDescent="0.35">
      <c r="A142" s="61">
        <v>40787</v>
      </c>
      <c r="B142" s="74">
        <v>667.83125458276993</v>
      </c>
    </row>
    <row r="143" spans="1:2" x14ac:dyDescent="0.35">
      <c r="A143" s="61">
        <v>40817</v>
      </c>
      <c r="B143" s="74">
        <v>884.85492173761872</v>
      </c>
    </row>
    <row r="144" spans="1:2" x14ac:dyDescent="0.35">
      <c r="A144" s="61">
        <v>40848</v>
      </c>
      <c r="B144" s="74">
        <v>990.68374088828216</v>
      </c>
    </row>
    <row r="145" spans="1:2" x14ac:dyDescent="0.35">
      <c r="A145" s="61">
        <v>40878</v>
      </c>
      <c r="B145" s="74">
        <v>1302.264974514633</v>
      </c>
    </row>
    <row r="146" spans="1:2" x14ac:dyDescent="0.35">
      <c r="A146" s="61">
        <v>40909</v>
      </c>
      <c r="B146" s="74">
        <v>837.37935410592172</v>
      </c>
    </row>
    <row r="147" spans="1:2" x14ac:dyDescent="0.35">
      <c r="A147" s="61">
        <v>40940</v>
      </c>
      <c r="B147" s="74">
        <v>675.31197527159259</v>
      </c>
    </row>
    <row r="148" spans="1:2" x14ac:dyDescent="0.35">
      <c r="A148" s="61">
        <v>40969</v>
      </c>
      <c r="B148" s="74">
        <v>701.69043517622697</v>
      </c>
    </row>
    <row r="149" spans="1:2" x14ac:dyDescent="0.35">
      <c r="A149" s="61">
        <v>41000</v>
      </c>
      <c r="B149" s="74">
        <v>715.84011812640574</v>
      </c>
    </row>
    <row r="150" spans="1:2" x14ac:dyDescent="0.35">
      <c r="A150" s="61">
        <v>41030</v>
      </c>
      <c r="B150" s="74">
        <v>687.5664976075584</v>
      </c>
    </row>
    <row r="151" spans="1:2" x14ac:dyDescent="0.35">
      <c r="A151" s="61">
        <v>41061</v>
      </c>
      <c r="B151" s="74">
        <v>828.33473456025672</v>
      </c>
    </row>
    <row r="152" spans="1:2" x14ac:dyDescent="0.35">
      <c r="A152" s="61">
        <v>41091</v>
      </c>
      <c r="B152" s="74">
        <v>700.10347818616378</v>
      </c>
    </row>
    <row r="153" spans="1:2" x14ac:dyDescent="0.35">
      <c r="A153" s="61">
        <v>41122</v>
      </c>
      <c r="B153" s="74">
        <v>904.85413775831705</v>
      </c>
    </row>
    <row r="154" spans="1:2" x14ac:dyDescent="0.35">
      <c r="A154" s="61">
        <v>41153</v>
      </c>
      <c r="B154" s="74">
        <v>896.87314775209734</v>
      </c>
    </row>
    <row r="155" spans="1:2" x14ac:dyDescent="0.35">
      <c r="A155" s="61">
        <v>41183</v>
      </c>
      <c r="B155" s="74">
        <v>841.8304331539689</v>
      </c>
    </row>
    <row r="156" spans="1:2" x14ac:dyDescent="0.35">
      <c r="A156" s="61">
        <v>41214</v>
      </c>
      <c r="B156" s="74">
        <v>1088.6347280992482</v>
      </c>
    </row>
    <row r="157" spans="1:2" x14ac:dyDescent="0.35">
      <c r="A157" s="61">
        <v>41244</v>
      </c>
      <c r="B157" s="74">
        <v>1433.9967343252592</v>
      </c>
    </row>
    <row r="158" spans="1:2" x14ac:dyDescent="0.35">
      <c r="A158" s="61">
        <v>41275</v>
      </c>
      <c r="B158" s="74">
        <v>756.09287978742645</v>
      </c>
    </row>
    <row r="159" spans="1:2" x14ac:dyDescent="0.35">
      <c r="A159" s="61">
        <v>41306</v>
      </c>
      <c r="B159" s="74">
        <v>926.18042776581228</v>
      </c>
    </row>
    <row r="160" spans="1:2" x14ac:dyDescent="0.35">
      <c r="A160" s="61">
        <v>41334</v>
      </c>
      <c r="B160" s="74">
        <v>928.90635286815905</v>
      </c>
    </row>
    <row r="161" spans="1:2" x14ac:dyDescent="0.35">
      <c r="A161" s="61">
        <v>41365</v>
      </c>
      <c r="B161" s="74">
        <v>1007.3710442971118</v>
      </c>
    </row>
    <row r="162" spans="1:2" x14ac:dyDescent="0.35">
      <c r="A162" s="61">
        <v>41395</v>
      </c>
      <c r="B162" s="74">
        <v>924.73426132921497</v>
      </c>
    </row>
    <row r="163" spans="1:2" x14ac:dyDescent="0.35">
      <c r="A163" s="61">
        <v>41426</v>
      </c>
      <c r="B163" s="74">
        <v>1007.4841755995709</v>
      </c>
    </row>
    <row r="164" spans="1:2" x14ac:dyDescent="0.35">
      <c r="A164" s="61">
        <v>41456</v>
      </c>
      <c r="B164" s="74">
        <v>1096.100288579479</v>
      </c>
    </row>
    <row r="165" spans="1:2" x14ac:dyDescent="0.35">
      <c r="A165" s="61">
        <v>41487</v>
      </c>
      <c r="B165" s="74">
        <v>1106.8610757140132</v>
      </c>
    </row>
    <row r="166" spans="1:2" x14ac:dyDescent="0.35">
      <c r="A166" s="61">
        <v>41518</v>
      </c>
      <c r="B166" s="74">
        <v>1223.5091902887107</v>
      </c>
    </row>
    <row r="167" spans="1:2" x14ac:dyDescent="0.35">
      <c r="A167" s="61">
        <v>41548</v>
      </c>
      <c r="B167" s="74">
        <v>1488.6491745148312</v>
      </c>
    </row>
    <row r="168" spans="1:2" x14ac:dyDescent="0.35">
      <c r="A168" s="61">
        <v>41579</v>
      </c>
      <c r="B168" s="74">
        <v>1560.9007289531876</v>
      </c>
    </row>
    <row r="169" spans="1:2" x14ac:dyDescent="0.35">
      <c r="A169" s="61">
        <v>41609</v>
      </c>
      <c r="B169" s="74">
        <v>2011.8559378018003</v>
      </c>
    </row>
    <row r="170" spans="1:2" x14ac:dyDescent="0.35">
      <c r="A170" s="61">
        <v>41640</v>
      </c>
      <c r="B170" s="74">
        <v>654.52134617136721</v>
      </c>
    </row>
    <row r="171" spans="1:2" x14ac:dyDescent="0.35">
      <c r="A171" s="61">
        <v>41671</v>
      </c>
      <c r="B171" s="74">
        <v>1111.205964852046</v>
      </c>
    </row>
    <row r="172" spans="1:2" x14ac:dyDescent="0.35">
      <c r="A172" s="61">
        <v>41699</v>
      </c>
      <c r="B172" s="74">
        <v>980.93889664532333</v>
      </c>
    </row>
    <row r="173" spans="1:2" x14ac:dyDescent="0.35">
      <c r="A173" s="61">
        <v>41730</v>
      </c>
      <c r="B173" s="74">
        <v>1036.8336469959715</v>
      </c>
    </row>
    <row r="174" spans="1:2" x14ac:dyDescent="0.35">
      <c r="A174" s="61">
        <v>41760</v>
      </c>
      <c r="B174" s="74">
        <v>900.7566349602215</v>
      </c>
    </row>
    <row r="175" spans="1:2" x14ac:dyDescent="0.35">
      <c r="A175" s="61">
        <v>41791</v>
      </c>
      <c r="B175" s="74">
        <v>1035.5721335879919</v>
      </c>
    </row>
    <row r="176" spans="1:2" x14ac:dyDescent="0.35">
      <c r="A176" s="61">
        <v>41821</v>
      </c>
      <c r="B176" s="74">
        <v>1146.1327163226188</v>
      </c>
    </row>
    <row r="177" spans="1:2" x14ac:dyDescent="0.35">
      <c r="A177" s="61">
        <v>41852</v>
      </c>
      <c r="B177" s="74">
        <v>1086.3530315965318</v>
      </c>
    </row>
    <row r="178" spans="1:2" x14ac:dyDescent="0.35">
      <c r="A178" s="61">
        <v>41883</v>
      </c>
      <c r="B178" s="74">
        <v>1190.4063349418825</v>
      </c>
    </row>
    <row r="179" spans="1:2" x14ac:dyDescent="0.35">
      <c r="A179" s="61">
        <v>41913</v>
      </c>
      <c r="B179" s="74">
        <v>1534.5463326195566</v>
      </c>
    </row>
    <row r="180" spans="1:2" x14ac:dyDescent="0.35">
      <c r="A180" s="61">
        <v>41944</v>
      </c>
      <c r="B180" s="74">
        <v>1379.5222071707299</v>
      </c>
    </row>
    <row r="181" spans="1:2" x14ac:dyDescent="0.35">
      <c r="A181" s="61">
        <v>41974</v>
      </c>
      <c r="B181" s="74">
        <v>1922.8679137057588</v>
      </c>
    </row>
    <row r="182" spans="1:2" x14ac:dyDescent="0.35">
      <c r="A182" s="61">
        <v>42005</v>
      </c>
      <c r="B182" s="74">
        <v>451.81049300875668</v>
      </c>
    </row>
    <row r="183" spans="1:2" x14ac:dyDescent="0.35">
      <c r="A183" s="61">
        <v>42036</v>
      </c>
      <c r="B183" s="74">
        <v>970.42630214999394</v>
      </c>
    </row>
    <row r="184" spans="1:2" x14ac:dyDescent="0.35">
      <c r="A184" s="61">
        <v>42064</v>
      </c>
      <c r="B184" s="74">
        <v>781.8830164628597</v>
      </c>
    </row>
    <row r="185" spans="1:2" x14ac:dyDescent="0.35">
      <c r="A185" s="61">
        <v>42095</v>
      </c>
      <c r="B185" s="74">
        <v>733.13103146048456</v>
      </c>
    </row>
    <row r="186" spans="1:2" x14ac:dyDescent="0.35">
      <c r="A186" s="61">
        <v>42125</v>
      </c>
      <c r="B186" s="74">
        <v>1198.5844585526199</v>
      </c>
    </row>
    <row r="187" spans="1:2" x14ac:dyDescent="0.35">
      <c r="A187" s="61">
        <v>42156</v>
      </c>
      <c r="B187" s="74">
        <v>931.30232223236385</v>
      </c>
    </row>
    <row r="188" spans="1:2" x14ac:dyDescent="0.35">
      <c r="A188" s="61">
        <v>42186</v>
      </c>
      <c r="B188" s="74">
        <v>822.35239601679677</v>
      </c>
    </row>
    <row r="189" spans="1:2" x14ac:dyDescent="0.35">
      <c r="A189" s="61">
        <v>42217</v>
      </c>
      <c r="B189" s="74">
        <v>469.39661410589417</v>
      </c>
    </row>
    <row r="190" spans="1:2" x14ac:dyDescent="0.35">
      <c r="A190" s="61">
        <v>42248</v>
      </c>
      <c r="B190" s="74">
        <v>590.87817872030894</v>
      </c>
    </row>
    <row r="191" spans="1:2" x14ac:dyDescent="0.35">
      <c r="A191" s="61">
        <v>42278</v>
      </c>
      <c r="B191" s="74">
        <v>973.51765033819822</v>
      </c>
    </row>
    <row r="192" spans="1:2" x14ac:dyDescent="0.35">
      <c r="A192" s="61">
        <v>42309</v>
      </c>
      <c r="B192" s="74">
        <v>566.07455344308278</v>
      </c>
    </row>
    <row r="193" spans="1:2" x14ac:dyDescent="0.35">
      <c r="A193" s="61">
        <v>42339</v>
      </c>
      <c r="B193" s="74">
        <v>1689.034853320815</v>
      </c>
    </row>
    <row r="194" spans="1:2" x14ac:dyDescent="0.35">
      <c r="A194" s="61">
        <v>42370</v>
      </c>
      <c r="B194" s="74">
        <v>437.34295688602987</v>
      </c>
    </row>
    <row r="195" spans="1:2" x14ac:dyDescent="0.35">
      <c r="A195" s="61">
        <v>42401</v>
      </c>
      <c r="B195" s="74">
        <v>530.42076847843748</v>
      </c>
    </row>
    <row r="196" spans="1:2" x14ac:dyDescent="0.35">
      <c r="A196" s="61">
        <v>42430</v>
      </c>
      <c r="B196" s="74">
        <v>608.58507839753099</v>
      </c>
    </row>
    <row r="197" spans="1:2" x14ac:dyDescent="0.35">
      <c r="A197" s="61">
        <v>42461</v>
      </c>
      <c r="B197" s="74">
        <v>618.24972175999994</v>
      </c>
    </row>
    <row r="198" spans="1:2" x14ac:dyDescent="0.35">
      <c r="A198" s="61">
        <v>42491</v>
      </c>
      <c r="B198" s="74">
        <v>553.12065746646374</v>
      </c>
    </row>
    <row r="199" spans="1:2" x14ac:dyDescent="0.35">
      <c r="A199" s="61">
        <v>42522</v>
      </c>
      <c r="B199" s="74">
        <v>661.0055749105436</v>
      </c>
    </row>
    <row r="200" spans="1:2" x14ac:dyDescent="0.35">
      <c r="A200" s="61">
        <v>42552</v>
      </c>
      <c r="B200" s="74">
        <v>711.57356055182129</v>
      </c>
    </row>
    <row r="201" spans="1:2" x14ac:dyDescent="0.35">
      <c r="A201" s="61">
        <v>42583</v>
      </c>
      <c r="B201" s="74">
        <v>891.33169508750336</v>
      </c>
    </row>
    <row r="202" spans="1:2" x14ac:dyDescent="0.35">
      <c r="A202" s="61">
        <v>42614</v>
      </c>
      <c r="B202" s="74">
        <v>1070.605549657477</v>
      </c>
    </row>
    <row r="203" spans="1:2" x14ac:dyDescent="0.35">
      <c r="A203" s="61">
        <v>42644</v>
      </c>
      <c r="B203" s="74">
        <v>844.34290564321736</v>
      </c>
    </row>
    <row r="204" spans="1:2" x14ac:dyDescent="0.35">
      <c r="A204" s="61">
        <v>42675</v>
      </c>
      <c r="B204" s="74">
        <v>1190.9849703873401</v>
      </c>
    </row>
    <row r="205" spans="1:2" x14ac:dyDescent="0.35">
      <c r="A205" s="61">
        <v>42705</v>
      </c>
      <c r="B205" s="74">
        <v>2175.3488015611083</v>
      </c>
    </row>
    <row r="206" spans="1:2" x14ac:dyDescent="0.35">
      <c r="A206" s="61">
        <v>42736</v>
      </c>
      <c r="B206" s="74">
        <v>347.0646673047637</v>
      </c>
    </row>
    <row r="207" spans="1:2" x14ac:dyDescent="0.35">
      <c r="A207" s="61">
        <v>42767</v>
      </c>
      <c r="B207" s="74">
        <v>755.65803776725431</v>
      </c>
    </row>
    <row r="208" spans="1:2" x14ac:dyDescent="0.35">
      <c r="A208" s="61">
        <v>42795</v>
      </c>
      <c r="B208" s="74">
        <v>946.2626489598174</v>
      </c>
    </row>
    <row r="209" spans="1:2" x14ac:dyDescent="0.35">
      <c r="A209" s="61">
        <v>42826</v>
      </c>
      <c r="B209" s="74">
        <v>800.61448575951601</v>
      </c>
    </row>
    <row r="210" spans="1:2" x14ac:dyDescent="0.35">
      <c r="A210" s="61">
        <v>42856</v>
      </c>
      <c r="B210" s="74">
        <v>553.0829615114161</v>
      </c>
    </row>
    <row r="211" spans="1:2" x14ac:dyDescent="0.35">
      <c r="A211" s="61">
        <v>42887</v>
      </c>
      <c r="B211" s="74">
        <v>476.35780788841043</v>
      </c>
    </row>
    <row r="212" spans="1:2" x14ac:dyDescent="0.35">
      <c r="A212" s="61">
        <v>42917</v>
      </c>
      <c r="B212" s="74">
        <v>479.4053731595306</v>
      </c>
    </row>
    <row r="213" spans="1:2" x14ac:dyDescent="0.35">
      <c r="A213" s="61">
        <v>42948</v>
      </c>
      <c r="B213" s="74">
        <v>506.73432185121931</v>
      </c>
    </row>
    <row r="214" spans="1:2" x14ac:dyDescent="0.35">
      <c r="A214" s="61">
        <v>42979</v>
      </c>
      <c r="B214" s="74">
        <v>481.76969591199764</v>
      </c>
    </row>
    <row r="215" spans="1:2" x14ac:dyDescent="0.35">
      <c r="A215" s="61">
        <v>43009</v>
      </c>
      <c r="B215" s="74">
        <v>562.44378198195204</v>
      </c>
    </row>
    <row r="216" spans="1:2" x14ac:dyDescent="0.35">
      <c r="A216" s="61">
        <v>43040</v>
      </c>
      <c r="B216" s="74">
        <v>913.15365569687719</v>
      </c>
    </row>
    <row r="217" spans="1:2" x14ac:dyDescent="0.35">
      <c r="A217" s="61">
        <v>43070</v>
      </c>
      <c r="B217" s="74">
        <v>1825.5165867472451</v>
      </c>
    </row>
    <row r="218" spans="1:2" ht="15.5" x14ac:dyDescent="0.35">
      <c r="A218" s="186" t="s">
        <v>666</v>
      </c>
      <c r="B218" s="192">
        <v>1188.9900977889188</v>
      </c>
    </row>
    <row r="219" spans="1:2" ht="15.5" x14ac:dyDescent="0.35">
      <c r="A219" s="186" t="s">
        <v>667</v>
      </c>
      <c r="B219" s="192">
        <v>1258.7921848248552</v>
      </c>
    </row>
    <row r="220" spans="1:2" ht="15.5" x14ac:dyDescent="0.35">
      <c r="A220" s="186" t="s">
        <v>668</v>
      </c>
      <c r="B220" s="192">
        <v>1425.4108211046994</v>
      </c>
    </row>
    <row r="221" spans="1:2" ht="15.5" x14ac:dyDescent="0.35">
      <c r="A221" s="186" t="s">
        <v>669</v>
      </c>
      <c r="B221" s="192">
        <v>2582.344191191728</v>
      </c>
    </row>
    <row r="222" spans="1:2" ht="15.5" x14ac:dyDescent="0.35">
      <c r="A222" s="186" t="s">
        <v>670</v>
      </c>
      <c r="B222" s="192">
        <v>941.34066285308813</v>
      </c>
    </row>
    <row r="223" spans="1:2" ht="15.5" x14ac:dyDescent="0.35">
      <c r="A223" s="186" t="s">
        <v>671</v>
      </c>
      <c r="B223" s="192">
        <v>1294.6917348671398</v>
      </c>
    </row>
    <row r="224" spans="1:2" ht="15.5" x14ac:dyDescent="0.35">
      <c r="A224" s="186" t="s">
        <v>672</v>
      </c>
      <c r="B224" s="192">
        <v>1369.6993683152455</v>
      </c>
    </row>
    <row r="225" spans="1:2" x14ac:dyDescent="0.35">
      <c r="A225" s="61"/>
      <c r="B225" s="76"/>
    </row>
    <row r="226" spans="1:2" x14ac:dyDescent="0.35">
      <c r="A226" s="61"/>
      <c r="B226" s="76"/>
    </row>
    <row r="227" spans="1:2" x14ac:dyDescent="0.35">
      <c r="A227" s="61"/>
      <c r="B227" s="76"/>
    </row>
    <row r="228" spans="1:2" x14ac:dyDescent="0.35">
      <c r="A228" s="61"/>
      <c r="B228" s="76"/>
    </row>
    <row r="229" spans="1:2" x14ac:dyDescent="0.35">
      <c r="A229" s="61"/>
      <c r="B229" s="76"/>
    </row>
    <row r="230" spans="1:2" x14ac:dyDescent="0.35">
      <c r="A230" s="61"/>
      <c r="B230" s="76"/>
    </row>
    <row r="231" spans="1:2" x14ac:dyDescent="0.35">
      <c r="A231" s="61"/>
      <c r="B231" s="76"/>
    </row>
    <row r="232" spans="1:2" x14ac:dyDescent="0.35">
      <c r="A232" s="61"/>
      <c r="B232" s="76"/>
    </row>
    <row r="233" spans="1:2" x14ac:dyDescent="0.35">
      <c r="A233" s="61"/>
      <c r="B233" s="76"/>
    </row>
    <row r="234" spans="1:2" x14ac:dyDescent="0.35">
      <c r="A234" s="61"/>
      <c r="B234" s="76"/>
    </row>
    <row r="235" spans="1:2" x14ac:dyDescent="0.35">
      <c r="A235" s="61"/>
      <c r="B235" s="76"/>
    </row>
    <row r="236" spans="1:2" x14ac:dyDescent="0.35">
      <c r="A236" s="61"/>
      <c r="B236" s="76"/>
    </row>
    <row r="237" spans="1:2" x14ac:dyDescent="0.35">
      <c r="A237" s="61"/>
      <c r="B237" s="76"/>
    </row>
    <row r="238" spans="1:2" x14ac:dyDescent="0.35">
      <c r="A238" s="61"/>
      <c r="B238" s="76"/>
    </row>
    <row r="239" spans="1:2" x14ac:dyDescent="0.35">
      <c r="A239" s="61"/>
      <c r="B239" s="76"/>
    </row>
    <row r="240" spans="1:2" x14ac:dyDescent="0.35">
      <c r="A240" s="61"/>
      <c r="B240" s="76"/>
    </row>
    <row r="241" spans="1:2" x14ac:dyDescent="0.35">
      <c r="A241" s="61"/>
      <c r="B241" s="76"/>
    </row>
    <row r="242" spans="1:2" x14ac:dyDescent="0.35">
      <c r="A242" s="61"/>
      <c r="B242" s="76"/>
    </row>
    <row r="243" spans="1:2" x14ac:dyDescent="0.35">
      <c r="A243" s="61"/>
      <c r="B243" s="76"/>
    </row>
    <row r="244" spans="1:2" x14ac:dyDescent="0.35">
      <c r="A244" s="61"/>
      <c r="B244" s="76"/>
    </row>
    <row r="245" spans="1:2" x14ac:dyDescent="0.35">
      <c r="A245" s="61"/>
      <c r="B245" s="76"/>
    </row>
    <row r="246" spans="1:2" x14ac:dyDescent="0.35">
      <c r="A246" s="61"/>
      <c r="B246" s="76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6"/>
  <sheetViews>
    <sheetView workbookViewId="0">
      <selection activeCell="C2" sqref="C2"/>
    </sheetView>
  </sheetViews>
  <sheetFormatPr defaultRowHeight="14.5" x14ac:dyDescent="0.35"/>
  <sheetData>
    <row r="1" spans="1:4" x14ac:dyDescent="0.35">
      <c r="B1" t="s">
        <v>505</v>
      </c>
      <c r="C1" t="s">
        <v>673</v>
      </c>
      <c r="D1" t="s">
        <v>674</v>
      </c>
    </row>
    <row r="2" spans="1:4" x14ac:dyDescent="0.35">
      <c r="A2" s="61">
        <v>36526</v>
      </c>
      <c r="B2" s="76">
        <f>C2+D2</f>
        <v>30.260721372829678</v>
      </c>
      <c r="C2" s="76">
        <v>11.601378430121249</v>
      </c>
      <c r="D2" s="76">
        <v>18.659342942708431</v>
      </c>
    </row>
    <row r="3" spans="1:4" x14ac:dyDescent="0.35">
      <c r="A3" s="61">
        <v>36557</v>
      </c>
      <c r="B3" s="76">
        <f t="shared" ref="B3:B66" si="0">C3+D3</f>
        <v>68.043456272068866</v>
      </c>
      <c r="C3" s="76">
        <v>12.025519999999998</v>
      </c>
      <c r="D3" s="76">
        <v>56.017936272068866</v>
      </c>
    </row>
    <row r="4" spans="1:4" x14ac:dyDescent="0.35">
      <c r="A4" s="61">
        <v>36586</v>
      </c>
      <c r="B4" s="76">
        <f t="shared" si="0"/>
        <v>53.702371776020279</v>
      </c>
      <c r="C4" s="76">
        <v>12.019539999999999</v>
      </c>
      <c r="D4" s="76">
        <v>41.682831776020279</v>
      </c>
    </row>
    <row r="5" spans="1:4" x14ac:dyDescent="0.35">
      <c r="A5" s="61">
        <v>36617</v>
      </c>
      <c r="B5" s="76">
        <f t="shared" si="0"/>
        <v>72.701218803177539</v>
      </c>
      <c r="C5" s="76">
        <v>8.9</v>
      </c>
      <c r="D5" s="76">
        <v>63.801218803177534</v>
      </c>
    </row>
    <row r="6" spans="1:4" x14ac:dyDescent="0.35">
      <c r="A6" s="61">
        <v>36647</v>
      </c>
      <c r="B6" s="76">
        <f t="shared" si="0"/>
        <v>47.719765011538456</v>
      </c>
      <c r="C6" s="76">
        <v>8.5028399999999991</v>
      </c>
      <c r="D6" s="76">
        <v>39.216925011538457</v>
      </c>
    </row>
    <row r="7" spans="1:4" x14ac:dyDescent="0.35">
      <c r="A7" s="61">
        <v>36678</v>
      </c>
      <c r="B7" s="76">
        <f t="shared" si="0"/>
        <v>65.21278362000001</v>
      </c>
      <c r="C7" s="76">
        <v>18.285519999999998</v>
      </c>
      <c r="D7" s="76">
        <v>46.927263620000005</v>
      </c>
    </row>
    <row r="8" spans="1:4" x14ac:dyDescent="0.35">
      <c r="A8" s="61">
        <v>36708</v>
      </c>
      <c r="B8" s="76">
        <f t="shared" si="0"/>
        <v>54.83376981153846</v>
      </c>
      <c r="C8" s="76">
        <v>5.00352</v>
      </c>
      <c r="D8" s="76">
        <v>49.830249811538458</v>
      </c>
    </row>
    <row r="9" spans="1:4" x14ac:dyDescent="0.35">
      <c r="A9" s="61">
        <v>36739</v>
      </c>
      <c r="B9" s="76">
        <f t="shared" si="0"/>
        <v>87.676632951538451</v>
      </c>
      <c r="C9" s="76">
        <v>4.5520800000000001</v>
      </c>
      <c r="D9" s="76">
        <v>83.124552951538448</v>
      </c>
    </row>
    <row r="10" spans="1:4" x14ac:dyDescent="0.35">
      <c r="A10" s="61">
        <v>36770</v>
      </c>
      <c r="B10" s="76">
        <f t="shared" si="0"/>
        <v>48.793556181538456</v>
      </c>
      <c r="C10" s="76">
        <v>6.6933999999999996</v>
      </c>
      <c r="D10" s="76">
        <v>42.100156181538459</v>
      </c>
    </row>
    <row r="11" spans="1:4" x14ac:dyDescent="0.35">
      <c r="A11" s="61">
        <v>36800</v>
      </c>
      <c r="B11" s="76">
        <f t="shared" si="0"/>
        <v>71.999165128205121</v>
      </c>
      <c r="C11" s="76">
        <v>5.4874000000000001</v>
      </c>
      <c r="D11" s="76">
        <v>66.511765128205127</v>
      </c>
    </row>
    <row r="12" spans="1:4" x14ac:dyDescent="0.35">
      <c r="A12" s="61">
        <v>36831</v>
      </c>
      <c r="B12" s="76">
        <f t="shared" si="0"/>
        <v>69.518518234781936</v>
      </c>
      <c r="C12" s="76">
        <v>12.221373874262696</v>
      </c>
      <c r="D12" s="76">
        <v>57.297144360519241</v>
      </c>
    </row>
    <row r="13" spans="1:4" x14ac:dyDescent="0.35">
      <c r="A13" s="61">
        <v>36861</v>
      </c>
      <c r="B13" s="76">
        <f t="shared" si="0"/>
        <v>209.58083232906986</v>
      </c>
      <c r="C13" s="76">
        <v>14.512368649115237</v>
      </c>
      <c r="D13" s="76">
        <v>195.06846367995462</v>
      </c>
    </row>
    <row r="14" spans="1:4" x14ac:dyDescent="0.35">
      <c r="A14" s="61">
        <v>36892</v>
      </c>
      <c r="B14" s="76">
        <f t="shared" si="0"/>
        <v>66.038985999999994</v>
      </c>
      <c r="C14" s="76">
        <v>12.2</v>
      </c>
      <c r="D14" s="76">
        <v>53.838985999999991</v>
      </c>
    </row>
    <row r="15" spans="1:4" x14ac:dyDescent="0.35">
      <c r="A15" s="61">
        <v>36923</v>
      </c>
      <c r="B15" s="76">
        <f t="shared" si="0"/>
        <v>37.719016000000011</v>
      </c>
      <c r="C15" s="76">
        <v>10.572000000000001</v>
      </c>
      <c r="D15" s="76">
        <v>27.147016000000008</v>
      </c>
    </row>
    <row r="16" spans="1:4" x14ac:dyDescent="0.35">
      <c r="A16" s="61">
        <v>36951</v>
      </c>
      <c r="B16" s="76">
        <f t="shared" si="0"/>
        <v>41.982399999999998</v>
      </c>
      <c r="C16" s="76">
        <v>18.216999999999999</v>
      </c>
      <c r="D16" s="76">
        <v>23.7654</v>
      </c>
    </row>
    <row r="17" spans="1:4" x14ac:dyDescent="0.35">
      <c r="A17" s="61">
        <v>36982</v>
      </c>
      <c r="B17" s="76">
        <f t="shared" si="0"/>
        <v>45.374098999999994</v>
      </c>
      <c r="C17" s="76">
        <v>10.641</v>
      </c>
      <c r="D17" s="76">
        <v>34.733098999999996</v>
      </c>
    </row>
    <row r="18" spans="1:4" x14ac:dyDescent="0.35">
      <c r="A18" s="61">
        <v>37012</v>
      </c>
      <c r="B18" s="76">
        <f t="shared" si="0"/>
        <v>42.573999999999998</v>
      </c>
      <c r="C18" s="76">
        <v>13.603999999999999</v>
      </c>
      <c r="D18" s="76">
        <v>28.97</v>
      </c>
    </row>
    <row r="19" spans="1:4" x14ac:dyDescent="0.35">
      <c r="A19" s="61">
        <v>37043</v>
      </c>
      <c r="B19" s="76">
        <f t="shared" si="0"/>
        <v>78.619100000000003</v>
      </c>
      <c r="C19" s="76">
        <v>12.492000000000001</v>
      </c>
      <c r="D19" s="76">
        <v>66.127099999999999</v>
      </c>
    </row>
    <row r="20" spans="1:4" x14ac:dyDescent="0.35">
      <c r="A20" s="61">
        <v>37073</v>
      </c>
      <c r="B20" s="76">
        <f t="shared" si="0"/>
        <v>36.672809999999998</v>
      </c>
      <c r="C20" s="76">
        <v>10.407999999999999</v>
      </c>
      <c r="D20" s="76">
        <v>26.264809999999997</v>
      </c>
    </row>
    <row r="21" spans="1:4" x14ac:dyDescent="0.35">
      <c r="A21" s="61">
        <v>37104</v>
      </c>
      <c r="B21" s="76">
        <f t="shared" si="0"/>
        <v>53.316163000000003</v>
      </c>
      <c r="C21" s="76">
        <v>10.359299999999999</v>
      </c>
      <c r="D21" s="76">
        <v>42.956863000000006</v>
      </c>
    </row>
    <row r="22" spans="1:4" x14ac:dyDescent="0.35">
      <c r="A22" s="61">
        <v>37135</v>
      </c>
      <c r="B22" s="76">
        <f t="shared" si="0"/>
        <v>44.610200000000006</v>
      </c>
      <c r="C22" s="76">
        <v>12.148999999999999</v>
      </c>
      <c r="D22" s="76">
        <v>32.461200000000005</v>
      </c>
    </row>
    <row r="23" spans="1:4" x14ac:dyDescent="0.35">
      <c r="A23" s="61">
        <v>37165</v>
      </c>
      <c r="B23" s="76">
        <f t="shared" si="0"/>
        <v>47.97</v>
      </c>
      <c r="C23" s="76">
        <v>12.2</v>
      </c>
      <c r="D23" s="76">
        <v>35.770000000000003</v>
      </c>
    </row>
    <row r="24" spans="1:4" x14ac:dyDescent="0.35">
      <c r="A24" s="61">
        <v>37196</v>
      </c>
      <c r="B24" s="76">
        <f t="shared" si="0"/>
        <v>44.709999999999994</v>
      </c>
      <c r="C24" s="76">
        <v>12.5</v>
      </c>
      <c r="D24" s="76">
        <v>32.209999999999994</v>
      </c>
    </row>
    <row r="25" spans="1:4" x14ac:dyDescent="0.35">
      <c r="A25" s="61">
        <v>37226</v>
      </c>
      <c r="B25" s="76">
        <f t="shared" si="0"/>
        <v>65.522999999999982</v>
      </c>
      <c r="C25" s="76">
        <v>15.9</v>
      </c>
      <c r="D25" s="76">
        <v>49.622999999999983</v>
      </c>
    </row>
    <row r="26" spans="1:4" x14ac:dyDescent="0.35">
      <c r="A26" s="61">
        <v>37257</v>
      </c>
      <c r="B26" s="76">
        <f t="shared" si="0"/>
        <v>53.745189491891765</v>
      </c>
      <c r="C26" s="76">
        <v>16.503</v>
      </c>
      <c r="D26" s="76">
        <v>37.242189491891764</v>
      </c>
    </row>
    <row r="27" spans="1:4" x14ac:dyDescent="0.35">
      <c r="A27" s="61">
        <v>37288</v>
      </c>
      <c r="B27" s="76">
        <f t="shared" si="0"/>
        <v>113.842</v>
      </c>
      <c r="C27" s="76">
        <v>17.378</v>
      </c>
      <c r="D27" s="76">
        <v>96.463999999999999</v>
      </c>
    </row>
    <row r="28" spans="1:4" x14ac:dyDescent="0.35">
      <c r="A28" s="61">
        <v>37316</v>
      </c>
      <c r="B28" s="76">
        <f t="shared" si="0"/>
        <v>43.912999999999997</v>
      </c>
      <c r="C28" s="76">
        <v>17.378</v>
      </c>
      <c r="D28" s="76">
        <v>26.535</v>
      </c>
    </row>
    <row r="29" spans="1:4" x14ac:dyDescent="0.35">
      <c r="A29" s="61">
        <v>37347</v>
      </c>
      <c r="B29" s="76">
        <f t="shared" si="0"/>
        <v>49.341814000000007</v>
      </c>
      <c r="C29" s="76">
        <v>16.603000000000002</v>
      </c>
      <c r="D29" s="76">
        <v>32.738814000000005</v>
      </c>
    </row>
    <row r="30" spans="1:4" x14ac:dyDescent="0.35">
      <c r="A30" s="61">
        <v>37377</v>
      </c>
      <c r="B30" s="76">
        <f t="shared" si="0"/>
        <v>58.486550772654617</v>
      </c>
      <c r="C30" s="76">
        <v>16.603000000000002</v>
      </c>
      <c r="D30" s="76">
        <v>41.883550772654615</v>
      </c>
    </row>
    <row r="31" spans="1:4" x14ac:dyDescent="0.35">
      <c r="A31" s="61">
        <v>37408</v>
      </c>
      <c r="B31" s="76">
        <f t="shared" si="0"/>
        <v>46.259</v>
      </c>
      <c r="C31" s="76">
        <v>17.699000000000002</v>
      </c>
      <c r="D31" s="76">
        <v>28.56</v>
      </c>
    </row>
    <row r="32" spans="1:4" x14ac:dyDescent="0.35">
      <c r="A32" s="61">
        <v>37438</v>
      </c>
      <c r="B32" s="76">
        <f t="shared" si="0"/>
        <v>63.978726999999999</v>
      </c>
      <c r="C32" s="76">
        <v>25.786999999999999</v>
      </c>
      <c r="D32" s="76">
        <v>38.191727</v>
      </c>
    </row>
    <row r="33" spans="1:4" x14ac:dyDescent="0.35">
      <c r="A33" s="61">
        <v>37469</v>
      </c>
      <c r="B33" s="76">
        <f t="shared" si="0"/>
        <v>71.204000000000008</v>
      </c>
      <c r="C33" s="76">
        <v>25.786999999999999</v>
      </c>
      <c r="D33" s="76">
        <v>45.417000000000002</v>
      </c>
    </row>
    <row r="34" spans="1:4" x14ac:dyDescent="0.35">
      <c r="A34" s="61">
        <v>37500</v>
      </c>
      <c r="B34" s="76">
        <f t="shared" si="0"/>
        <v>72.251944693524763</v>
      </c>
      <c r="C34" s="76">
        <v>26.707000000000001</v>
      </c>
      <c r="D34" s="76">
        <v>45.544944693524755</v>
      </c>
    </row>
    <row r="35" spans="1:4" x14ac:dyDescent="0.35">
      <c r="A35" s="61">
        <v>37530</v>
      </c>
      <c r="B35" s="76">
        <f t="shared" si="0"/>
        <v>55.224592583333333</v>
      </c>
      <c r="C35" s="76">
        <v>23.859000000000002</v>
      </c>
      <c r="D35" s="76">
        <v>31.365592583333331</v>
      </c>
    </row>
    <row r="36" spans="1:4" x14ac:dyDescent="0.35">
      <c r="A36" s="61">
        <v>37561</v>
      </c>
      <c r="B36" s="76">
        <f t="shared" si="0"/>
        <v>54.681592583333334</v>
      </c>
      <c r="C36" s="76">
        <v>23.843</v>
      </c>
      <c r="D36" s="76">
        <v>30.838592583333334</v>
      </c>
    </row>
    <row r="37" spans="1:4" x14ac:dyDescent="0.35">
      <c r="A37" s="61">
        <v>37591</v>
      </c>
      <c r="B37" s="76">
        <f t="shared" si="0"/>
        <v>146.77655016691787</v>
      </c>
      <c r="C37" s="76">
        <v>81.097000000000008</v>
      </c>
      <c r="D37" s="76">
        <v>65.679550166917863</v>
      </c>
    </row>
    <row r="38" spans="1:4" x14ac:dyDescent="0.35">
      <c r="A38" s="61">
        <v>37622</v>
      </c>
      <c r="B38" s="76">
        <f t="shared" si="0"/>
        <v>62.450349430299049</v>
      </c>
      <c r="C38" s="76">
        <v>27.6</v>
      </c>
      <c r="D38" s="76">
        <v>34.850349430299048</v>
      </c>
    </row>
    <row r="39" spans="1:4" x14ac:dyDescent="0.35">
      <c r="A39" s="61">
        <v>37653</v>
      </c>
      <c r="B39" s="76">
        <f t="shared" si="0"/>
        <v>76.611419316358848</v>
      </c>
      <c r="C39" s="76">
        <v>37.9</v>
      </c>
      <c r="D39" s="76">
        <v>38.71141931635885</v>
      </c>
    </row>
    <row r="40" spans="1:4" x14ac:dyDescent="0.35">
      <c r="A40" s="61">
        <v>37681</v>
      </c>
      <c r="B40" s="76">
        <f t="shared" si="0"/>
        <v>77.169971905721695</v>
      </c>
      <c r="C40" s="76">
        <v>34</v>
      </c>
      <c r="D40" s="76">
        <v>43.169971905721688</v>
      </c>
    </row>
    <row r="41" spans="1:4" x14ac:dyDescent="0.35">
      <c r="A41" s="61">
        <v>37712</v>
      </c>
      <c r="B41" s="76">
        <f t="shared" si="0"/>
        <v>86.444000000000003</v>
      </c>
      <c r="C41" s="76">
        <v>41.54</v>
      </c>
      <c r="D41" s="76">
        <v>44.904000000000003</v>
      </c>
    </row>
    <row r="42" spans="1:4" x14ac:dyDescent="0.35">
      <c r="A42" s="61">
        <v>37742</v>
      </c>
      <c r="B42" s="76">
        <f t="shared" si="0"/>
        <v>78.351397721196165</v>
      </c>
      <c r="C42" s="76">
        <v>34.5</v>
      </c>
      <c r="D42" s="76">
        <v>43.851397721196165</v>
      </c>
    </row>
    <row r="43" spans="1:4" x14ac:dyDescent="0.35">
      <c r="A43" s="61">
        <v>37773</v>
      </c>
      <c r="B43" s="76">
        <f t="shared" si="0"/>
        <v>88.404943811443374</v>
      </c>
      <c r="C43" s="76">
        <v>32.4</v>
      </c>
      <c r="D43" s="76">
        <v>56.004943811443376</v>
      </c>
    </row>
    <row r="44" spans="1:4" x14ac:dyDescent="0.35">
      <c r="A44" s="61">
        <v>37803</v>
      </c>
      <c r="B44" s="76">
        <f t="shared" si="0"/>
        <v>104.16666666666667</v>
      </c>
      <c r="C44" s="76">
        <v>46</v>
      </c>
      <c r="D44" s="76">
        <v>58.166666666666671</v>
      </c>
    </row>
    <row r="45" spans="1:4" x14ac:dyDescent="0.35">
      <c r="A45" s="61">
        <v>37834</v>
      </c>
      <c r="B45" s="76">
        <f t="shared" si="0"/>
        <v>90.06</v>
      </c>
      <c r="C45" s="76">
        <v>54</v>
      </c>
      <c r="D45" s="76">
        <v>36.059999999999995</v>
      </c>
    </row>
    <row r="46" spans="1:4" x14ac:dyDescent="0.35">
      <c r="A46" s="61">
        <v>37865</v>
      </c>
      <c r="B46" s="76">
        <f t="shared" si="0"/>
        <v>122.51069606351035</v>
      </c>
      <c r="C46" s="76">
        <v>56</v>
      </c>
      <c r="D46" s="76">
        <v>66.510696063510352</v>
      </c>
    </row>
    <row r="47" spans="1:4" x14ac:dyDescent="0.35">
      <c r="A47" s="61">
        <v>37895</v>
      </c>
      <c r="B47" s="76">
        <f t="shared" si="0"/>
        <v>86.65727428556103</v>
      </c>
      <c r="C47" s="76">
        <v>40</v>
      </c>
      <c r="D47" s="76">
        <v>46.65727428556103</v>
      </c>
    </row>
    <row r="48" spans="1:4" x14ac:dyDescent="0.35">
      <c r="A48" s="61">
        <v>37926</v>
      </c>
      <c r="B48" s="76">
        <f t="shared" si="0"/>
        <v>83.258574407641504</v>
      </c>
      <c r="C48" s="76">
        <v>38.5</v>
      </c>
      <c r="D48" s="76">
        <v>44.758574407641497</v>
      </c>
    </row>
    <row r="49" spans="1:4" x14ac:dyDescent="0.35">
      <c r="A49" s="61">
        <v>37956</v>
      </c>
      <c r="B49" s="76">
        <f t="shared" si="0"/>
        <v>113.23333333333333</v>
      </c>
      <c r="C49" s="76">
        <v>73.5</v>
      </c>
      <c r="D49" s="76">
        <v>39.733333333333334</v>
      </c>
    </row>
    <row r="50" spans="1:4" x14ac:dyDescent="0.35">
      <c r="A50" s="61">
        <v>37987</v>
      </c>
      <c r="B50" s="76">
        <f t="shared" si="0"/>
        <v>90.885416860000021</v>
      </c>
      <c r="C50" s="76">
        <v>40.569416860000004</v>
      </c>
      <c r="D50" s="76">
        <v>50.31600000000001</v>
      </c>
    </row>
    <row r="51" spans="1:4" x14ac:dyDescent="0.35">
      <c r="A51" s="61">
        <v>38018</v>
      </c>
      <c r="B51" s="76">
        <f t="shared" si="0"/>
        <v>96.719843036666674</v>
      </c>
      <c r="C51" s="76">
        <v>43.382042370000001</v>
      </c>
      <c r="D51" s="76">
        <v>53.337800666666666</v>
      </c>
    </row>
    <row r="52" spans="1:4" x14ac:dyDescent="0.35">
      <c r="A52" s="61">
        <v>38047</v>
      </c>
      <c r="B52" s="76">
        <f t="shared" si="0"/>
        <v>98.224714246666679</v>
      </c>
      <c r="C52" s="76">
        <v>41.896325210000001</v>
      </c>
      <c r="D52" s="76">
        <v>56.328389036666678</v>
      </c>
    </row>
    <row r="53" spans="1:4" x14ac:dyDescent="0.35">
      <c r="A53" s="61">
        <v>38078</v>
      </c>
      <c r="B53" s="76">
        <f t="shared" si="0"/>
        <v>122.5888909</v>
      </c>
      <c r="C53" s="76">
        <v>51.25032203</v>
      </c>
      <c r="D53" s="76">
        <v>71.338568869999989</v>
      </c>
    </row>
    <row r="54" spans="1:4" x14ac:dyDescent="0.35">
      <c r="A54" s="61">
        <v>38108</v>
      </c>
      <c r="B54" s="76">
        <f t="shared" si="0"/>
        <v>109.39675237666665</v>
      </c>
      <c r="C54" s="76">
        <v>42.917159210000001</v>
      </c>
      <c r="D54" s="76">
        <v>66.47959316666666</v>
      </c>
    </row>
    <row r="55" spans="1:4" x14ac:dyDescent="0.35">
      <c r="A55" s="61">
        <v>38139</v>
      </c>
      <c r="B55" s="76">
        <f t="shared" si="0"/>
        <v>125.55173504666665</v>
      </c>
      <c r="C55" s="76">
        <v>70.3</v>
      </c>
      <c r="D55" s="76">
        <v>55.251735046666653</v>
      </c>
    </row>
    <row r="56" spans="1:4" x14ac:dyDescent="0.35">
      <c r="A56" s="61">
        <v>38169</v>
      </c>
      <c r="B56" s="76">
        <f t="shared" si="0"/>
        <v>112.18546957</v>
      </c>
      <c r="C56" s="76">
        <v>43.2</v>
      </c>
      <c r="D56" s="76">
        <v>68.985469569999992</v>
      </c>
    </row>
    <row r="57" spans="1:4" x14ac:dyDescent="0.35">
      <c r="A57" s="61">
        <v>38200</v>
      </c>
      <c r="B57" s="76">
        <f t="shared" si="0"/>
        <v>134.88115760000002</v>
      </c>
      <c r="C57" s="76">
        <v>60.192</v>
      </c>
      <c r="D57" s="76">
        <v>74.689157600000016</v>
      </c>
    </row>
    <row r="58" spans="1:4" x14ac:dyDescent="0.35">
      <c r="A58" s="61">
        <v>38231</v>
      </c>
      <c r="B58" s="76">
        <f t="shared" si="0"/>
        <v>138.8586970806787</v>
      </c>
      <c r="C58" s="76">
        <v>69.478999999999999</v>
      </c>
      <c r="D58" s="76">
        <v>69.379697080678696</v>
      </c>
    </row>
    <row r="59" spans="1:4" x14ac:dyDescent="0.35">
      <c r="A59" s="61">
        <v>38261</v>
      </c>
      <c r="B59" s="76">
        <f t="shared" si="0"/>
        <v>118.06563905333331</v>
      </c>
      <c r="C59" s="76">
        <v>52.819999999999993</v>
      </c>
      <c r="D59" s="76">
        <v>65.245639053333321</v>
      </c>
    </row>
    <row r="60" spans="1:4" x14ac:dyDescent="0.35">
      <c r="A60" s="61">
        <v>38292</v>
      </c>
      <c r="B60" s="76">
        <f t="shared" si="0"/>
        <v>138.01434499999999</v>
      </c>
      <c r="C60" s="76">
        <v>57.875999999999998</v>
      </c>
      <c r="D60" s="76">
        <v>80.138345000000001</v>
      </c>
    </row>
    <row r="61" spans="1:4" x14ac:dyDescent="0.35">
      <c r="A61" s="61">
        <v>38322</v>
      </c>
      <c r="B61" s="76">
        <f t="shared" si="0"/>
        <v>184.11227</v>
      </c>
      <c r="C61" s="76">
        <v>91.691999999999993</v>
      </c>
      <c r="D61" s="76">
        <v>92.420270000000002</v>
      </c>
    </row>
    <row r="62" spans="1:4" x14ac:dyDescent="0.35">
      <c r="A62" s="61">
        <v>38353</v>
      </c>
      <c r="B62" s="76">
        <f t="shared" si="0"/>
        <v>125.8551356530749</v>
      </c>
      <c r="C62" s="76">
        <v>51.45092957</v>
      </c>
      <c r="D62" s="76">
        <v>74.404206083074897</v>
      </c>
    </row>
    <row r="63" spans="1:4" x14ac:dyDescent="0.35">
      <c r="A63" s="61">
        <v>38384</v>
      </c>
      <c r="B63" s="76">
        <f t="shared" si="0"/>
        <v>130.70659647666665</v>
      </c>
      <c r="C63" s="76">
        <v>56.084737519999997</v>
      </c>
      <c r="D63" s="76">
        <v>74.621858956666657</v>
      </c>
    </row>
    <row r="64" spans="1:4" x14ac:dyDescent="0.35">
      <c r="A64" s="61">
        <v>38412</v>
      </c>
      <c r="B64" s="76">
        <f t="shared" si="0"/>
        <v>121.33760097000001</v>
      </c>
      <c r="C64" s="76">
        <v>55.766470830000003</v>
      </c>
      <c r="D64" s="76">
        <v>65.571130140000008</v>
      </c>
    </row>
    <row r="65" spans="1:4" x14ac:dyDescent="0.35">
      <c r="A65" s="61">
        <v>38443</v>
      </c>
      <c r="B65" s="76">
        <f t="shared" si="0"/>
        <v>125.73755133</v>
      </c>
      <c r="C65" s="76">
        <v>62.901844560000001</v>
      </c>
      <c r="D65" s="76">
        <v>62.835706770000002</v>
      </c>
    </row>
    <row r="66" spans="1:4" x14ac:dyDescent="0.35">
      <c r="A66" s="61">
        <v>38473</v>
      </c>
      <c r="B66" s="76">
        <f t="shared" si="0"/>
        <v>153.92161708583333</v>
      </c>
      <c r="C66" s="76">
        <v>55.252650889999998</v>
      </c>
      <c r="D66" s="76">
        <v>98.668966195833335</v>
      </c>
    </row>
    <row r="67" spans="1:4" x14ac:dyDescent="0.35">
      <c r="A67" s="61">
        <v>38504</v>
      </c>
      <c r="B67" s="76">
        <f t="shared" ref="B67:B130" si="1">C67+D67</f>
        <v>126.89085273583333</v>
      </c>
      <c r="C67" s="76">
        <v>59.236604010000001</v>
      </c>
      <c r="D67" s="76">
        <v>67.654248725833341</v>
      </c>
    </row>
    <row r="68" spans="1:4" x14ac:dyDescent="0.35">
      <c r="A68" s="61">
        <v>38534</v>
      </c>
      <c r="B68" s="76">
        <f t="shared" si="1"/>
        <v>184.72106455583332</v>
      </c>
      <c r="C68" s="76">
        <v>61.506800730000002</v>
      </c>
      <c r="D68" s="76">
        <v>123.21426382583331</v>
      </c>
    </row>
    <row r="69" spans="1:4" x14ac:dyDescent="0.35">
      <c r="A69" s="61">
        <v>38565</v>
      </c>
      <c r="B69" s="76">
        <f t="shared" si="1"/>
        <v>144.19529818583334</v>
      </c>
      <c r="C69" s="76">
        <v>59.519280370000004</v>
      </c>
      <c r="D69" s="76">
        <v>84.676017815833319</v>
      </c>
    </row>
    <row r="70" spans="1:4" x14ac:dyDescent="0.35">
      <c r="A70" s="61">
        <v>38596</v>
      </c>
      <c r="B70" s="76">
        <f t="shared" si="1"/>
        <v>434.2744792767167</v>
      </c>
      <c r="C70" s="76">
        <v>366.21748007999997</v>
      </c>
      <c r="D70" s="76">
        <v>68.056999196716731</v>
      </c>
    </row>
    <row r="71" spans="1:4" x14ac:dyDescent="0.35">
      <c r="A71" s="61">
        <v>38626</v>
      </c>
      <c r="B71" s="76">
        <f t="shared" si="1"/>
        <v>239.75922572583335</v>
      </c>
      <c r="C71" s="76">
        <v>165.49537156000002</v>
      </c>
      <c r="D71" s="76">
        <v>74.263854165833322</v>
      </c>
    </row>
    <row r="72" spans="1:4" x14ac:dyDescent="0.35">
      <c r="A72" s="61">
        <v>38657</v>
      </c>
      <c r="B72" s="76">
        <f t="shared" si="1"/>
        <v>158.66170115583333</v>
      </c>
      <c r="C72" s="76">
        <v>86.74433289000001</v>
      </c>
      <c r="D72" s="76">
        <v>71.917368265833332</v>
      </c>
    </row>
    <row r="73" spans="1:4" x14ac:dyDescent="0.35">
      <c r="A73" s="61">
        <v>38687</v>
      </c>
      <c r="B73" s="76">
        <f t="shared" si="1"/>
        <v>251.72277914916668</v>
      </c>
      <c r="C73" s="76">
        <v>103.97461005000001</v>
      </c>
      <c r="D73" s="76">
        <v>147.74816909916666</v>
      </c>
    </row>
    <row r="74" spans="1:4" x14ac:dyDescent="0.35">
      <c r="A74" s="61">
        <v>38718</v>
      </c>
      <c r="B74" s="76">
        <f t="shared" si="1"/>
        <v>151.04491190557491</v>
      </c>
      <c r="C74" s="76">
        <v>86.260999999999996</v>
      </c>
      <c r="D74" s="76">
        <v>64.783911905574897</v>
      </c>
    </row>
    <row r="75" spans="1:4" x14ac:dyDescent="0.35">
      <c r="A75" s="61">
        <v>38749</v>
      </c>
      <c r="B75" s="76">
        <f t="shared" si="1"/>
        <v>176.60038370250001</v>
      </c>
      <c r="C75" s="76">
        <v>101.496</v>
      </c>
      <c r="D75" s="76">
        <v>75.104383702500016</v>
      </c>
    </row>
    <row r="76" spans="1:4" x14ac:dyDescent="0.35">
      <c r="A76" s="61">
        <v>38777</v>
      </c>
      <c r="B76" s="76">
        <f t="shared" si="1"/>
        <v>236.54913699250005</v>
      </c>
      <c r="C76" s="76">
        <v>127.18700000000001</v>
      </c>
      <c r="D76" s="76">
        <v>109.36213699250003</v>
      </c>
    </row>
    <row r="77" spans="1:4" x14ac:dyDescent="0.35">
      <c r="A77" s="61">
        <v>38808</v>
      </c>
      <c r="B77" s="76">
        <f t="shared" si="1"/>
        <v>183.15444620138891</v>
      </c>
      <c r="C77" s="76">
        <v>115.245</v>
      </c>
      <c r="D77" s="76">
        <v>67.909446201388903</v>
      </c>
    </row>
    <row r="78" spans="1:4" x14ac:dyDescent="0.35">
      <c r="A78" s="61">
        <v>38838</v>
      </c>
      <c r="B78" s="76">
        <f t="shared" si="1"/>
        <v>180.85365284138891</v>
      </c>
      <c r="C78" s="76">
        <v>110.71000000000001</v>
      </c>
      <c r="D78" s="76">
        <v>70.143652841388899</v>
      </c>
    </row>
    <row r="79" spans="1:4" x14ac:dyDescent="0.35">
      <c r="A79" s="61">
        <v>38869</v>
      </c>
      <c r="B79" s="76">
        <f t="shared" si="1"/>
        <v>179.18418970974722</v>
      </c>
      <c r="C79" s="76">
        <v>89.266999999999996</v>
      </c>
      <c r="D79" s="76">
        <v>89.917189709747234</v>
      </c>
    </row>
    <row r="80" spans="1:4" x14ac:dyDescent="0.35">
      <c r="A80" s="61">
        <v>38899</v>
      </c>
      <c r="B80" s="76">
        <f t="shared" si="1"/>
        <v>205.99529088138888</v>
      </c>
      <c r="C80" s="76">
        <v>110.905</v>
      </c>
      <c r="D80" s="76">
        <v>95.090290881388896</v>
      </c>
    </row>
    <row r="81" spans="1:4" x14ac:dyDescent="0.35">
      <c r="A81" s="61">
        <v>38930</v>
      </c>
      <c r="B81" s="76">
        <f t="shared" si="1"/>
        <v>158.52126290138892</v>
      </c>
      <c r="C81" s="76">
        <v>88.404000000000011</v>
      </c>
      <c r="D81" s="76">
        <v>70.117262901388912</v>
      </c>
    </row>
    <row r="82" spans="1:4" x14ac:dyDescent="0.35">
      <c r="A82" s="61">
        <v>38961</v>
      </c>
      <c r="B82" s="76">
        <f t="shared" si="1"/>
        <v>243.71067395810564</v>
      </c>
      <c r="C82" s="76">
        <v>113.843</v>
      </c>
      <c r="D82" s="76">
        <v>129.86767395810563</v>
      </c>
    </row>
    <row r="83" spans="1:4" x14ac:dyDescent="0.35">
      <c r="A83" s="61">
        <v>38991</v>
      </c>
      <c r="B83" s="76">
        <f t="shared" si="1"/>
        <v>216.31834895138888</v>
      </c>
      <c r="C83" s="76">
        <v>89.704000000000008</v>
      </c>
      <c r="D83" s="76">
        <v>126.61434895138889</v>
      </c>
    </row>
    <row r="84" spans="1:4" x14ac:dyDescent="0.35">
      <c r="A84" s="61">
        <v>39022</v>
      </c>
      <c r="B84" s="76">
        <f t="shared" si="1"/>
        <v>195.23812914692789</v>
      </c>
      <c r="C84" s="76">
        <v>78.456999999999994</v>
      </c>
      <c r="D84" s="76">
        <v>116.7811291469279</v>
      </c>
    </row>
    <row r="85" spans="1:4" x14ac:dyDescent="0.35">
      <c r="A85" s="61">
        <v>39052</v>
      </c>
      <c r="B85" s="76">
        <f t="shared" si="1"/>
        <v>292.48911339249997</v>
      </c>
      <c r="C85" s="76">
        <v>114.378</v>
      </c>
      <c r="D85" s="76">
        <v>178.11111339249999</v>
      </c>
    </row>
    <row r="86" spans="1:4" x14ac:dyDescent="0.35">
      <c r="A86" s="61">
        <v>39083</v>
      </c>
      <c r="B86" s="76">
        <f t="shared" si="1"/>
        <v>114.11789161999998</v>
      </c>
      <c r="C86" s="76">
        <v>67.780619839999986</v>
      </c>
      <c r="D86" s="76">
        <v>46.337271779999995</v>
      </c>
    </row>
    <row r="87" spans="1:4" x14ac:dyDescent="0.35">
      <c r="A87" s="61">
        <v>39114</v>
      </c>
      <c r="B87" s="76">
        <f t="shared" si="1"/>
        <v>136.65154858583332</v>
      </c>
      <c r="C87" s="76">
        <v>68.191816399999993</v>
      </c>
      <c r="D87" s="76">
        <v>68.459732185833332</v>
      </c>
    </row>
    <row r="88" spans="1:4" x14ac:dyDescent="0.35">
      <c r="A88" s="61">
        <v>39142</v>
      </c>
      <c r="B88" s="76">
        <f t="shared" si="1"/>
        <v>161.96068372583335</v>
      </c>
      <c r="C88" s="76">
        <v>84.266219400000011</v>
      </c>
      <c r="D88" s="76">
        <v>77.694464325833323</v>
      </c>
    </row>
    <row r="89" spans="1:4" x14ac:dyDescent="0.35">
      <c r="A89" s="61">
        <v>39173</v>
      </c>
      <c r="B89" s="76">
        <f t="shared" si="1"/>
        <v>168.49287034629165</v>
      </c>
      <c r="C89" s="76">
        <v>80.284437889999992</v>
      </c>
      <c r="D89" s="76">
        <v>88.208432456291661</v>
      </c>
    </row>
    <row r="90" spans="1:4" x14ac:dyDescent="0.35">
      <c r="A90" s="61">
        <v>39203</v>
      </c>
      <c r="B90" s="76">
        <f t="shared" si="1"/>
        <v>179.02555085555557</v>
      </c>
      <c r="C90" s="76">
        <v>99.133743039999999</v>
      </c>
      <c r="D90" s="76">
        <v>79.891807815555566</v>
      </c>
    </row>
    <row r="91" spans="1:4" x14ac:dyDescent="0.35">
      <c r="A91" s="61">
        <v>39234</v>
      </c>
      <c r="B91" s="76">
        <f t="shared" si="1"/>
        <v>182.85320541018058</v>
      </c>
      <c r="C91" s="76">
        <v>79.374224130000002</v>
      </c>
      <c r="D91" s="76">
        <v>103.47898128018058</v>
      </c>
    </row>
    <row r="92" spans="1:4" x14ac:dyDescent="0.35">
      <c r="A92" s="61">
        <v>39264</v>
      </c>
      <c r="B92" s="76">
        <f t="shared" si="1"/>
        <v>156.31143698018056</v>
      </c>
      <c r="C92" s="76">
        <v>74.251243479999999</v>
      </c>
      <c r="D92" s="76">
        <v>82.06019350018056</v>
      </c>
    </row>
    <row r="93" spans="1:4" x14ac:dyDescent="0.35">
      <c r="A93" s="61">
        <v>39295</v>
      </c>
      <c r="B93" s="76">
        <f t="shared" si="1"/>
        <v>369.09644250618055</v>
      </c>
      <c r="C93" s="76">
        <v>103.01602643000001</v>
      </c>
      <c r="D93" s="76">
        <v>266.08041607618054</v>
      </c>
    </row>
    <row r="94" spans="1:4" x14ac:dyDescent="0.35">
      <c r="A94" s="61">
        <v>39326</v>
      </c>
      <c r="B94" s="76">
        <f t="shared" si="1"/>
        <v>254.60561032689728</v>
      </c>
      <c r="C94" s="76">
        <v>83.58266236</v>
      </c>
      <c r="D94" s="76">
        <v>171.02294796689728</v>
      </c>
    </row>
    <row r="95" spans="1:4" x14ac:dyDescent="0.35">
      <c r="A95" s="61">
        <v>39356</v>
      </c>
      <c r="B95" s="76">
        <f t="shared" si="1"/>
        <v>313.77568212018059</v>
      </c>
      <c r="C95" s="76">
        <v>77.20687731000001</v>
      </c>
      <c r="D95" s="76">
        <v>236.56880481018058</v>
      </c>
    </row>
    <row r="96" spans="1:4" x14ac:dyDescent="0.35">
      <c r="A96" s="61">
        <v>39387</v>
      </c>
      <c r="B96" s="76">
        <f t="shared" si="1"/>
        <v>390.47435003183068</v>
      </c>
      <c r="C96" s="76">
        <v>254.36739399999999</v>
      </c>
      <c r="D96" s="76">
        <v>136.10695603183066</v>
      </c>
    </row>
    <row r="97" spans="1:4" x14ac:dyDescent="0.35">
      <c r="A97" s="61">
        <v>39417</v>
      </c>
      <c r="B97" s="76">
        <f t="shared" si="1"/>
        <v>403.26674145611116</v>
      </c>
      <c r="C97" s="76">
        <v>204.09918300000001</v>
      </c>
      <c r="D97" s="76">
        <v>199.16755845611112</v>
      </c>
    </row>
    <row r="98" spans="1:4" x14ac:dyDescent="0.35">
      <c r="A98" s="61">
        <v>39448</v>
      </c>
      <c r="B98" s="76">
        <f t="shared" si="1"/>
        <v>340.34499075873447</v>
      </c>
      <c r="C98" s="76">
        <v>112.43499999999999</v>
      </c>
      <c r="D98" s="76">
        <v>227.90999075873447</v>
      </c>
    </row>
    <row r="99" spans="1:4" x14ac:dyDescent="0.35">
      <c r="A99" s="61">
        <v>39479</v>
      </c>
      <c r="B99" s="76">
        <f t="shared" si="1"/>
        <v>384.21210635300292</v>
      </c>
      <c r="C99" s="76">
        <v>116.041</v>
      </c>
      <c r="D99" s="76">
        <v>268.17110635300293</v>
      </c>
    </row>
    <row r="100" spans="1:4" x14ac:dyDescent="0.35">
      <c r="A100" s="61">
        <v>39508</v>
      </c>
      <c r="B100" s="76">
        <f t="shared" si="1"/>
        <v>498.8073373504364</v>
      </c>
      <c r="C100" s="76">
        <v>141.209</v>
      </c>
      <c r="D100" s="76">
        <v>357.5983373504364</v>
      </c>
    </row>
    <row r="101" spans="1:4" x14ac:dyDescent="0.35">
      <c r="A101" s="61">
        <v>39539</v>
      </c>
      <c r="B101" s="76">
        <f t="shared" si="1"/>
        <v>577.91987473144388</v>
      </c>
      <c r="C101" s="76">
        <v>185.82299999999998</v>
      </c>
      <c r="D101" s="76">
        <v>392.0968747314439</v>
      </c>
    </row>
    <row r="102" spans="1:4" x14ac:dyDescent="0.35">
      <c r="A102" s="61">
        <v>39569</v>
      </c>
      <c r="B102" s="76">
        <f t="shared" si="1"/>
        <v>673.26830859026268</v>
      </c>
      <c r="C102" s="76">
        <v>122.435</v>
      </c>
      <c r="D102" s="76">
        <v>550.83330859026262</v>
      </c>
    </row>
    <row r="103" spans="1:4" x14ac:dyDescent="0.35">
      <c r="A103" s="61">
        <v>39600</v>
      </c>
      <c r="B103" s="76">
        <f t="shared" si="1"/>
        <v>606.18187268041902</v>
      </c>
      <c r="C103" s="76">
        <v>106.744</v>
      </c>
      <c r="D103" s="76">
        <v>499.43787268041899</v>
      </c>
    </row>
    <row r="104" spans="1:4" x14ac:dyDescent="0.35">
      <c r="A104" s="61">
        <v>39630</v>
      </c>
      <c r="B104" s="76">
        <f t="shared" si="1"/>
        <v>781.87339633363058</v>
      </c>
      <c r="C104" s="76">
        <v>105.286</v>
      </c>
      <c r="D104" s="76">
        <v>676.58739633363052</v>
      </c>
    </row>
    <row r="105" spans="1:4" x14ac:dyDescent="0.35">
      <c r="A105" s="61">
        <v>39661</v>
      </c>
      <c r="B105" s="76">
        <f t="shared" si="1"/>
        <v>614.70735004750213</v>
      </c>
      <c r="C105" s="76">
        <v>133.78</v>
      </c>
      <c r="D105" s="76">
        <v>480.9273500475021</v>
      </c>
    </row>
    <row r="106" spans="1:4" x14ac:dyDescent="0.35">
      <c r="A106" s="61">
        <v>39692</v>
      </c>
      <c r="B106" s="76">
        <f t="shared" si="1"/>
        <v>632.34054413794377</v>
      </c>
      <c r="C106" s="76">
        <v>100.389</v>
      </c>
      <c r="D106" s="76">
        <v>531.95154413794376</v>
      </c>
    </row>
    <row r="107" spans="1:4" x14ac:dyDescent="0.35">
      <c r="A107" s="61">
        <v>39722</v>
      </c>
      <c r="B107" s="76">
        <f t="shared" si="1"/>
        <v>715.83874452150019</v>
      </c>
      <c r="C107" s="76">
        <v>145.744</v>
      </c>
      <c r="D107" s="76">
        <v>570.09474452150016</v>
      </c>
    </row>
    <row r="108" spans="1:4" x14ac:dyDescent="0.35">
      <c r="A108" s="61">
        <v>39753</v>
      </c>
      <c r="B108" s="76">
        <f t="shared" si="1"/>
        <v>606.98223128271331</v>
      </c>
      <c r="C108" s="76">
        <v>117.379</v>
      </c>
      <c r="D108" s="76">
        <v>489.6032312827133</v>
      </c>
    </row>
    <row r="109" spans="1:4" x14ac:dyDescent="0.35">
      <c r="A109" s="61">
        <v>39783</v>
      </c>
      <c r="B109" s="76">
        <f t="shared" si="1"/>
        <v>666.64825859046937</v>
      </c>
      <c r="C109" s="76">
        <v>175.83199999999999</v>
      </c>
      <c r="D109" s="76">
        <v>490.81625859046932</v>
      </c>
    </row>
    <row r="110" spans="1:4" x14ac:dyDescent="0.35">
      <c r="A110" s="61">
        <v>39814</v>
      </c>
      <c r="B110" s="76">
        <f t="shared" si="1"/>
        <v>400.26971144214195</v>
      </c>
      <c r="C110" s="76">
        <v>105.483</v>
      </c>
      <c r="D110" s="76">
        <v>294.78671144214195</v>
      </c>
    </row>
    <row r="111" spans="1:4" x14ac:dyDescent="0.35">
      <c r="A111" s="61">
        <v>39845</v>
      </c>
      <c r="B111" s="76">
        <f t="shared" si="1"/>
        <v>372.40826946981679</v>
      </c>
      <c r="C111" s="76">
        <v>106.39599999999999</v>
      </c>
      <c r="D111" s="76">
        <v>266.01226946981683</v>
      </c>
    </row>
    <row r="112" spans="1:4" x14ac:dyDescent="0.35">
      <c r="A112" s="61">
        <v>39873</v>
      </c>
      <c r="B112" s="76">
        <f t="shared" si="1"/>
        <v>459.90994466684504</v>
      </c>
      <c r="C112" s="76">
        <v>135.89499999999998</v>
      </c>
      <c r="D112" s="76">
        <v>324.01494466684505</v>
      </c>
    </row>
    <row r="113" spans="1:4" x14ac:dyDescent="0.35">
      <c r="A113" s="61">
        <v>39904</v>
      </c>
      <c r="B113" s="76">
        <f t="shared" si="1"/>
        <v>493.50462045493123</v>
      </c>
      <c r="C113" s="76">
        <v>143.22999999999999</v>
      </c>
      <c r="D113" s="76">
        <v>350.27462045493127</v>
      </c>
    </row>
    <row r="114" spans="1:4" x14ac:dyDescent="0.35">
      <c r="A114" s="61">
        <v>39934</v>
      </c>
      <c r="B114" s="76">
        <f t="shared" si="1"/>
        <v>461.82546621317249</v>
      </c>
      <c r="C114" s="76">
        <v>136.55100000000002</v>
      </c>
      <c r="D114" s="76">
        <v>325.27446621317245</v>
      </c>
    </row>
    <row r="115" spans="1:4" x14ac:dyDescent="0.35">
      <c r="A115" s="61">
        <v>39965</v>
      </c>
      <c r="B115" s="76">
        <f t="shared" si="1"/>
        <v>335.32936344991163</v>
      </c>
      <c r="C115" s="76">
        <v>130.08799999999999</v>
      </c>
      <c r="D115" s="76">
        <v>205.24136344991166</v>
      </c>
    </row>
    <row r="116" spans="1:4" x14ac:dyDescent="0.35">
      <c r="A116" s="61">
        <v>39995</v>
      </c>
      <c r="B116" s="76">
        <f t="shared" si="1"/>
        <v>337.92168476077842</v>
      </c>
      <c r="C116" s="76">
        <v>113.16800000000001</v>
      </c>
      <c r="D116" s="76">
        <v>224.75368476077841</v>
      </c>
    </row>
    <row r="117" spans="1:4" x14ac:dyDescent="0.35">
      <c r="A117" s="61">
        <v>40026</v>
      </c>
      <c r="B117" s="76">
        <f t="shared" si="1"/>
        <v>418.60283041936918</v>
      </c>
      <c r="C117" s="76">
        <v>176.57799999999997</v>
      </c>
      <c r="D117" s="76">
        <v>242.02483041936924</v>
      </c>
    </row>
    <row r="118" spans="1:4" x14ac:dyDescent="0.35">
      <c r="A118" s="61">
        <v>40057</v>
      </c>
      <c r="B118" s="76">
        <f t="shared" si="1"/>
        <v>457.03440561370445</v>
      </c>
      <c r="C118" s="76">
        <v>150.07400000000001</v>
      </c>
      <c r="D118" s="76">
        <v>306.96040561370444</v>
      </c>
    </row>
    <row r="119" spans="1:4" x14ac:dyDescent="0.35">
      <c r="A119" s="61">
        <v>40087</v>
      </c>
      <c r="B119" s="76">
        <f t="shared" si="1"/>
        <v>649.95951160758966</v>
      </c>
      <c r="C119" s="76">
        <v>263.19600000000003</v>
      </c>
      <c r="D119" s="76">
        <v>386.76351160758963</v>
      </c>
    </row>
    <row r="120" spans="1:4" x14ac:dyDescent="0.35">
      <c r="A120" s="61">
        <v>40118</v>
      </c>
      <c r="B120" s="76">
        <f t="shared" si="1"/>
        <v>594.27486199805389</v>
      </c>
      <c r="C120" s="76">
        <v>189.87799999999999</v>
      </c>
      <c r="D120" s="76">
        <v>404.39686199805391</v>
      </c>
    </row>
    <row r="121" spans="1:4" x14ac:dyDescent="0.35">
      <c r="A121" s="61">
        <v>40148</v>
      </c>
      <c r="B121" s="76">
        <f t="shared" si="1"/>
        <v>746.75871671631285</v>
      </c>
      <c r="C121" s="76">
        <v>224.21800000000002</v>
      </c>
      <c r="D121" s="76">
        <v>522.54071671631277</v>
      </c>
    </row>
    <row r="122" spans="1:4" x14ac:dyDescent="0.35">
      <c r="A122" s="61">
        <v>40179</v>
      </c>
      <c r="B122" s="76">
        <f t="shared" si="1"/>
        <v>630.75771498259667</v>
      </c>
      <c r="C122" s="76">
        <v>167.56200000000001</v>
      </c>
      <c r="D122" s="76">
        <v>463.19571498259666</v>
      </c>
    </row>
    <row r="123" spans="1:4" x14ac:dyDescent="0.35">
      <c r="A123" s="61">
        <v>40210</v>
      </c>
      <c r="B123" s="76">
        <f t="shared" si="1"/>
        <v>595.78907565685495</v>
      </c>
      <c r="C123" s="76">
        <v>159.79399999999998</v>
      </c>
      <c r="D123" s="76">
        <v>435.99507565685497</v>
      </c>
    </row>
    <row r="124" spans="1:4" x14ac:dyDescent="0.35">
      <c r="A124" s="61">
        <v>40238</v>
      </c>
      <c r="B124" s="76">
        <f t="shared" si="1"/>
        <v>643.88931804525498</v>
      </c>
      <c r="C124" s="76">
        <v>190.923</v>
      </c>
      <c r="D124" s="76">
        <v>452.96631804525498</v>
      </c>
    </row>
    <row r="125" spans="1:4" x14ac:dyDescent="0.35">
      <c r="A125" s="61">
        <v>40269</v>
      </c>
      <c r="B125" s="76">
        <f t="shared" si="1"/>
        <v>630.89104673333043</v>
      </c>
      <c r="C125" s="76">
        <v>205.61448621</v>
      </c>
      <c r="D125" s="76">
        <v>425.27656052333043</v>
      </c>
    </row>
    <row r="126" spans="1:4" x14ac:dyDescent="0.35">
      <c r="A126" s="61">
        <v>40299</v>
      </c>
      <c r="B126" s="76">
        <f t="shared" si="1"/>
        <v>624.61728047224688</v>
      </c>
      <c r="C126" s="76">
        <v>149.33019706000002</v>
      </c>
      <c r="D126" s="76">
        <v>475.28708341224683</v>
      </c>
    </row>
    <row r="127" spans="1:4" x14ac:dyDescent="0.35">
      <c r="A127" s="61">
        <v>40330</v>
      </c>
      <c r="B127" s="76">
        <f t="shared" si="1"/>
        <v>578.00655514990763</v>
      </c>
      <c r="C127" s="76">
        <v>163.062273</v>
      </c>
      <c r="D127" s="76">
        <v>414.94428214990762</v>
      </c>
    </row>
    <row r="128" spans="1:4" x14ac:dyDescent="0.35">
      <c r="A128" s="61">
        <v>40360</v>
      </c>
      <c r="B128" s="76">
        <f t="shared" si="1"/>
        <v>597.46897694040069</v>
      </c>
      <c r="C128" s="76">
        <v>173.92736400000001</v>
      </c>
      <c r="D128" s="76">
        <v>423.54161294040068</v>
      </c>
    </row>
    <row r="129" spans="1:4" x14ac:dyDescent="0.35">
      <c r="A129" s="61">
        <v>40391</v>
      </c>
      <c r="B129" s="76">
        <f t="shared" si="1"/>
        <v>607.02920122962655</v>
      </c>
      <c r="C129" s="76">
        <v>229.232</v>
      </c>
      <c r="D129" s="76">
        <v>377.79720122962652</v>
      </c>
    </row>
    <row r="130" spans="1:4" x14ac:dyDescent="0.35">
      <c r="A130" s="61">
        <v>40422</v>
      </c>
      <c r="B130" s="76">
        <f t="shared" si="1"/>
        <v>579.78518745576537</v>
      </c>
      <c r="C130" s="76">
        <v>170.172359</v>
      </c>
      <c r="D130" s="76">
        <v>409.6128284557654</v>
      </c>
    </row>
    <row r="131" spans="1:4" x14ac:dyDescent="0.35">
      <c r="A131" s="61">
        <v>40452</v>
      </c>
      <c r="B131" s="76">
        <f t="shared" ref="B131:B194" si="2">C131+D131</f>
        <v>576.37860336646395</v>
      </c>
      <c r="C131" s="76">
        <v>159.54176799999999</v>
      </c>
      <c r="D131" s="76">
        <v>416.83683536646396</v>
      </c>
    </row>
    <row r="132" spans="1:4" x14ac:dyDescent="0.35">
      <c r="A132" s="61">
        <v>40483</v>
      </c>
      <c r="B132" s="76">
        <f t="shared" si="2"/>
        <v>746.52052742133151</v>
      </c>
      <c r="C132" s="76">
        <v>220.03500000000003</v>
      </c>
      <c r="D132" s="76">
        <v>526.48552742133154</v>
      </c>
    </row>
    <row r="133" spans="1:4" x14ac:dyDescent="0.35">
      <c r="A133" s="61">
        <v>40513</v>
      </c>
      <c r="B133" s="76">
        <f t="shared" si="2"/>
        <v>805.20252586230765</v>
      </c>
      <c r="C133" s="76">
        <v>256.08199999999999</v>
      </c>
      <c r="D133" s="76">
        <v>549.12052586230766</v>
      </c>
    </row>
    <row r="134" spans="1:4" x14ac:dyDescent="0.35">
      <c r="A134" s="61">
        <v>40544</v>
      </c>
      <c r="B134" s="76">
        <f t="shared" si="2"/>
        <v>735.47207051436533</v>
      </c>
      <c r="C134" s="76">
        <v>227.37316290999999</v>
      </c>
      <c r="D134" s="76">
        <v>508.09890760436531</v>
      </c>
    </row>
    <row r="135" spans="1:4" x14ac:dyDescent="0.35">
      <c r="A135" s="61">
        <v>40575</v>
      </c>
      <c r="B135" s="76">
        <f t="shared" si="2"/>
        <v>820.04757336162606</v>
      </c>
      <c r="C135" s="76">
        <v>244.84709862999995</v>
      </c>
      <c r="D135" s="76">
        <v>575.20047473162617</v>
      </c>
    </row>
    <row r="136" spans="1:4" x14ac:dyDescent="0.35">
      <c r="A136" s="61">
        <v>40603</v>
      </c>
      <c r="B136" s="76">
        <f t="shared" si="2"/>
        <v>942.29549934180011</v>
      </c>
      <c r="C136" s="76">
        <v>271.86756336999997</v>
      </c>
      <c r="D136" s="76">
        <v>670.42793597180014</v>
      </c>
    </row>
    <row r="137" spans="1:4" x14ac:dyDescent="0.35">
      <c r="A137" s="61">
        <v>40634</v>
      </c>
      <c r="B137" s="76">
        <f t="shared" si="2"/>
        <v>1010.558462805301</v>
      </c>
      <c r="C137" s="76">
        <v>250.61800195000001</v>
      </c>
      <c r="D137" s="76">
        <v>759.94046085530101</v>
      </c>
    </row>
    <row r="138" spans="1:4" x14ac:dyDescent="0.35">
      <c r="A138" s="61">
        <v>40664</v>
      </c>
      <c r="B138" s="76">
        <f t="shared" si="2"/>
        <v>1001.5251977356736</v>
      </c>
      <c r="C138" s="76">
        <v>256.73289144</v>
      </c>
      <c r="D138" s="76">
        <v>744.7923062956736</v>
      </c>
    </row>
    <row r="139" spans="1:4" x14ac:dyDescent="0.35">
      <c r="A139" s="61">
        <v>40695</v>
      </c>
      <c r="B139" s="76">
        <f t="shared" si="2"/>
        <v>945.23461501495069</v>
      </c>
      <c r="C139" s="76">
        <v>261.55309160000002</v>
      </c>
      <c r="D139" s="76">
        <v>683.68152341495068</v>
      </c>
    </row>
    <row r="140" spans="1:4" x14ac:dyDescent="0.35">
      <c r="A140" s="61">
        <v>40725</v>
      </c>
      <c r="B140" s="76">
        <f t="shared" si="2"/>
        <v>1011.2407003569219</v>
      </c>
      <c r="C140" s="76">
        <v>271.28393986000003</v>
      </c>
      <c r="D140" s="76">
        <v>739.9567604969219</v>
      </c>
    </row>
    <row r="141" spans="1:4" x14ac:dyDescent="0.35">
      <c r="A141" s="61">
        <v>40756</v>
      </c>
      <c r="B141" s="76">
        <f t="shared" si="2"/>
        <v>991.94019469612851</v>
      </c>
      <c r="C141" s="76">
        <v>344.40909999999997</v>
      </c>
      <c r="D141" s="76">
        <v>647.53109469612855</v>
      </c>
    </row>
    <row r="142" spans="1:4" x14ac:dyDescent="0.35">
      <c r="A142" s="61">
        <v>40787</v>
      </c>
      <c r="B142" s="76">
        <f t="shared" si="2"/>
        <v>1008.6232597182031</v>
      </c>
      <c r="C142" s="76">
        <v>261.97663699999993</v>
      </c>
      <c r="D142" s="76">
        <v>746.64662271820316</v>
      </c>
    </row>
    <row r="143" spans="1:4" x14ac:dyDescent="0.35">
      <c r="A143" s="61">
        <v>40817</v>
      </c>
      <c r="B143" s="76">
        <f t="shared" si="2"/>
        <v>992.88385909048463</v>
      </c>
      <c r="C143" s="76">
        <v>235.24207699999999</v>
      </c>
      <c r="D143" s="76">
        <v>757.64178209048464</v>
      </c>
    </row>
    <row r="144" spans="1:4" x14ac:dyDescent="0.35">
      <c r="A144" s="61">
        <v>40848</v>
      </c>
      <c r="B144" s="76">
        <f t="shared" si="2"/>
        <v>994.81554024940169</v>
      </c>
      <c r="C144" s="76">
        <v>206.58193299999996</v>
      </c>
      <c r="D144" s="76">
        <v>788.23360724940176</v>
      </c>
    </row>
    <row r="145" spans="1:4" x14ac:dyDescent="0.35">
      <c r="A145" s="61">
        <v>40878</v>
      </c>
      <c r="B145" s="76">
        <f t="shared" si="2"/>
        <v>1178.0552974216243</v>
      </c>
      <c r="C145" s="76">
        <v>372.07757300000003</v>
      </c>
      <c r="D145" s="76">
        <v>805.9777244216242</v>
      </c>
    </row>
    <row r="146" spans="1:4" x14ac:dyDescent="0.35">
      <c r="A146" s="61">
        <v>40909</v>
      </c>
      <c r="B146" s="76">
        <f t="shared" si="2"/>
        <v>881.08822373683859</v>
      </c>
      <c r="C146" s="76">
        <v>211.407197</v>
      </c>
      <c r="D146" s="76">
        <v>669.68102673683859</v>
      </c>
    </row>
    <row r="147" spans="1:4" x14ac:dyDescent="0.35">
      <c r="A147" s="61">
        <v>40940</v>
      </c>
      <c r="B147" s="76">
        <f t="shared" si="2"/>
        <v>768.27319930314752</v>
      </c>
      <c r="C147" s="76">
        <v>214.76409600000005</v>
      </c>
      <c r="D147" s="76">
        <v>553.50910330314753</v>
      </c>
    </row>
    <row r="148" spans="1:4" x14ac:dyDescent="0.35">
      <c r="A148" s="61">
        <v>40969</v>
      </c>
      <c r="B148" s="76">
        <f t="shared" si="2"/>
        <v>968.60539791181282</v>
      </c>
      <c r="C148" s="76">
        <v>271.98532599999999</v>
      </c>
      <c r="D148" s="76">
        <v>696.62007191181283</v>
      </c>
    </row>
    <row r="149" spans="1:4" x14ac:dyDescent="0.35">
      <c r="A149" s="61">
        <v>41000</v>
      </c>
      <c r="B149" s="76">
        <f t="shared" si="2"/>
        <v>993.61559943284703</v>
      </c>
      <c r="C149" s="76">
        <v>270.51300000000003</v>
      </c>
      <c r="D149" s="76">
        <v>723.102599432847</v>
      </c>
    </row>
    <row r="150" spans="1:4" x14ac:dyDescent="0.35">
      <c r="A150" s="61">
        <v>41030</v>
      </c>
      <c r="B150" s="76">
        <f t="shared" si="2"/>
        <v>1015.3827230841796</v>
      </c>
      <c r="C150" s="76">
        <v>244.50671900000003</v>
      </c>
      <c r="D150" s="76">
        <v>770.8760040841795</v>
      </c>
    </row>
    <row r="151" spans="1:4" x14ac:dyDescent="0.35">
      <c r="A151" s="61">
        <v>41061</v>
      </c>
      <c r="B151" s="76">
        <f t="shared" si="2"/>
        <v>985.55069491625432</v>
      </c>
      <c r="C151" s="76">
        <v>256.39709199999999</v>
      </c>
      <c r="D151" s="76">
        <v>729.15360291625427</v>
      </c>
    </row>
    <row r="152" spans="1:4" x14ac:dyDescent="0.35">
      <c r="A152" s="61">
        <v>41091</v>
      </c>
      <c r="B152" s="76">
        <f t="shared" si="2"/>
        <v>892.60045511220437</v>
      </c>
      <c r="C152" s="76">
        <v>232.71276899999998</v>
      </c>
      <c r="D152" s="76">
        <v>659.88768611220439</v>
      </c>
    </row>
    <row r="153" spans="1:4" x14ac:dyDescent="0.35">
      <c r="A153" s="61">
        <v>41122</v>
      </c>
      <c r="B153" s="76">
        <f t="shared" si="2"/>
        <v>1036.8739932479057</v>
      </c>
      <c r="C153" s="76">
        <v>252.33099799999999</v>
      </c>
      <c r="D153" s="76">
        <v>784.54299524790576</v>
      </c>
    </row>
    <row r="154" spans="1:4" x14ac:dyDescent="0.35">
      <c r="A154" s="61">
        <v>41153</v>
      </c>
      <c r="B154" s="76">
        <f t="shared" si="2"/>
        <v>1050.6906605088036</v>
      </c>
      <c r="C154" s="76">
        <v>316.829228</v>
      </c>
      <c r="D154" s="76">
        <v>733.86143250880355</v>
      </c>
    </row>
    <row r="155" spans="1:4" x14ac:dyDescent="0.35">
      <c r="A155" s="61">
        <v>41183</v>
      </c>
      <c r="B155" s="76">
        <f t="shared" si="2"/>
        <v>1086.5771083433635</v>
      </c>
      <c r="C155" s="76">
        <v>302.58259399999997</v>
      </c>
      <c r="D155" s="76">
        <v>783.99451434336356</v>
      </c>
    </row>
    <row r="156" spans="1:4" x14ac:dyDescent="0.35">
      <c r="A156" s="61">
        <v>41214</v>
      </c>
      <c r="B156" s="76">
        <f t="shared" si="2"/>
        <v>1058.859899428184</v>
      </c>
      <c r="C156" s="76">
        <v>306.23289</v>
      </c>
      <c r="D156" s="76">
        <v>752.62700942818401</v>
      </c>
    </row>
    <row r="157" spans="1:4" x14ac:dyDescent="0.35">
      <c r="A157" s="61">
        <v>41244</v>
      </c>
      <c r="B157" s="76">
        <f t="shared" si="2"/>
        <v>1222.6177108155289</v>
      </c>
      <c r="C157" s="76">
        <v>454.390603</v>
      </c>
      <c r="D157" s="76">
        <v>768.22710781552883</v>
      </c>
    </row>
    <row r="158" spans="1:4" x14ac:dyDescent="0.35">
      <c r="A158" s="61">
        <v>41275</v>
      </c>
      <c r="B158" s="76">
        <f t="shared" si="2"/>
        <v>904.60166256107766</v>
      </c>
      <c r="C158" s="76">
        <v>227.92549981461175</v>
      </c>
      <c r="D158" s="76">
        <v>676.67616274646593</v>
      </c>
    </row>
    <row r="159" spans="1:4" x14ac:dyDescent="0.35">
      <c r="A159" s="61">
        <v>41306</v>
      </c>
      <c r="B159" s="76">
        <f t="shared" si="2"/>
        <v>1065.6989241116212</v>
      </c>
      <c r="C159" s="76">
        <v>268.04638593062077</v>
      </c>
      <c r="D159" s="76">
        <v>797.65253818100041</v>
      </c>
    </row>
    <row r="160" spans="1:4" x14ac:dyDescent="0.35">
      <c r="A160" s="61">
        <v>41334</v>
      </c>
      <c r="B160" s="76">
        <f t="shared" si="2"/>
        <v>1085.2208744860227</v>
      </c>
      <c r="C160" s="76">
        <v>285.25188104386564</v>
      </c>
      <c r="D160" s="76">
        <v>799.96899344215706</v>
      </c>
    </row>
    <row r="161" spans="1:4" x14ac:dyDescent="0.35">
      <c r="A161" s="61">
        <v>41365</v>
      </c>
      <c r="B161" s="76">
        <f t="shared" si="2"/>
        <v>1033.4691991721438</v>
      </c>
      <c r="C161" s="76">
        <v>322.17611768112408</v>
      </c>
      <c r="D161" s="76">
        <v>711.29308149101962</v>
      </c>
    </row>
    <row r="162" spans="1:4" x14ac:dyDescent="0.35">
      <c r="A162" s="61">
        <v>41395</v>
      </c>
      <c r="B162" s="76">
        <f t="shared" si="2"/>
        <v>975.03656121983568</v>
      </c>
      <c r="C162" s="76">
        <v>247.25365907020023</v>
      </c>
      <c r="D162" s="76">
        <v>727.78290214963545</v>
      </c>
    </row>
    <row r="163" spans="1:4" x14ac:dyDescent="0.35">
      <c r="A163" s="61">
        <v>41426</v>
      </c>
      <c r="B163" s="76">
        <f t="shared" si="2"/>
        <v>1113.8021579498093</v>
      </c>
      <c r="C163" s="76">
        <v>244.35898829570593</v>
      </c>
      <c r="D163" s="76">
        <v>869.44316965410326</v>
      </c>
    </row>
    <row r="164" spans="1:4" x14ac:dyDescent="0.35">
      <c r="A164" s="61">
        <v>41456</v>
      </c>
      <c r="B164" s="76">
        <f t="shared" si="2"/>
        <v>893.80517690644956</v>
      </c>
      <c r="C164" s="76">
        <v>245.8902586934397</v>
      </c>
      <c r="D164" s="76">
        <v>647.91491821300986</v>
      </c>
    </row>
    <row r="165" spans="1:4" x14ac:dyDescent="0.35">
      <c r="A165" s="61">
        <v>41487</v>
      </c>
      <c r="B165" s="76">
        <f t="shared" si="2"/>
        <v>1164.7363751707819</v>
      </c>
      <c r="C165" s="76">
        <v>313.39571922502017</v>
      </c>
      <c r="D165" s="76">
        <v>851.34065594576168</v>
      </c>
    </row>
    <row r="166" spans="1:4" x14ac:dyDescent="0.35">
      <c r="A166" s="61">
        <v>41518</v>
      </c>
      <c r="B166" s="76">
        <f t="shared" si="2"/>
        <v>1036.3062176961255</v>
      </c>
      <c r="C166" s="76">
        <v>246.21632481971915</v>
      </c>
      <c r="D166" s="76">
        <v>790.08989287640634</v>
      </c>
    </row>
    <row r="167" spans="1:4" x14ac:dyDescent="0.35">
      <c r="A167" s="61">
        <v>41548</v>
      </c>
      <c r="B167" s="76">
        <f t="shared" si="2"/>
        <v>1080.9499406039597</v>
      </c>
      <c r="C167" s="76">
        <v>248.03888049603989</v>
      </c>
      <c r="D167" s="76">
        <v>832.91106010791987</v>
      </c>
    </row>
    <row r="168" spans="1:4" x14ac:dyDescent="0.35">
      <c r="A168" s="61">
        <v>41579</v>
      </c>
      <c r="B168" s="76">
        <f t="shared" si="2"/>
        <v>1040.5424758041172</v>
      </c>
      <c r="C168" s="76">
        <v>273.24717712345148</v>
      </c>
      <c r="D168" s="76">
        <v>767.29529868066584</v>
      </c>
    </row>
    <row r="169" spans="1:4" x14ac:dyDescent="0.35">
      <c r="A169" s="61">
        <v>41609</v>
      </c>
      <c r="B169" s="76">
        <f t="shared" si="2"/>
        <v>1280.3306726007077</v>
      </c>
      <c r="C169" s="76">
        <v>488.12900800620122</v>
      </c>
      <c r="D169" s="76">
        <v>792.2016645945065</v>
      </c>
    </row>
    <row r="170" spans="1:4" x14ac:dyDescent="0.35">
      <c r="A170" s="61">
        <v>41640</v>
      </c>
      <c r="B170" s="76">
        <f t="shared" si="2"/>
        <v>1158.4230727422459</v>
      </c>
      <c r="C170" s="76">
        <v>252.15817300000001</v>
      </c>
      <c r="D170" s="76">
        <v>906.26489974224592</v>
      </c>
    </row>
    <row r="171" spans="1:4" x14ac:dyDescent="0.35">
      <c r="A171" s="61">
        <v>41671</v>
      </c>
      <c r="B171" s="76">
        <f t="shared" si="2"/>
        <v>943.20316453572036</v>
      </c>
      <c r="C171" s="76">
        <v>260.57786449999998</v>
      </c>
      <c r="D171" s="76">
        <v>682.62530003572044</v>
      </c>
    </row>
    <row r="172" spans="1:4" x14ac:dyDescent="0.35">
      <c r="A172" s="61">
        <v>41699</v>
      </c>
      <c r="B172" s="76">
        <f t="shared" si="2"/>
        <v>992.5389864603959</v>
      </c>
      <c r="C172" s="76">
        <v>325.2789927</v>
      </c>
      <c r="D172" s="76">
        <v>667.2599937603959</v>
      </c>
    </row>
    <row r="173" spans="1:4" x14ac:dyDescent="0.35">
      <c r="A173" s="61">
        <v>41730</v>
      </c>
      <c r="B173" s="76">
        <f t="shared" si="2"/>
        <v>1280.2927602300547</v>
      </c>
      <c r="C173" s="76">
        <v>268.64640929999996</v>
      </c>
      <c r="D173" s="76">
        <v>1011.6463509300547</v>
      </c>
    </row>
    <row r="174" spans="1:4" x14ac:dyDescent="0.35">
      <c r="A174" s="61">
        <v>41760</v>
      </c>
      <c r="B174" s="76">
        <f t="shared" si="2"/>
        <v>987.16702816022757</v>
      </c>
      <c r="C174" s="76">
        <v>272.70679799999999</v>
      </c>
      <c r="D174" s="76">
        <v>714.46023016022764</v>
      </c>
    </row>
    <row r="175" spans="1:4" x14ac:dyDescent="0.35">
      <c r="A175" s="61">
        <v>41791</v>
      </c>
      <c r="B175" s="76">
        <f t="shared" si="2"/>
        <v>1070.5688826302276</v>
      </c>
      <c r="C175" s="76">
        <v>274.00718360000002</v>
      </c>
      <c r="D175" s="76">
        <v>796.56169903022749</v>
      </c>
    </row>
    <row r="176" spans="1:4" x14ac:dyDescent="0.35">
      <c r="A176" s="61">
        <v>41821</v>
      </c>
      <c r="B176" s="76">
        <f t="shared" si="2"/>
        <v>1117.8354438843744</v>
      </c>
      <c r="C176" s="76">
        <v>272.958754</v>
      </c>
      <c r="D176" s="76">
        <v>844.87668988437429</v>
      </c>
    </row>
    <row r="177" spans="1:4" x14ac:dyDescent="0.35">
      <c r="A177" s="61">
        <v>41852</v>
      </c>
      <c r="B177" s="76">
        <f t="shared" si="2"/>
        <v>1096.4248462</v>
      </c>
      <c r="C177" s="76">
        <v>384.42709100000002</v>
      </c>
      <c r="D177" s="76">
        <v>711.99775519999992</v>
      </c>
    </row>
    <row r="178" spans="1:4" x14ac:dyDescent="0.35">
      <c r="A178" s="61">
        <v>41883</v>
      </c>
      <c r="B178" s="76">
        <f t="shared" si="2"/>
        <v>1028.3257941195748</v>
      </c>
      <c r="C178" s="76">
        <v>277.82200499999999</v>
      </c>
      <c r="D178" s="76">
        <v>750.50378911957466</v>
      </c>
    </row>
    <row r="179" spans="1:4" x14ac:dyDescent="0.35">
      <c r="A179" s="61">
        <v>41913</v>
      </c>
      <c r="B179" s="76">
        <f t="shared" si="2"/>
        <v>1055.6061815800483</v>
      </c>
      <c r="C179" s="76">
        <v>281.337895</v>
      </c>
      <c r="D179" s="76">
        <v>774.26828658004831</v>
      </c>
    </row>
    <row r="180" spans="1:4" x14ac:dyDescent="0.35">
      <c r="A180" s="61">
        <v>41944</v>
      </c>
      <c r="B180" s="76">
        <f t="shared" si="2"/>
        <v>990.90035862552168</v>
      </c>
      <c r="C180" s="76">
        <v>278.130743</v>
      </c>
      <c r="D180" s="76">
        <v>712.76961562552174</v>
      </c>
    </row>
    <row r="181" spans="1:4" x14ac:dyDescent="0.35">
      <c r="A181" s="61">
        <v>41974</v>
      </c>
      <c r="B181" s="76">
        <f t="shared" si="2"/>
        <v>1440.9478216975247</v>
      </c>
      <c r="C181" s="76">
        <v>517.11523290000002</v>
      </c>
      <c r="D181" s="76">
        <v>923.83258879752464</v>
      </c>
    </row>
    <row r="182" spans="1:4" x14ac:dyDescent="0.35">
      <c r="A182" s="61">
        <v>42005</v>
      </c>
      <c r="B182" s="76">
        <f t="shared" si="2"/>
        <v>832.76860966059417</v>
      </c>
      <c r="C182" s="76">
        <v>287.05981565000002</v>
      </c>
      <c r="D182" s="76">
        <v>545.70879401059415</v>
      </c>
    </row>
    <row r="183" spans="1:4" x14ac:dyDescent="0.35">
      <c r="A183" s="61">
        <v>42036</v>
      </c>
      <c r="B183" s="76">
        <f t="shared" si="2"/>
        <v>892.12745693026773</v>
      </c>
      <c r="C183" s="76">
        <v>305.42710120999999</v>
      </c>
      <c r="D183" s="76">
        <v>586.70035572026779</v>
      </c>
    </row>
    <row r="184" spans="1:4" x14ac:dyDescent="0.35">
      <c r="A184" s="61">
        <v>42064</v>
      </c>
      <c r="B184" s="76">
        <f t="shared" si="2"/>
        <v>912.42282488240073</v>
      </c>
      <c r="C184" s="76">
        <v>364.27171114999999</v>
      </c>
      <c r="D184" s="76">
        <v>548.15111373240074</v>
      </c>
    </row>
    <row r="185" spans="1:4" x14ac:dyDescent="0.35">
      <c r="A185" s="61">
        <v>42095</v>
      </c>
      <c r="B185" s="76">
        <f t="shared" si="2"/>
        <v>882.22686240276107</v>
      </c>
      <c r="C185" s="76">
        <v>321.83054433000001</v>
      </c>
      <c r="D185" s="76">
        <v>560.39631807276101</v>
      </c>
    </row>
    <row r="186" spans="1:4" x14ac:dyDescent="0.35">
      <c r="A186" s="61">
        <v>42125</v>
      </c>
      <c r="B186" s="76">
        <f t="shared" si="2"/>
        <v>944.87616010646161</v>
      </c>
      <c r="C186" s="76">
        <v>309.28621132999996</v>
      </c>
      <c r="D186" s="76">
        <v>635.58994877646171</v>
      </c>
    </row>
    <row r="187" spans="1:4" x14ac:dyDescent="0.35">
      <c r="A187" s="61">
        <v>42156</v>
      </c>
      <c r="B187" s="76">
        <f t="shared" si="2"/>
        <v>974.20049864453074</v>
      </c>
      <c r="C187" s="76">
        <v>358.00266377000003</v>
      </c>
      <c r="D187" s="76">
        <v>616.19783487453071</v>
      </c>
    </row>
    <row r="188" spans="1:4" x14ac:dyDescent="0.35">
      <c r="A188" s="61">
        <v>42186</v>
      </c>
      <c r="B188" s="76">
        <f t="shared" si="2"/>
        <v>952.5027154100884</v>
      </c>
      <c r="C188" s="76">
        <v>337.32585649999999</v>
      </c>
      <c r="D188" s="76">
        <v>615.17685891008841</v>
      </c>
    </row>
    <row r="189" spans="1:4" x14ac:dyDescent="0.35">
      <c r="A189" s="61">
        <v>42217</v>
      </c>
      <c r="B189" s="76">
        <f t="shared" si="2"/>
        <v>922.7189032</v>
      </c>
      <c r="C189" s="76">
        <v>407.91549313000007</v>
      </c>
      <c r="D189" s="76">
        <v>514.80341006999993</v>
      </c>
    </row>
    <row r="190" spans="1:4" x14ac:dyDescent="0.35">
      <c r="A190" s="61">
        <v>42248</v>
      </c>
      <c r="B190" s="76">
        <f t="shared" si="2"/>
        <v>925.71798018127299</v>
      </c>
      <c r="C190" s="76">
        <v>322.85611000000006</v>
      </c>
      <c r="D190" s="76">
        <v>602.86187018127293</v>
      </c>
    </row>
    <row r="191" spans="1:4" x14ac:dyDescent="0.35">
      <c r="A191" s="61">
        <v>42278</v>
      </c>
      <c r="B191" s="76">
        <f t="shared" si="2"/>
        <v>876.802941392972</v>
      </c>
      <c r="C191" s="76">
        <v>328.85124940000003</v>
      </c>
      <c r="D191" s="76">
        <v>547.95169199297197</v>
      </c>
    </row>
    <row r="192" spans="1:4" x14ac:dyDescent="0.35">
      <c r="A192" s="61">
        <v>42309</v>
      </c>
      <c r="B192" s="76">
        <f t="shared" si="2"/>
        <v>888.44365044200708</v>
      </c>
      <c r="C192" s="76">
        <v>329.13016900000002</v>
      </c>
      <c r="D192" s="76">
        <v>559.31348144200706</v>
      </c>
    </row>
    <row r="193" spans="1:4" x14ac:dyDescent="0.35">
      <c r="A193" s="61">
        <v>42339</v>
      </c>
      <c r="B193" s="76">
        <f t="shared" si="2"/>
        <v>1107.8161573392085</v>
      </c>
      <c r="C193" s="76">
        <v>550.22265700000003</v>
      </c>
      <c r="D193" s="76">
        <v>557.59350033920839</v>
      </c>
    </row>
    <row r="194" spans="1:4" x14ac:dyDescent="0.35">
      <c r="A194" s="61">
        <v>42370</v>
      </c>
      <c r="B194" s="76">
        <f t="shared" si="2"/>
        <v>873.3570575115541</v>
      </c>
      <c r="C194" s="76">
        <v>334.84600423000001</v>
      </c>
      <c r="D194" s="76">
        <v>538.51105328155404</v>
      </c>
    </row>
    <row r="195" spans="1:4" x14ac:dyDescent="0.35">
      <c r="A195" s="61">
        <v>42401</v>
      </c>
      <c r="B195" s="76">
        <f t="shared" ref="B195:B224" si="3">C195+D195</f>
        <v>946.04266250374576</v>
      </c>
      <c r="C195" s="76">
        <v>341.69927739999997</v>
      </c>
      <c r="D195" s="76">
        <v>604.34338510374585</v>
      </c>
    </row>
    <row r="196" spans="1:4" x14ac:dyDescent="0.35">
      <c r="A196" s="61">
        <v>42430</v>
      </c>
      <c r="B196" s="76">
        <f t="shared" si="3"/>
        <v>820.73214561884902</v>
      </c>
      <c r="C196" s="76">
        <v>398.53124717000003</v>
      </c>
      <c r="D196" s="76">
        <v>422.20089844884893</v>
      </c>
    </row>
    <row r="197" spans="1:4" x14ac:dyDescent="0.35">
      <c r="A197" s="61">
        <v>42461</v>
      </c>
      <c r="B197" s="76">
        <f t="shared" si="3"/>
        <v>820.54552210104498</v>
      </c>
      <c r="C197" s="76">
        <v>347.08786799000001</v>
      </c>
      <c r="D197" s="76">
        <v>473.45765411104503</v>
      </c>
    </row>
    <row r="198" spans="1:4" x14ac:dyDescent="0.35">
      <c r="A198" s="61">
        <v>42491</v>
      </c>
      <c r="B198" s="76">
        <f t="shared" si="3"/>
        <v>736.07250934371109</v>
      </c>
      <c r="C198" s="76">
        <v>346.98700603999998</v>
      </c>
      <c r="D198" s="76">
        <v>389.08550330371111</v>
      </c>
    </row>
    <row r="199" spans="1:4" x14ac:dyDescent="0.35">
      <c r="A199" s="61">
        <v>42522</v>
      </c>
      <c r="B199" s="76">
        <f t="shared" si="3"/>
        <v>782.62830791017348</v>
      </c>
      <c r="C199" s="76">
        <v>352.32965115000002</v>
      </c>
      <c r="D199" s="76">
        <v>430.29865676017346</v>
      </c>
    </row>
    <row r="200" spans="1:4" x14ac:dyDescent="0.35">
      <c r="A200" s="61">
        <v>42552</v>
      </c>
      <c r="B200" s="76">
        <f t="shared" si="3"/>
        <v>709.60816039518204</v>
      </c>
      <c r="C200" s="76">
        <v>345.98581738999997</v>
      </c>
      <c r="D200" s="76">
        <v>363.62234300518202</v>
      </c>
    </row>
    <row r="201" spans="1:4" x14ac:dyDescent="0.35">
      <c r="A201" s="61">
        <v>42583</v>
      </c>
      <c r="B201" s="76">
        <f t="shared" si="3"/>
        <v>918.53737862417393</v>
      </c>
      <c r="C201" s="76">
        <v>467.89557292000006</v>
      </c>
      <c r="D201" s="76">
        <v>450.64180570417386</v>
      </c>
    </row>
    <row r="202" spans="1:4" x14ac:dyDescent="0.35">
      <c r="A202" s="61">
        <v>42614</v>
      </c>
      <c r="B202" s="76">
        <f t="shared" si="3"/>
        <v>802.37292359556432</v>
      </c>
      <c r="C202" s="76">
        <v>372.47153472000002</v>
      </c>
      <c r="D202" s="76">
        <v>429.90138887556424</v>
      </c>
    </row>
    <row r="203" spans="1:4" x14ac:dyDescent="0.35">
      <c r="A203" s="61">
        <v>42644</v>
      </c>
      <c r="B203" s="76">
        <f t="shared" si="3"/>
        <v>910.56690369101898</v>
      </c>
      <c r="C203" s="76">
        <v>367.85965736000009</v>
      </c>
      <c r="D203" s="76">
        <v>542.70724633101895</v>
      </c>
    </row>
    <row r="204" spans="1:4" x14ac:dyDescent="0.35">
      <c r="A204" s="61">
        <v>42675</v>
      </c>
      <c r="B204" s="76">
        <f t="shared" si="3"/>
        <v>879.70075764117337</v>
      </c>
      <c r="C204" s="76">
        <v>362.78856817999991</v>
      </c>
      <c r="D204" s="76">
        <v>516.9121894611734</v>
      </c>
    </row>
    <row r="205" spans="1:4" x14ac:dyDescent="0.35">
      <c r="A205" s="61">
        <v>42705</v>
      </c>
      <c r="B205" s="76">
        <f t="shared" si="3"/>
        <v>1145.2354367238086</v>
      </c>
      <c r="C205" s="76">
        <v>616.06699868999999</v>
      </c>
      <c r="D205" s="76">
        <v>529.16843803380868</v>
      </c>
    </row>
    <row r="206" spans="1:4" x14ac:dyDescent="0.35">
      <c r="A206" s="61">
        <v>42736</v>
      </c>
      <c r="B206" s="76">
        <f t="shared" si="3"/>
        <v>829.20525408468802</v>
      </c>
      <c r="C206" s="73">
        <v>369.1694152</v>
      </c>
      <c r="D206" s="73">
        <v>460.03583888468796</v>
      </c>
    </row>
    <row r="207" spans="1:4" x14ac:dyDescent="0.35">
      <c r="A207" s="61">
        <v>42767</v>
      </c>
      <c r="B207" s="76">
        <f t="shared" si="3"/>
        <v>806.10540488708</v>
      </c>
      <c r="C207" s="73">
        <v>387.04697966000003</v>
      </c>
      <c r="D207" s="73">
        <v>419.05842522707997</v>
      </c>
    </row>
    <row r="208" spans="1:4" x14ac:dyDescent="0.35">
      <c r="A208" s="61">
        <v>42795</v>
      </c>
      <c r="B208" s="76">
        <f t="shared" si="3"/>
        <v>953.37247316827995</v>
      </c>
      <c r="C208" s="73">
        <v>426.06618979999996</v>
      </c>
      <c r="D208" s="73">
        <v>527.30628336827999</v>
      </c>
    </row>
    <row r="209" spans="1:4" x14ac:dyDescent="0.35">
      <c r="A209" s="61">
        <v>42826</v>
      </c>
      <c r="B209" s="76">
        <f t="shared" si="3"/>
        <v>919.83479530595991</v>
      </c>
      <c r="C209" s="73">
        <v>381.46853500000003</v>
      </c>
      <c r="D209" s="73">
        <v>538.36626030595994</v>
      </c>
    </row>
    <row r="210" spans="1:4" x14ac:dyDescent="0.35">
      <c r="A210" s="61">
        <v>42856</v>
      </c>
      <c r="B210" s="76">
        <f t="shared" si="3"/>
        <v>872.12905986400006</v>
      </c>
      <c r="C210" s="73">
        <v>383.73227519</v>
      </c>
      <c r="D210" s="73">
        <v>488.396784674</v>
      </c>
    </row>
    <row r="211" spans="1:4" x14ac:dyDescent="0.35">
      <c r="A211" s="61">
        <v>42887</v>
      </c>
      <c r="B211" s="76">
        <f t="shared" si="3"/>
        <v>859.3929863976</v>
      </c>
      <c r="C211" s="73">
        <v>406.19223387</v>
      </c>
      <c r="D211" s="73">
        <v>453.2007525276</v>
      </c>
    </row>
    <row r="212" spans="1:4" x14ac:dyDescent="0.35">
      <c r="A212" s="61">
        <v>42917</v>
      </c>
      <c r="B212" s="76">
        <f t="shared" si="3"/>
        <v>766.19135726000013</v>
      </c>
      <c r="C212" s="73">
        <v>366.41794384000002</v>
      </c>
      <c r="D212" s="73">
        <v>399.77341342000005</v>
      </c>
    </row>
    <row r="213" spans="1:4" x14ac:dyDescent="0.35">
      <c r="A213" s="61">
        <v>42948</v>
      </c>
      <c r="B213" s="76">
        <f t="shared" si="3"/>
        <v>999.01684291999993</v>
      </c>
      <c r="C213" s="73">
        <v>492.73363341999993</v>
      </c>
      <c r="D213" s="73">
        <v>506.2832095</v>
      </c>
    </row>
    <row r="214" spans="1:4" x14ac:dyDescent="0.35">
      <c r="A214" s="61">
        <v>42979</v>
      </c>
      <c r="B214" s="76">
        <f t="shared" si="3"/>
        <v>877.67342316000008</v>
      </c>
      <c r="C214" s="73">
        <v>398.21923584000007</v>
      </c>
      <c r="D214" s="73">
        <v>479.45418732000002</v>
      </c>
    </row>
    <row r="215" spans="1:4" x14ac:dyDescent="0.35">
      <c r="A215" s="61">
        <v>43009</v>
      </c>
      <c r="B215" s="76">
        <f t="shared" si="3"/>
        <v>838.43288905999998</v>
      </c>
      <c r="C215" s="73">
        <v>401.24372403999996</v>
      </c>
      <c r="D215" s="73">
        <v>437.18916502000002</v>
      </c>
    </row>
    <row r="216" spans="1:4" x14ac:dyDescent="0.35">
      <c r="A216" s="61">
        <v>43040</v>
      </c>
      <c r="B216" s="76">
        <f t="shared" si="3"/>
        <v>925.44004531999985</v>
      </c>
      <c r="C216" s="73">
        <v>397.25138264000003</v>
      </c>
      <c r="D216" s="73">
        <v>528.18866267999988</v>
      </c>
    </row>
    <row r="217" spans="1:4" x14ac:dyDescent="0.35">
      <c r="A217" s="61">
        <v>43070</v>
      </c>
      <c r="B217" s="76">
        <f t="shared" si="3"/>
        <v>1129.6121401999999</v>
      </c>
      <c r="C217" s="73">
        <v>589.71097335000002</v>
      </c>
      <c r="D217" s="73">
        <v>539.90116684999998</v>
      </c>
    </row>
    <row r="218" spans="1:4" ht="15.5" x14ac:dyDescent="0.35">
      <c r="A218" s="186" t="s">
        <v>666</v>
      </c>
      <c r="B218" s="76">
        <f t="shared" si="3"/>
        <v>2829.2211515700001</v>
      </c>
      <c r="C218" s="192">
        <v>1324.2227188100001</v>
      </c>
      <c r="D218" s="192">
        <v>1504.99843276</v>
      </c>
    </row>
    <row r="219" spans="1:4" ht="15.5" x14ac:dyDescent="0.35">
      <c r="A219" s="186" t="s">
        <v>667</v>
      </c>
      <c r="B219" s="76">
        <f t="shared" si="3"/>
        <v>3358.4367945713507</v>
      </c>
      <c r="C219" s="192">
        <v>1492.0381968799998</v>
      </c>
      <c r="D219" s="192">
        <v>1866.3985976913509</v>
      </c>
    </row>
    <row r="220" spans="1:4" ht="15.5" x14ac:dyDescent="0.35">
      <c r="A220" s="186" t="s">
        <v>668</v>
      </c>
      <c r="B220" s="76">
        <f t="shared" si="3"/>
        <v>2975.1879035900001</v>
      </c>
      <c r="C220" s="192">
        <v>1364.4389646</v>
      </c>
      <c r="D220" s="192">
        <v>1610.7489389900004</v>
      </c>
    </row>
    <row r="221" spans="1:4" ht="15.5" x14ac:dyDescent="0.35">
      <c r="A221" s="186" t="s">
        <v>669</v>
      </c>
      <c r="B221" s="76">
        <f t="shared" si="3"/>
        <v>3059.9291310988228</v>
      </c>
      <c r="C221" s="192">
        <v>1372.1022435254679</v>
      </c>
      <c r="D221" s="192">
        <v>1687.826887573355</v>
      </c>
    </row>
    <row r="222" spans="1:4" ht="15.5" x14ac:dyDescent="0.35">
      <c r="A222" s="186" t="s">
        <v>670</v>
      </c>
      <c r="B222" s="76">
        <f t="shared" si="3"/>
        <v>2900.428651434001</v>
      </c>
      <c r="C222" s="192">
        <v>1411.0517058400001</v>
      </c>
      <c r="D222" s="192">
        <v>1489.376945594001</v>
      </c>
    </row>
    <row r="223" spans="1:4" ht="15.5" x14ac:dyDescent="0.35">
      <c r="A223" s="186" t="s">
        <v>671</v>
      </c>
      <c r="B223" s="76">
        <f t="shared" si="3"/>
        <v>3038.2333833160174</v>
      </c>
      <c r="C223" s="192">
        <v>1468.0873423500002</v>
      </c>
      <c r="D223" s="192">
        <v>1570.1460409660172</v>
      </c>
    </row>
    <row r="224" spans="1:4" ht="15.5" x14ac:dyDescent="0.35">
      <c r="A224" s="186" t="s">
        <v>672</v>
      </c>
      <c r="B224" s="76">
        <f t="shared" si="3"/>
        <v>2763.8737048358607</v>
      </c>
      <c r="C224" s="192">
        <v>1397.6783873859065</v>
      </c>
      <c r="D224" s="192">
        <v>1366.1953174499545</v>
      </c>
    </row>
    <row r="225" spans="1:2" x14ac:dyDescent="0.35">
      <c r="A225" s="61"/>
      <c r="B225" s="76"/>
    </row>
    <row r="226" spans="1:2" x14ac:dyDescent="0.35">
      <c r="A226" s="61"/>
      <c r="B226" s="76"/>
    </row>
    <row r="227" spans="1:2" x14ac:dyDescent="0.35">
      <c r="A227" s="61"/>
      <c r="B227" s="76"/>
    </row>
    <row r="228" spans="1:2" x14ac:dyDescent="0.35">
      <c r="A228" s="61"/>
      <c r="B228" s="76"/>
    </row>
    <row r="229" spans="1:2" x14ac:dyDescent="0.35">
      <c r="A229" s="61"/>
      <c r="B229" s="76"/>
    </row>
    <row r="230" spans="1:2" x14ac:dyDescent="0.35">
      <c r="A230" s="61"/>
      <c r="B230" s="76"/>
    </row>
    <row r="231" spans="1:2" x14ac:dyDescent="0.35">
      <c r="A231" s="61"/>
      <c r="B231" s="76"/>
    </row>
    <row r="232" spans="1:2" x14ac:dyDescent="0.35">
      <c r="A232" s="61"/>
      <c r="B232" s="76"/>
    </row>
    <row r="233" spans="1:2" x14ac:dyDescent="0.35">
      <c r="A233" s="61"/>
      <c r="B233" s="76"/>
    </row>
    <row r="234" spans="1:2" x14ac:dyDescent="0.35">
      <c r="A234" s="61"/>
      <c r="B234" s="76"/>
    </row>
    <row r="235" spans="1:2" x14ac:dyDescent="0.35">
      <c r="A235" s="61"/>
      <c r="B235" s="76"/>
    </row>
    <row r="236" spans="1:2" x14ac:dyDescent="0.35">
      <c r="A236" s="61"/>
      <c r="B236" s="76"/>
    </row>
    <row r="237" spans="1:2" x14ac:dyDescent="0.35">
      <c r="A237" s="61"/>
      <c r="B237" s="76"/>
    </row>
    <row r="238" spans="1:2" x14ac:dyDescent="0.35">
      <c r="A238" s="61"/>
      <c r="B238" s="76"/>
    </row>
    <row r="239" spans="1:2" x14ac:dyDescent="0.35">
      <c r="A239" s="61"/>
      <c r="B239" s="76"/>
    </row>
    <row r="240" spans="1:2" x14ac:dyDescent="0.35">
      <c r="A240" s="61"/>
      <c r="B240" s="76"/>
    </row>
    <row r="241" spans="1:2" x14ac:dyDescent="0.35">
      <c r="A241" s="61"/>
      <c r="B241" s="76"/>
    </row>
    <row r="242" spans="1:2" x14ac:dyDescent="0.35">
      <c r="A242" s="61"/>
      <c r="B242" s="76"/>
    </row>
    <row r="243" spans="1:2" x14ac:dyDescent="0.35">
      <c r="A243" s="61"/>
      <c r="B243" s="76"/>
    </row>
    <row r="244" spans="1:2" x14ac:dyDescent="0.35">
      <c r="A244" s="61"/>
      <c r="B244" s="76"/>
    </row>
    <row r="245" spans="1:2" x14ac:dyDescent="0.35">
      <c r="A245" s="61"/>
      <c r="B245" s="76"/>
    </row>
    <row r="246" spans="1:2" x14ac:dyDescent="0.35">
      <c r="A246" s="61"/>
      <c r="B246" s="76"/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CD93-6746-4342-B2AC-CD5C93CC96F9}">
  <dimension ref="A1:N241"/>
  <sheetViews>
    <sheetView workbookViewId="0">
      <selection activeCell="C1" sqref="C1"/>
    </sheetView>
  </sheetViews>
  <sheetFormatPr defaultRowHeight="14.5" x14ac:dyDescent="0.35"/>
  <cols>
    <col min="6" max="6" width="14.90625" bestFit="1" customWidth="1"/>
    <col min="7" max="7" width="14.90625" customWidth="1"/>
    <col min="8" max="8" width="15.453125" bestFit="1" customWidth="1"/>
  </cols>
  <sheetData>
    <row r="1" spans="1:14" x14ac:dyDescent="0.35">
      <c r="B1" s="75" t="s">
        <v>497</v>
      </c>
      <c r="C1" s="77" t="s">
        <v>559</v>
      </c>
      <c r="D1" s="77" t="s">
        <v>551</v>
      </c>
      <c r="E1" s="77" t="s">
        <v>552</v>
      </c>
      <c r="F1" s="77" t="s">
        <v>562</v>
      </c>
      <c r="G1" s="77" t="s">
        <v>561</v>
      </c>
      <c r="H1" s="77" t="s">
        <v>560</v>
      </c>
      <c r="I1" s="77" t="s">
        <v>553</v>
      </c>
      <c r="J1" s="77" t="s">
        <v>554</v>
      </c>
      <c r="K1" s="79" t="s">
        <v>555</v>
      </c>
      <c r="L1" s="77" t="s">
        <v>556</v>
      </c>
      <c r="M1" s="77" t="s">
        <v>557</v>
      </c>
      <c r="N1" s="77" t="s">
        <v>558</v>
      </c>
    </row>
    <row r="2" spans="1:14" x14ac:dyDescent="0.35">
      <c r="A2" s="61">
        <v>36526</v>
      </c>
      <c r="B2" s="74">
        <v>97.475376045635855</v>
      </c>
      <c r="C2" s="76">
        <v>56.500428999999997</v>
      </c>
      <c r="D2" s="76">
        <v>53.8795</v>
      </c>
      <c r="E2" s="76">
        <v>2.6209290000000003</v>
      </c>
      <c r="F2" s="76">
        <v>12.971592346405203</v>
      </c>
      <c r="G2" s="139">
        <v>39.454437202224746</v>
      </c>
      <c r="H2" s="139">
        <v>970.24969867483651</v>
      </c>
      <c r="I2" s="76">
        <v>14.942571949230661</v>
      </c>
      <c r="J2" s="76">
        <v>12.40717194923066</v>
      </c>
      <c r="K2" s="76">
        <v>1.2827</v>
      </c>
      <c r="L2" s="76">
        <v>1.2526999999999999</v>
      </c>
      <c r="M2" s="76">
        <v>8.9182750000000005E-2</v>
      </c>
      <c r="N2" s="76">
        <v>12.958</v>
      </c>
    </row>
    <row r="3" spans="1:14" x14ac:dyDescent="0.35">
      <c r="A3" s="61">
        <v>36557</v>
      </c>
      <c r="B3" s="74">
        <v>94.78003542694367</v>
      </c>
      <c r="C3" s="76">
        <v>53.671587000000002</v>
      </c>
      <c r="D3" s="76">
        <v>49.3018</v>
      </c>
      <c r="E3" s="76">
        <v>4.3697870000000005</v>
      </c>
      <c r="F3" s="76">
        <v>13.401320760276999</v>
      </c>
      <c r="G3" s="139">
        <v>70.563175880000003</v>
      </c>
      <c r="H3" s="139">
        <v>59.537629400000007</v>
      </c>
      <c r="I3" s="76">
        <v>15.328895666666666</v>
      </c>
      <c r="J3" s="76">
        <v>13.078664666666667</v>
      </c>
      <c r="K3" s="76">
        <v>1.1672309999999999</v>
      </c>
      <c r="L3" s="76">
        <v>1.083</v>
      </c>
      <c r="M3" s="76">
        <v>0.64361900000000005</v>
      </c>
      <c r="N3" s="76">
        <v>11.69</v>
      </c>
    </row>
    <row r="4" spans="1:14" x14ac:dyDescent="0.35">
      <c r="A4" s="61">
        <v>36586</v>
      </c>
      <c r="B4" s="74">
        <v>104.07940192624821</v>
      </c>
      <c r="C4" s="76">
        <v>53.359876</v>
      </c>
      <c r="D4" s="76">
        <v>50.178699999999999</v>
      </c>
      <c r="E4" s="76">
        <v>3.1811760000000002</v>
      </c>
      <c r="F4" s="76">
        <v>18.682313319581553</v>
      </c>
      <c r="G4" s="139">
        <v>537.06170748</v>
      </c>
      <c r="H4" s="139">
        <v>3406.8815557999997</v>
      </c>
      <c r="I4" s="76">
        <v>18.799644666666669</v>
      </c>
      <c r="J4" s="76">
        <v>16.390558666666667</v>
      </c>
      <c r="K4" s="76">
        <v>1.9019140000000001</v>
      </c>
      <c r="L4" s="76">
        <v>0.50717199999999996</v>
      </c>
      <c r="M4" s="76">
        <v>2.5000000000000001E-5</v>
      </c>
      <c r="N4" s="76">
        <v>13.212358</v>
      </c>
    </row>
    <row r="5" spans="1:14" x14ac:dyDescent="0.35">
      <c r="A5" s="61">
        <v>36617</v>
      </c>
      <c r="B5" s="74">
        <v>138.61920375</v>
      </c>
      <c r="C5" s="76">
        <v>61.710056520000002</v>
      </c>
      <c r="D5" s="76">
        <v>56.197099999999999</v>
      </c>
      <c r="E5" s="76">
        <v>5.5129565200000004</v>
      </c>
      <c r="F5" s="76">
        <v>49.928999999999995</v>
      </c>
      <c r="G5" s="139">
        <v>6797.7916115600001</v>
      </c>
      <c r="H5" s="139">
        <v>41917.577164050002</v>
      </c>
      <c r="I5" s="76">
        <v>14.113524</v>
      </c>
      <c r="J5" s="76">
        <v>12.953799999999999</v>
      </c>
      <c r="K5" s="76">
        <v>1.157821</v>
      </c>
      <c r="L5" s="76">
        <v>1.903E-3</v>
      </c>
      <c r="M5" s="76">
        <v>0.36041200000000001</v>
      </c>
      <c r="N5" s="76">
        <v>12.473858</v>
      </c>
    </row>
    <row r="6" spans="1:14" x14ac:dyDescent="0.35">
      <c r="A6" s="61">
        <v>36647</v>
      </c>
      <c r="B6" s="74">
        <v>110.91385434999999</v>
      </c>
      <c r="C6" s="76">
        <v>59.423699999999997</v>
      </c>
      <c r="D6" s="76">
        <v>55.053199999999997</v>
      </c>
      <c r="E6" s="76">
        <v>4.3704999999999998</v>
      </c>
      <c r="F6" s="76">
        <v>19.404</v>
      </c>
      <c r="G6" s="139">
        <v>661.09979999999996</v>
      </c>
      <c r="H6" s="139">
        <v>1175.2708399999999</v>
      </c>
      <c r="I6" s="76">
        <v>16.572579999999999</v>
      </c>
      <c r="J6" s="76">
        <v>15.212456</v>
      </c>
      <c r="K6" s="76">
        <v>1.313124</v>
      </c>
      <c r="L6" s="76">
        <v>4.7E-2</v>
      </c>
      <c r="M6" s="76">
        <v>1.13347435</v>
      </c>
      <c r="N6" s="76">
        <v>14.342000000000001</v>
      </c>
    </row>
    <row r="7" spans="1:14" x14ac:dyDescent="0.35">
      <c r="A7" s="61">
        <v>36678</v>
      </c>
      <c r="B7" s="74">
        <v>135.18812154</v>
      </c>
      <c r="C7" s="76">
        <v>80.155000000000001</v>
      </c>
      <c r="D7" s="76">
        <v>73.055499999999995</v>
      </c>
      <c r="E7" s="76">
        <v>7.0994999999999999</v>
      </c>
      <c r="F7" s="76">
        <v>21.166999999999998</v>
      </c>
      <c r="G7" s="139">
        <v>216.64501000000001</v>
      </c>
      <c r="H7" s="139">
        <v>658.07164000000012</v>
      </c>
      <c r="I7" s="76">
        <v>18.700197299999999</v>
      </c>
      <c r="J7" s="76">
        <v>17.423291819999999</v>
      </c>
      <c r="K7" s="76">
        <v>1.1666179999999999</v>
      </c>
      <c r="L7" s="76">
        <v>0.11028747999999999</v>
      </c>
      <c r="M7" s="76">
        <v>1.3209709999999999</v>
      </c>
      <c r="N7" s="76">
        <v>13.8057848</v>
      </c>
    </row>
    <row r="8" spans="1:14" x14ac:dyDescent="0.35">
      <c r="A8" s="61">
        <v>36708</v>
      </c>
      <c r="B8" s="74">
        <v>139.3766</v>
      </c>
      <c r="C8" s="76">
        <v>75.138100000000009</v>
      </c>
      <c r="D8" s="76">
        <v>69.807400000000001</v>
      </c>
      <c r="E8" s="76">
        <v>5.3307000000000002</v>
      </c>
      <c r="F8" s="76">
        <v>28.1404</v>
      </c>
      <c r="G8" s="139">
        <v>300.04974000000004</v>
      </c>
      <c r="H8" s="139">
        <v>1938.63959</v>
      </c>
      <c r="I8" s="76">
        <v>22.044499999999999</v>
      </c>
      <c r="J8" s="76">
        <v>20.256999999999998</v>
      </c>
      <c r="K8" s="76">
        <v>1.5</v>
      </c>
      <c r="L8" s="76">
        <v>0.28749999999999998</v>
      </c>
      <c r="M8" s="76">
        <v>1.8307</v>
      </c>
      <c r="N8" s="76">
        <v>12.179</v>
      </c>
    </row>
    <row r="9" spans="1:14" x14ac:dyDescent="0.35">
      <c r="A9" s="61">
        <v>36739</v>
      </c>
      <c r="B9" s="74">
        <v>147.09270000000001</v>
      </c>
      <c r="C9" s="76">
        <v>86.789400000000001</v>
      </c>
      <c r="D9" s="76">
        <v>80.0458</v>
      </c>
      <c r="E9" s="76">
        <v>6.7436000000000007</v>
      </c>
      <c r="F9" s="76">
        <v>22.750999999999998</v>
      </c>
      <c r="G9" s="139">
        <v>337.29474000000005</v>
      </c>
      <c r="H9" s="139">
        <v>585.60503999999992</v>
      </c>
      <c r="I9" s="76">
        <v>22.544699999999999</v>
      </c>
      <c r="J9" s="76">
        <v>20.811</v>
      </c>
      <c r="K9" s="76">
        <v>1.7</v>
      </c>
      <c r="L9" s="76">
        <v>3.3700000000000001E-2</v>
      </c>
      <c r="M9" s="76">
        <v>1.7352000000000001</v>
      </c>
      <c r="N9" s="76">
        <v>13.244400000000001</v>
      </c>
    </row>
    <row r="10" spans="1:14" x14ac:dyDescent="0.35">
      <c r="A10" s="61">
        <v>36770</v>
      </c>
      <c r="B10" s="74">
        <v>155.22586999999999</v>
      </c>
      <c r="C10" s="76">
        <v>89.129000000000005</v>
      </c>
      <c r="D10" s="76">
        <v>80.885000000000005</v>
      </c>
      <c r="E10" s="76">
        <v>8.2439999999999998</v>
      </c>
      <c r="F10" s="76">
        <v>28.82</v>
      </c>
      <c r="G10" s="139">
        <v>398.75045999999998</v>
      </c>
      <c r="H10" s="139">
        <v>1630.14409</v>
      </c>
      <c r="I10" s="76">
        <v>22.86927</v>
      </c>
      <c r="J10" s="76">
        <v>21.202270000000002</v>
      </c>
      <c r="K10" s="76">
        <v>1.36</v>
      </c>
      <c r="L10" s="76">
        <v>0.307</v>
      </c>
      <c r="M10" s="76">
        <v>1.2265999999999999</v>
      </c>
      <c r="N10" s="76">
        <v>12.968</v>
      </c>
    </row>
    <row r="11" spans="1:14" x14ac:dyDescent="0.35">
      <c r="A11" s="61">
        <v>36800</v>
      </c>
      <c r="B11" s="74">
        <v>157.49</v>
      </c>
      <c r="C11" s="76">
        <v>89.424000000000007</v>
      </c>
      <c r="D11" s="76">
        <v>80.756</v>
      </c>
      <c r="E11" s="76">
        <v>8.668000000000001</v>
      </c>
      <c r="F11" s="76">
        <v>25.128</v>
      </c>
      <c r="G11" s="139">
        <v>191.55296999999996</v>
      </c>
      <c r="H11" s="139">
        <v>326.86737999999997</v>
      </c>
      <c r="I11" s="76">
        <v>23.131</v>
      </c>
      <c r="J11" s="76">
        <v>21.439</v>
      </c>
      <c r="K11" s="76">
        <v>1.484</v>
      </c>
      <c r="L11" s="76">
        <v>0.20800000000000002</v>
      </c>
      <c r="M11" s="76">
        <v>1.5669999999999999</v>
      </c>
      <c r="N11" s="76">
        <v>16.624000000000002</v>
      </c>
    </row>
    <row r="12" spans="1:14" x14ac:dyDescent="0.35">
      <c r="A12" s="61">
        <v>36831</v>
      </c>
      <c r="B12" s="74">
        <v>164.56500000000003</v>
      </c>
      <c r="C12" s="76">
        <v>98.509</v>
      </c>
      <c r="D12" s="76">
        <v>89.3</v>
      </c>
      <c r="E12" s="76">
        <v>9.2089999999999996</v>
      </c>
      <c r="F12" s="76">
        <v>25.062999999999999</v>
      </c>
      <c r="G12" s="139">
        <v>150.86134000000001</v>
      </c>
      <c r="H12" s="139">
        <v>127.96967000000002</v>
      </c>
      <c r="I12" s="76">
        <v>23.184999999999999</v>
      </c>
      <c r="J12" s="76">
        <v>21.712</v>
      </c>
      <c r="K12" s="76">
        <v>1.357</v>
      </c>
      <c r="L12" s="76">
        <v>0.11600000000000001</v>
      </c>
      <c r="M12" s="76">
        <v>1.2E-2</v>
      </c>
      <c r="N12" s="76">
        <v>17.645</v>
      </c>
    </row>
    <row r="13" spans="1:14" x14ac:dyDescent="0.35">
      <c r="A13" s="61">
        <v>36861</v>
      </c>
      <c r="B13" s="74">
        <v>178.44</v>
      </c>
      <c r="C13" s="76">
        <v>106.589</v>
      </c>
      <c r="D13" s="76">
        <v>97.373000000000005</v>
      </c>
      <c r="E13" s="76">
        <v>9.2160000000000011</v>
      </c>
      <c r="F13" s="76">
        <v>28.029</v>
      </c>
      <c r="G13" s="139">
        <v>69.636769999999999</v>
      </c>
      <c r="H13" s="139">
        <v>200.36332999999999</v>
      </c>
      <c r="I13" s="76">
        <v>25.349</v>
      </c>
      <c r="J13" s="76">
        <v>24.042999999999999</v>
      </c>
      <c r="K13" s="76">
        <v>1.254</v>
      </c>
      <c r="L13" s="76">
        <v>5.1999999999999998E-2</v>
      </c>
      <c r="M13" s="76">
        <v>0.84400000000000008</v>
      </c>
      <c r="N13" s="76">
        <v>17.521000000000001</v>
      </c>
    </row>
    <row r="14" spans="1:14" x14ac:dyDescent="0.35">
      <c r="A14" s="61">
        <v>36892</v>
      </c>
      <c r="B14" s="74">
        <v>183.27484458242736</v>
      </c>
      <c r="C14" s="76">
        <v>107.63278444242736</v>
      </c>
      <c r="D14" s="76">
        <v>94.624784442427369</v>
      </c>
      <c r="E14" s="76">
        <v>13.008000000000001</v>
      </c>
      <c r="F14" s="76">
        <v>31.925055069999999</v>
      </c>
      <c r="G14" s="140">
        <v>134.65256999999997</v>
      </c>
      <c r="H14" s="140">
        <v>168.39438000000001</v>
      </c>
      <c r="I14" s="76">
        <v>34.054000000000002</v>
      </c>
      <c r="J14" s="76">
        <v>32.4</v>
      </c>
      <c r="K14" s="76">
        <v>1.6539999999999999</v>
      </c>
      <c r="L14" s="76">
        <v>0</v>
      </c>
      <c r="M14" s="76">
        <v>0.54800507000000009</v>
      </c>
      <c r="N14" s="76">
        <v>8.9779999999999998</v>
      </c>
    </row>
    <row r="15" spans="1:14" x14ac:dyDescent="0.35">
      <c r="A15" s="61">
        <v>36923</v>
      </c>
      <c r="B15" s="74">
        <v>153.31970893083184</v>
      </c>
      <c r="C15" s="76">
        <v>103.26632847083182</v>
      </c>
      <c r="D15" s="76">
        <v>90.558328470831825</v>
      </c>
      <c r="E15" s="76">
        <v>12.708</v>
      </c>
      <c r="F15" s="76">
        <v>18.743335090000006</v>
      </c>
      <c r="G15" s="141">
        <v>177.78436999999997</v>
      </c>
      <c r="H15" s="141">
        <v>118.64152999999999</v>
      </c>
      <c r="I15" s="76">
        <v>23.940999999999999</v>
      </c>
      <c r="J15" s="76">
        <v>22.7</v>
      </c>
      <c r="K15" s="76">
        <v>1.2410000000000001</v>
      </c>
      <c r="L15" s="76">
        <v>0</v>
      </c>
      <c r="M15" s="76">
        <v>0.35604537000000003</v>
      </c>
      <c r="N15" s="76">
        <v>6.9</v>
      </c>
    </row>
    <row r="16" spans="1:14" x14ac:dyDescent="0.35">
      <c r="A16" s="61">
        <v>36951</v>
      </c>
      <c r="B16" s="74">
        <v>158.71211726002934</v>
      </c>
      <c r="C16" s="76">
        <v>102.93878687002935</v>
      </c>
      <c r="D16" s="76">
        <v>93.926786870029346</v>
      </c>
      <c r="E16" s="76">
        <v>9.0120000000000005</v>
      </c>
      <c r="F16" s="76">
        <v>30.082321499999992</v>
      </c>
      <c r="G16" s="140">
        <v>829.06872999999985</v>
      </c>
      <c r="H16" s="140">
        <v>10750.40813</v>
      </c>
      <c r="I16" s="76">
        <v>21.6</v>
      </c>
      <c r="J16" s="76">
        <v>20.100000000000001</v>
      </c>
      <c r="K16" s="76">
        <v>1.5</v>
      </c>
      <c r="L16" s="76">
        <v>0</v>
      </c>
      <c r="M16" s="76">
        <v>7.0088900000000046E-3</v>
      </c>
      <c r="N16" s="76">
        <v>3.9459999999999997</v>
      </c>
    </row>
    <row r="17" spans="1:14" x14ac:dyDescent="0.35">
      <c r="A17" s="61">
        <v>36982</v>
      </c>
      <c r="B17" s="74">
        <v>304.04473566639996</v>
      </c>
      <c r="C17" s="76">
        <v>113.08963636639999</v>
      </c>
      <c r="D17" s="76">
        <v>97.296636366399994</v>
      </c>
      <c r="E17" s="76">
        <v>15.792999999999999</v>
      </c>
      <c r="F17" s="76">
        <v>159.34209929999997</v>
      </c>
      <c r="G17" s="140">
        <v>15251.276920000002</v>
      </c>
      <c r="H17" s="140">
        <v>141307.87862</v>
      </c>
      <c r="I17" s="76">
        <v>29.6</v>
      </c>
      <c r="J17" s="76">
        <v>28.1</v>
      </c>
      <c r="K17" s="76">
        <v>1.5</v>
      </c>
      <c r="L17" s="76">
        <v>0</v>
      </c>
      <c r="M17" s="76">
        <v>1</v>
      </c>
      <c r="N17" s="76">
        <v>0.89500000000000024</v>
      </c>
    </row>
    <row r="18" spans="1:14" x14ac:dyDescent="0.35">
      <c r="A18" s="61">
        <v>37012</v>
      </c>
      <c r="B18" s="74">
        <v>180.49534382857757</v>
      </c>
      <c r="C18" s="76">
        <v>116.83351588857759</v>
      </c>
      <c r="D18" s="76">
        <v>108.18951588857759</v>
      </c>
      <c r="E18" s="76">
        <v>8.6440000000000001</v>
      </c>
      <c r="F18" s="76">
        <v>31.944827940000003</v>
      </c>
      <c r="G18" s="140">
        <v>1659.9137000000001</v>
      </c>
      <c r="H18" s="140">
        <v>7059.6079699999991</v>
      </c>
      <c r="I18" s="76">
        <v>29.7</v>
      </c>
      <c r="J18" s="76">
        <v>28.3</v>
      </c>
      <c r="K18" s="76">
        <v>1.4</v>
      </c>
      <c r="L18" s="76">
        <v>0</v>
      </c>
      <c r="M18" s="76">
        <v>3</v>
      </c>
      <c r="N18" s="76">
        <v>-1.113</v>
      </c>
    </row>
    <row r="19" spans="1:14" x14ac:dyDescent="0.35">
      <c r="A19" s="61">
        <v>37043</v>
      </c>
      <c r="B19" s="74">
        <v>189.00943215499998</v>
      </c>
      <c r="C19" s="76">
        <v>128.85781413499998</v>
      </c>
      <c r="D19" s="76">
        <v>123.31481413499999</v>
      </c>
      <c r="E19" s="76">
        <v>5.5429999999999993</v>
      </c>
      <c r="F19" s="76">
        <v>24.238618019999997</v>
      </c>
      <c r="G19" s="140">
        <v>665.05111000000011</v>
      </c>
      <c r="H19" s="140">
        <v>1531.3686799999998</v>
      </c>
      <c r="I19" s="76">
        <v>31.8</v>
      </c>
      <c r="J19" s="76">
        <v>30.3</v>
      </c>
      <c r="K19" s="76">
        <v>1.5</v>
      </c>
      <c r="L19" s="76">
        <v>0</v>
      </c>
      <c r="M19" s="76">
        <v>4</v>
      </c>
      <c r="N19" s="76">
        <v>0</v>
      </c>
    </row>
    <row r="20" spans="1:14" x14ac:dyDescent="0.35">
      <c r="A20" s="61">
        <v>37073</v>
      </c>
      <c r="B20" s="74">
        <v>219.96527423280003</v>
      </c>
      <c r="C20" s="76">
        <v>137.44192348780001</v>
      </c>
      <c r="D20" s="76">
        <v>126.38292348780001</v>
      </c>
      <c r="E20" s="76">
        <v>11.058999999999999</v>
      </c>
      <c r="F20" s="76">
        <v>48.528350744999997</v>
      </c>
      <c r="G20" s="140">
        <v>1289.7617700000001</v>
      </c>
      <c r="H20" s="140">
        <v>4969.3376799999996</v>
      </c>
      <c r="I20" s="76">
        <v>29.900000000000002</v>
      </c>
      <c r="J20" s="76">
        <v>28.1</v>
      </c>
      <c r="K20" s="76">
        <v>1.8</v>
      </c>
      <c r="L20" s="76">
        <v>0</v>
      </c>
      <c r="M20" s="76">
        <v>4</v>
      </c>
      <c r="N20" s="76">
        <v>0</v>
      </c>
    </row>
    <row r="21" spans="1:14" x14ac:dyDescent="0.35">
      <c r="A21" s="61">
        <v>37104</v>
      </c>
      <c r="B21" s="74">
        <v>199.31485844966664</v>
      </c>
      <c r="C21" s="76">
        <v>144.06930790966666</v>
      </c>
      <c r="D21" s="76">
        <v>134.15230790966666</v>
      </c>
      <c r="E21" s="76">
        <v>9.9169999999999998</v>
      </c>
      <c r="F21" s="76">
        <v>17.91156582</v>
      </c>
      <c r="G21" s="140">
        <v>499.94890999999996</v>
      </c>
      <c r="H21" s="140">
        <v>923.27471999999989</v>
      </c>
      <c r="I21" s="76">
        <v>33</v>
      </c>
      <c r="J21" s="76">
        <v>31.1</v>
      </c>
      <c r="K21" s="76">
        <v>1.9</v>
      </c>
      <c r="L21" s="76">
        <v>0</v>
      </c>
      <c r="M21" s="76">
        <v>4.2399847199999998</v>
      </c>
      <c r="N21" s="76">
        <v>0</v>
      </c>
    </row>
    <row r="22" spans="1:14" x14ac:dyDescent="0.35">
      <c r="A22" s="61">
        <v>37135</v>
      </c>
      <c r="B22" s="74">
        <v>206.30701495599999</v>
      </c>
      <c r="C22" s="76">
        <v>128.82646623100001</v>
      </c>
      <c r="D22" s="76">
        <v>116.746466231</v>
      </c>
      <c r="E22" s="76">
        <v>12.08</v>
      </c>
      <c r="F22" s="76">
        <v>45.201548724999988</v>
      </c>
      <c r="G22" s="140">
        <v>736.85209999999995</v>
      </c>
      <c r="H22" s="140">
        <v>1307.6302900000001</v>
      </c>
      <c r="I22" s="76">
        <v>30.2</v>
      </c>
      <c r="J22" s="76">
        <v>28.7</v>
      </c>
      <c r="K22" s="76">
        <v>1.5</v>
      </c>
      <c r="L22" s="76">
        <v>0</v>
      </c>
      <c r="M22" s="76">
        <v>2</v>
      </c>
      <c r="N22" s="76">
        <v>0</v>
      </c>
    </row>
    <row r="23" spans="1:14" x14ac:dyDescent="0.35">
      <c r="A23" s="61">
        <v>37165</v>
      </c>
      <c r="B23" s="74">
        <v>187.58313949900003</v>
      </c>
      <c r="C23" s="76">
        <v>128.810847849</v>
      </c>
      <c r="D23" s="76">
        <v>115.16784784900001</v>
      </c>
      <c r="E23" s="76">
        <v>13.642999999999999</v>
      </c>
      <c r="F23" s="76">
        <v>21.068291650000006</v>
      </c>
      <c r="G23" s="140">
        <v>260.49665000000005</v>
      </c>
      <c r="H23" s="140">
        <v>1034.9367800000002</v>
      </c>
      <c r="I23" s="76">
        <v>35.6</v>
      </c>
      <c r="J23" s="76">
        <v>34.1</v>
      </c>
      <c r="K23" s="76">
        <v>1.5</v>
      </c>
      <c r="L23" s="76">
        <v>0</v>
      </c>
      <c r="M23" s="76">
        <v>2</v>
      </c>
      <c r="N23" s="76">
        <v>0</v>
      </c>
    </row>
    <row r="24" spans="1:14" x14ac:dyDescent="0.35">
      <c r="A24" s="61">
        <v>37196</v>
      </c>
      <c r="B24" s="74">
        <v>189.61158849651355</v>
      </c>
      <c r="C24" s="76">
        <v>132.68485400651358</v>
      </c>
      <c r="D24" s="76">
        <v>119.90985400651358</v>
      </c>
      <c r="E24" s="76">
        <v>12.774999999999999</v>
      </c>
      <c r="F24" s="76">
        <v>21.537734490000002</v>
      </c>
      <c r="G24" s="140">
        <v>425.57634000000002</v>
      </c>
      <c r="H24" s="140">
        <v>482.20840000000004</v>
      </c>
      <c r="I24" s="76">
        <v>34.299999999999997</v>
      </c>
      <c r="J24" s="76">
        <v>32.9</v>
      </c>
      <c r="K24" s="76">
        <v>1.4</v>
      </c>
      <c r="L24" s="76">
        <v>0</v>
      </c>
      <c r="M24" s="76">
        <v>1</v>
      </c>
      <c r="N24" s="76">
        <v>0</v>
      </c>
    </row>
    <row r="25" spans="1:14" x14ac:dyDescent="0.35">
      <c r="A25" s="61">
        <v>37226</v>
      </c>
      <c r="B25" s="74">
        <v>197.9502787326</v>
      </c>
      <c r="C25" s="76">
        <v>132.8958985326</v>
      </c>
      <c r="D25" s="76">
        <v>119.79589853259999</v>
      </c>
      <c r="E25" s="76">
        <v>13.099999999999998</v>
      </c>
      <c r="F25" s="76">
        <v>25.054380200000001</v>
      </c>
      <c r="G25" s="140">
        <v>265.94427000000002</v>
      </c>
      <c r="H25" s="140">
        <v>598.41674999999998</v>
      </c>
      <c r="I25" s="76">
        <v>38.9</v>
      </c>
      <c r="J25" s="76">
        <v>37.6</v>
      </c>
      <c r="K25" s="76">
        <v>1.3</v>
      </c>
      <c r="L25" s="76">
        <v>0</v>
      </c>
      <c r="M25" s="76">
        <v>1</v>
      </c>
      <c r="N25" s="76">
        <v>0</v>
      </c>
    </row>
    <row r="26" spans="1:14" x14ac:dyDescent="0.35">
      <c r="A26" s="61">
        <v>37257</v>
      </c>
      <c r="B26" s="74">
        <v>238.44947266666665</v>
      </c>
      <c r="C26" s="76">
        <v>164.38830000000002</v>
      </c>
      <c r="D26" s="76">
        <v>145.9</v>
      </c>
      <c r="E26" s="76">
        <v>18.488300000000002</v>
      </c>
      <c r="F26" s="76">
        <v>35.820999999999998</v>
      </c>
      <c r="G26" s="140">
        <v>294.90226000000001</v>
      </c>
      <c r="H26" s="140">
        <v>314.15935999999999</v>
      </c>
      <c r="I26" s="76">
        <v>35.320666666666668</v>
      </c>
      <c r="J26" s="76">
        <v>33.486666666666665</v>
      </c>
      <c r="K26" s="76">
        <v>1.8340000000000001</v>
      </c>
      <c r="L26" s="76">
        <v>0</v>
      </c>
      <c r="M26" s="76">
        <v>2.8058830000000001</v>
      </c>
      <c r="N26" s="76">
        <v>0</v>
      </c>
    </row>
    <row r="27" spans="1:14" x14ac:dyDescent="0.35">
      <c r="A27" s="61">
        <v>37288</v>
      </c>
      <c r="B27" s="74">
        <v>195.89566666666667</v>
      </c>
      <c r="C27" s="76">
        <v>135.57300000000001</v>
      </c>
      <c r="D27" s="76">
        <v>119.4</v>
      </c>
      <c r="E27" s="76">
        <v>16.173000000000002</v>
      </c>
      <c r="F27" s="76">
        <v>25.988</v>
      </c>
      <c r="G27" s="141">
        <v>448.47191999999995</v>
      </c>
      <c r="H27" s="141">
        <v>751.50337999999999</v>
      </c>
      <c r="I27" s="76">
        <v>31.000666666666664</v>
      </c>
      <c r="J27" s="76">
        <v>29.486666666666665</v>
      </c>
      <c r="K27" s="76">
        <v>1.514</v>
      </c>
      <c r="L27" s="76">
        <v>0</v>
      </c>
      <c r="M27" s="76">
        <v>3.2450000000000001</v>
      </c>
      <c r="N27" s="76">
        <v>0</v>
      </c>
    </row>
    <row r="28" spans="1:14" x14ac:dyDescent="0.35">
      <c r="A28" s="61">
        <v>37316</v>
      </c>
      <c r="B28" s="74">
        <v>205.11466666666666</v>
      </c>
      <c r="C28" s="76">
        <v>132.80000000000001</v>
      </c>
      <c r="D28" s="76">
        <v>114.1</v>
      </c>
      <c r="E28" s="76">
        <v>18.700000000000003</v>
      </c>
      <c r="F28" s="76">
        <v>35.869999999999997</v>
      </c>
      <c r="G28" s="140">
        <v>16017.354949999999</v>
      </c>
      <c r="H28" s="140">
        <v>2852.91329</v>
      </c>
      <c r="I28" s="76">
        <v>31.720666666666666</v>
      </c>
      <c r="J28" s="76">
        <v>30.086666666666666</v>
      </c>
      <c r="K28" s="76">
        <v>1.6339999999999999</v>
      </c>
      <c r="L28" s="76">
        <v>0</v>
      </c>
      <c r="M28" s="76">
        <v>4.6349999999999998</v>
      </c>
      <c r="N28" s="76">
        <v>0</v>
      </c>
    </row>
    <row r="29" spans="1:14" x14ac:dyDescent="0.35">
      <c r="A29" s="61">
        <v>37347</v>
      </c>
      <c r="B29" s="74">
        <v>340.47066066666667</v>
      </c>
      <c r="C29" s="76">
        <v>154.15700000000001</v>
      </c>
      <c r="D29" s="76">
        <v>136</v>
      </c>
      <c r="E29" s="76">
        <v>18.157000000000004</v>
      </c>
      <c r="F29" s="76">
        <v>142.24099999999999</v>
      </c>
      <c r="G29" s="140">
        <v>2212.4907599999997</v>
      </c>
      <c r="H29" s="140">
        <v>128082.69529</v>
      </c>
      <c r="I29" s="76">
        <v>37.586666666666666</v>
      </c>
      <c r="J29" s="76">
        <v>37.386666666666663</v>
      </c>
      <c r="K29" s="76">
        <v>0.2</v>
      </c>
      <c r="L29" s="76">
        <v>0</v>
      </c>
      <c r="M29" s="76">
        <v>6.3823470000000002</v>
      </c>
      <c r="N29" s="76">
        <v>0</v>
      </c>
    </row>
    <row r="30" spans="1:14" x14ac:dyDescent="0.35">
      <c r="A30" s="61">
        <v>37377</v>
      </c>
      <c r="B30" s="74">
        <v>209.37305299666667</v>
      </c>
      <c r="C30" s="76">
        <v>144.28100000000001</v>
      </c>
      <c r="D30" s="76">
        <v>124.9</v>
      </c>
      <c r="E30" s="76">
        <v>19.381</v>
      </c>
      <c r="F30" s="76">
        <v>29.215000000000003</v>
      </c>
      <c r="G30" s="140">
        <v>809.59524999999996</v>
      </c>
      <c r="H30" s="140">
        <v>2692.8248699999999</v>
      </c>
      <c r="I30" s="76">
        <v>30.286666666666669</v>
      </c>
      <c r="J30" s="76">
        <v>30.286666666666669</v>
      </c>
      <c r="K30" s="76">
        <v>0</v>
      </c>
      <c r="L30" s="76">
        <v>0</v>
      </c>
      <c r="M30" s="76">
        <v>5.4489999999999998</v>
      </c>
      <c r="N30" s="76">
        <v>0</v>
      </c>
    </row>
    <row r="31" spans="1:14" x14ac:dyDescent="0.35">
      <c r="A31" s="61">
        <v>37408</v>
      </c>
      <c r="B31" s="74">
        <v>213.19734617666668</v>
      </c>
      <c r="C31" s="76">
        <v>146.30000000000001</v>
      </c>
      <c r="D31" s="76">
        <v>130.80000000000001</v>
      </c>
      <c r="E31" s="76">
        <v>15.5</v>
      </c>
      <c r="F31" s="76">
        <v>25.201999999999998</v>
      </c>
      <c r="G31" s="140">
        <v>448.99218000000002</v>
      </c>
      <c r="H31" s="140">
        <v>1450.3685700000001</v>
      </c>
      <c r="I31" s="76">
        <v>36.486666666666665</v>
      </c>
      <c r="J31" s="76">
        <v>36.486666666666665</v>
      </c>
      <c r="K31" s="76">
        <v>0</v>
      </c>
      <c r="L31" s="76">
        <v>0</v>
      </c>
      <c r="M31" s="76">
        <v>5.07</v>
      </c>
      <c r="N31" s="76">
        <v>0</v>
      </c>
    </row>
    <row r="32" spans="1:14" x14ac:dyDescent="0.35">
      <c r="A32" s="61">
        <v>37438</v>
      </c>
      <c r="B32" s="74">
        <v>240.36005686666667</v>
      </c>
      <c r="C32" s="76">
        <v>140.852</v>
      </c>
      <c r="D32" s="76">
        <v>124.2</v>
      </c>
      <c r="E32" s="76">
        <v>16.652000000000001</v>
      </c>
      <c r="F32" s="76">
        <v>58.4</v>
      </c>
      <c r="G32" s="140">
        <v>1063.9056</v>
      </c>
      <c r="H32" s="140">
        <v>2225.36618</v>
      </c>
      <c r="I32" s="76">
        <v>34.186666666666667</v>
      </c>
      <c r="J32" s="76">
        <v>34.186666666666667</v>
      </c>
      <c r="K32" s="76">
        <v>0</v>
      </c>
      <c r="L32" s="76">
        <v>0</v>
      </c>
      <c r="M32" s="76">
        <v>6.8090000000000002</v>
      </c>
      <c r="N32" s="76">
        <v>0</v>
      </c>
    </row>
    <row r="33" spans="1:14" x14ac:dyDescent="0.35">
      <c r="A33" s="61">
        <v>37469</v>
      </c>
      <c r="B33" s="74">
        <v>214.50366666666667</v>
      </c>
      <c r="C33" s="76">
        <v>147.846</v>
      </c>
      <c r="D33" s="76">
        <v>129.87</v>
      </c>
      <c r="E33" s="76">
        <v>17.975999999999999</v>
      </c>
      <c r="F33" s="76">
        <v>25.3</v>
      </c>
      <c r="G33" s="140">
        <v>612.45663000000002</v>
      </c>
      <c r="H33" s="140">
        <v>1779.9996799999999</v>
      </c>
      <c r="I33" s="76">
        <v>35.886666666666663</v>
      </c>
      <c r="J33" s="76">
        <v>35.886666666666663</v>
      </c>
      <c r="K33" s="76">
        <v>0</v>
      </c>
      <c r="L33" s="76">
        <v>0</v>
      </c>
      <c r="M33" s="76">
        <v>5.375</v>
      </c>
      <c r="N33" s="76">
        <v>0</v>
      </c>
    </row>
    <row r="34" spans="1:14" x14ac:dyDescent="0.35">
      <c r="A34" s="61">
        <v>37500</v>
      </c>
      <c r="B34" s="74">
        <v>238.39566666666667</v>
      </c>
      <c r="C34" s="76">
        <v>142.69499999999999</v>
      </c>
      <c r="D34" s="76">
        <v>122.66799999999999</v>
      </c>
      <c r="E34" s="76">
        <v>20.027000000000001</v>
      </c>
      <c r="F34" s="76">
        <v>54.384</v>
      </c>
      <c r="G34" s="140">
        <v>930.83776999999998</v>
      </c>
      <c r="H34" s="140">
        <v>1129.7160900000001</v>
      </c>
      <c r="I34" s="76">
        <v>38.686666666666667</v>
      </c>
      <c r="J34" s="76">
        <v>38.686666666666667</v>
      </c>
      <c r="K34" s="76">
        <v>0</v>
      </c>
      <c r="L34" s="76">
        <v>0</v>
      </c>
      <c r="M34" s="76">
        <v>2.5299999999999998</v>
      </c>
      <c r="N34" s="76">
        <v>0</v>
      </c>
    </row>
    <row r="35" spans="1:14" x14ac:dyDescent="0.35">
      <c r="A35" s="61">
        <v>37530</v>
      </c>
      <c r="B35" s="74">
        <v>220.44630714666667</v>
      </c>
      <c r="C35" s="76">
        <v>149.77799999999999</v>
      </c>
      <c r="D35" s="76">
        <v>131.77799999999999</v>
      </c>
      <c r="E35" s="76">
        <v>18</v>
      </c>
      <c r="F35" s="76">
        <v>30.931000000000004</v>
      </c>
      <c r="G35" s="140">
        <v>248.36936000000003</v>
      </c>
      <c r="H35" s="140">
        <v>936.57335</v>
      </c>
      <c r="I35" s="76">
        <v>37.686666666666667</v>
      </c>
      <c r="J35" s="76">
        <v>37.686666666666667</v>
      </c>
      <c r="K35" s="76">
        <v>0</v>
      </c>
      <c r="L35" s="76">
        <v>0</v>
      </c>
      <c r="M35" s="76">
        <v>1.9</v>
      </c>
      <c r="N35" s="76">
        <v>0</v>
      </c>
    </row>
    <row r="36" spans="1:14" x14ac:dyDescent="0.35">
      <c r="A36" s="61">
        <v>37561</v>
      </c>
      <c r="B36" s="74">
        <v>202.70317416666668</v>
      </c>
      <c r="C36" s="76">
        <v>141.321</v>
      </c>
      <c r="D36" s="76">
        <v>120.92099999999999</v>
      </c>
      <c r="E36" s="76">
        <v>20.400000000000002</v>
      </c>
      <c r="F36" s="76">
        <v>27.900000000000002</v>
      </c>
      <c r="G36" s="140">
        <v>262.77815000000004</v>
      </c>
      <c r="H36" s="140">
        <v>307.03917999999999</v>
      </c>
      <c r="I36" s="76">
        <v>32.086666666666666</v>
      </c>
      <c r="J36" s="76">
        <v>32.086666666666666</v>
      </c>
      <c r="K36" s="76">
        <v>0</v>
      </c>
      <c r="L36" s="76">
        <v>0</v>
      </c>
      <c r="M36" s="76">
        <v>1.25</v>
      </c>
      <c r="N36" s="76">
        <v>0</v>
      </c>
    </row>
    <row r="37" spans="1:14" x14ac:dyDescent="0.35">
      <c r="A37" s="61">
        <v>37591</v>
      </c>
      <c r="B37" s="74">
        <v>228.65666666666667</v>
      </c>
      <c r="C37" s="76">
        <v>149.1</v>
      </c>
      <c r="D37" s="76">
        <v>128.5</v>
      </c>
      <c r="E37" s="76">
        <v>20.6</v>
      </c>
      <c r="F37" s="76">
        <v>40.1</v>
      </c>
      <c r="G37" s="140">
        <v>448.05521000000005</v>
      </c>
      <c r="H37" s="140">
        <v>1096.4811399999999</v>
      </c>
      <c r="I37" s="76">
        <v>37.986666666666665</v>
      </c>
      <c r="J37" s="76">
        <v>37.986666666666665</v>
      </c>
      <c r="K37" s="76">
        <v>0</v>
      </c>
      <c r="L37" s="76">
        <v>0</v>
      </c>
      <c r="M37" s="76">
        <v>1.25</v>
      </c>
      <c r="N37" s="76">
        <v>0</v>
      </c>
    </row>
    <row r="38" spans="1:14" x14ac:dyDescent="0.35">
      <c r="A38" s="61">
        <v>37622</v>
      </c>
      <c r="B38" s="74">
        <v>262.80691030233947</v>
      </c>
      <c r="C38" s="76">
        <v>178.66968</v>
      </c>
      <c r="D38" s="76">
        <v>161.35218</v>
      </c>
      <c r="E38" s="76">
        <v>17.317499999999999</v>
      </c>
      <c r="F38" s="76">
        <v>46.205108257342019</v>
      </c>
      <c r="G38" s="142">
        <v>341.26193000000001</v>
      </c>
      <c r="H38" s="142">
        <v>880.1653</v>
      </c>
      <c r="I38" s="76">
        <v>35.476022044997457</v>
      </c>
      <c r="J38" s="76">
        <v>35.476022044997457</v>
      </c>
      <c r="K38" s="76">
        <v>0</v>
      </c>
      <c r="L38" s="76">
        <v>0</v>
      </c>
      <c r="M38" s="76">
        <v>2.4561000000000002</v>
      </c>
      <c r="N38" s="76">
        <v>0</v>
      </c>
    </row>
    <row r="39" spans="1:14" x14ac:dyDescent="0.35">
      <c r="A39" s="61">
        <v>37653</v>
      </c>
      <c r="B39" s="74">
        <v>190.87251914245323</v>
      </c>
      <c r="C39" s="76">
        <v>132.5016</v>
      </c>
      <c r="D39" s="76">
        <v>117.64259999999999</v>
      </c>
      <c r="E39" s="76">
        <v>14.859</v>
      </c>
      <c r="F39" s="76">
        <v>29.924871061182962</v>
      </c>
      <c r="G39" s="143">
        <v>714.49081999999999</v>
      </c>
      <c r="H39" s="143">
        <v>511.04858000000002</v>
      </c>
      <c r="I39" s="76">
        <v>25.698348081270279</v>
      </c>
      <c r="J39" s="76">
        <v>25.698348081270279</v>
      </c>
      <c r="K39" s="76">
        <v>0</v>
      </c>
      <c r="L39" s="76">
        <v>0</v>
      </c>
      <c r="M39" s="76">
        <v>2.7477</v>
      </c>
      <c r="N39" s="76">
        <v>0</v>
      </c>
    </row>
    <row r="40" spans="1:14" x14ac:dyDescent="0.35">
      <c r="A40" s="61">
        <v>37681</v>
      </c>
      <c r="B40" s="74">
        <v>205.64152641317907</v>
      </c>
      <c r="C40" s="76">
        <v>132.33197000000001</v>
      </c>
      <c r="D40" s="76">
        <v>118.66527000000001</v>
      </c>
      <c r="E40" s="76">
        <v>13.666700000000001</v>
      </c>
      <c r="F40" s="76">
        <v>43.636330661303511</v>
      </c>
      <c r="G40" s="142">
        <v>16236.66876</v>
      </c>
      <c r="H40" s="142">
        <v>2086.86985</v>
      </c>
      <c r="I40" s="76">
        <v>24.756125751875533</v>
      </c>
      <c r="J40" s="76">
        <v>24.756125751875533</v>
      </c>
      <c r="K40" s="76">
        <v>0</v>
      </c>
      <c r="L40" s="76">
        <v>0</v>
      </c>
      <c r="M40" s="76">
        <v>4.9170999999999996</v>
      </c>
      <c r="N40" s="76">
        <v>0</v>
      </c>
    </row>
    <row r="41" spans="1:14" x14ac:dyDescent="0.35">
      <c r="A41" s="61">
        <v>37712</v>
      </c>
      <c r="B41" s="74">
        <v>309.82519228829528</v>
      </c>
      <c r="C41" s="76">
        <v>133.72703000000001</v>
      </c>
      <c r="D41" s="76">
        <v>120.58803</v>
      </c>
      <c r="E41" s="76">
        <v>13.139000000000001</v>
      </c>
      <c r="F41" s="76">
        <v>140.9491828448852</v>
      </c>
      <c r="G41" s="142">
        <v>2604.9938500000003</v>
      </c>
      <c r="H41" s="142">
        <v>128118.01304000001</v>
      </c>
      <c r="I41" s="76">
        <v>29.304479443410131</v>
      </c>
      <c r="J41" s="76">
        <v>29.304479443410131</v>
      </c>
      <c r="K41" s="76">
        <v>0</v>
      </c>
      <c r="L41" s="76">
        <v>0</v>
      </c>
      <c r="M41" s="76">
        <v>5.8445</v>
      </c>
      <c r="N41" s="76">
        <v>0</v>
      </c>
    </row>
    <row r="42" spans="1:14" x14ac:dyDescent="0.35">
      <c r="A42" s="61">
        <v>37742</v>
      </c>
      <c r="B42" s="74">
        <v>222.51372270540872</v>
      </c>
      <c r="C42" s="76">
        <v>145.22692000000001</v>
      </c>
      <c r="D42" s="76">
        <v>130.02282</v>
      </c>
      <c r="E42" s="76">
        <v>15.204099999999999</v>
      </c>
      <c r="F42" s="76">
        <v>37.724712451063176</v>
      </c>
      <c r="G42" s="142">
        <v>1072.8279</v>
      </c>
      <c r="H42" s="142">
        <v>1680.0985000000001</v>
      </c>
      <c r="I42" s="76">
        <v>34.289990254345547</v>
      </c>
      <c r="J42" s="76">
        <v>34.289990254345547</v>
      </c>
      <c r="K42" s="76">
        <v>0</v>
      </c>
      <c r="L42" s="76">
        <v>0</v>
      </c>
      <c r="M42" s="76">
        <v>5.2721</v>
      </c>
      <c r="N42" s="76">
        <v>0</v>
      </c>
    </row>
    <row r="43" spans="1:14" x14ac:dyDescent="0.35">
      <c r="A43" s="61">
        <v>37773</v>
      </c>
      <c r="B43" s="74">
        <v>224.21125308156277</v>
      </c>
      <c r="C43" s="76">
        <v>150.43227000000002</v>
      </c>
      <c r="D43" s="76">
        <v>136.76067</v>
      </c>
      <c r="E43" s="76">
        <v>13.6716</v>
      </c>
      <c r="F43" s="76">
        <v>35.801885211830772</v>
      </c>
      <c r="G43" s="142">
        <v>773.39935000000003</v>
      </c>
      <c r="H43" s="142">
        <v>2818.0173300000001</v>
      </c>
      <c r="I43" s="76">
        <v>32.187097869731979</v>
      </c>
      <c r="J43" s="76">
        <v>32.187097869731979</v>
      </c>
      <c r="K43" s="76">
        <v>0</v>
      </c>
      <c r="L43" s="76">
        <v>0</v>
      </c>
      <c r="M43" s="76">
        <v>5.79</v>
      </c>
      <c r="N43" s="76">
        <v>0</v>
      </c>
    </row>
    <row r="44" spans="1:14" x14ac:dyDescent="0.35">
      <c r="A44" s="61">
        <v>37803</v>
      </c>
      <c r="B44" s="74">
        <v>252.74061284316636</v>
      </c>
      <c r="C44" s="76">
        <v>147.6335</v>
      </c>
      <c r="D44" s="76">
        <v>133.58070000000001</v>
      </c>
      <c r="E44" s="76">
        <v>14.0528</v>
      </c>
      <c r="F44" s="76">
        <v>63.852453826772916</v>
      </c>
      <c r="G44" s="142">
        <v>838.22748000000001</v>
      </c>
      <c r="H44" s="142">
        <v>1955.2946499999998</v>
      </c>
      <c r="I44" s="76">
        <v>31.345459016393445</v>
      </c>
      <c r="J44" s="76">
        <v>31.345459016393445</v>
      </c>
      <c r="K44" s="76">
        <v>0</v>
      </c>
      <c r="L44" s="76">
        <v>0</v>
      </c>
      <c r="M44" s="76">
        <v>9.9092000000000002</v>
      </c>
      <c r="N44" s="76">
        <v>0</v>
      </c>
    </row>
    <row r="45" spans="1:14" x14ac:dyDescent="0.35">
      <c r="A45" s="61">
        <v>37834</v>
      </c>
      <c r="B45" s="74">
        <v>210.29804799192823</v>
      </c>
      <c r="C45" s="76">
        <v>145.14363999999998</v>
      </c>
      <c r="D45" s="76">
        <v>129.35033999999999</v>
      </c>
      <c r="E45" s="76">
        <v>15.7933</v>
      </c>
      <c r="F45" s="76">
        <v>31.656264649891682</v>
      </c>
      <c r="G45" s="142">
        <v>435.94546000000003</v>
      </c>
      <c r="H45" s="142">
        <v>984.28493999999989</v>
      </c>
      <c r="I45" s="76">
        <v>30.427843342036557</v>
      </c>
      <c r="J45" s="76">
        <v>30.427843342036557</v>
      </c>
      <c r="K45" s="76">
        <v>0</v>
      </c>
      <c r="L45" s="76">
        <v>0</v>
      </c>
      <c r="M45" s="76">
        <v>3.0703</v>
      </c>
      <c r="N45" s="76">
        <v>0</v>
      </c>
    </row>
    <row r="46" spans="1:14" x14ac:dyDescent="0.35">
      <c r="A46" s="61">
        <v>37865</v>
      </c>
      <c r="B46" s="74">
        <v>229.03947988546605</v>
      </c>
      <c r="C46" s="76">
        <v>134.4948</v>
      </c>
      <c r="D46" s="76">
        <v>118.81710000000001</v>
      </c>
      <c r="E46" s="76">
        <v>15.6777</v>
      </c>
      <c r="F46" s="76">
        <v>58.257365643977934</v>
      </c>
      <c r="G46" s="142">
        <v>618.06136000000004</v>
      </c>
      <c r="H46" s="142">
        <v>855.35036000000002</v>
      </c>
      <c r="I46" s="76">
        <v>33.894614241488121</v>
      </c>
      <c r="J46" s="76">
        <v>33.894614241488121</v>
      </c>
      <c r="K46" s="76">
        <v>0</v>
      </c>
      <c r="L46" s="76">
        <v>0</v>
      </c>
      <c r="M46" s="76">
        <v>2.3927</v>
      </c>
      <c r="N46" s="76">
        <v>0</v>
      </c>
    </row>
    <row r="47" spans="1:14" x14ac:dyDescent="0.35">
      <c r="A47" s="61">
        <v>37895</v>
      </c>
      <c r="B47" s="74">
        <v>232.79471875999039</v>
      </c>
      <c r="C47" s="76">
        <v>161.24277999999998</v>
      </c>
      <c r="D47" s="76">
        <v>146.44997999999998</v>
      </c>
      <c r="E47" s="76">
        <v>14.792799999999998</v>
      </c>
      <c r="F47" s="76">
        <v>35.564006255764994</v>
      </c>
      <c r="G47" s="142">
        <v>394.19580999999999</v>
      </c>
      <c r="H47" s="142">
        <v>885.14648999999997</v>
      </c>
      <c r="I47" s="76">
        <v>33.673732504225434</v>
      </c>
      <c r="J47" s="76">
        <v>33.673732504225434</v>
      </c>
      <c r="K47" s="76">
        <v>0</v>
      </c>
      <c r="L47" s="76">
        <v>0</v>
      </c>
      <c r="M47" s="76">
        <v>2.3142</v>
      </c>
      <c r="N47" s="76">
        <v>0</v>
      </c>
    </row>
    <row r="48" spans="1:14" x14ac:dyDescent="0.35">
      <c r="A48" s="61">
        <v>37926</v>
      </c>
      <c r="B48" s="74">
        <v>214.97729325568247</v>
      </c>
      <c r="C48" s="76">
        <v>146.99091999999996</v>
      </c>
      <c r="D48" s="76">
        <v>130.97051999999996</v>
      </c>
      <c r="E48" s="76">
        <v>16.020400000000002</v>
      </c>
      <c r="F48" s="76">
        <v>32.812953523873858</v>
      </c>
      <c r="G48" s="142">
        <v>350.27648999999997</v>
      </c>
      <c r="H48" s="142">
        <v>532.64124000000004</v>
      </c>
      <c r="I48" s="76">
        <v>33.012319731808645</v>
      </c>
      <c r="J48" s="76">
        <v>33.012319731808645</v>
      </c>
      <c r="K48" s="76">
        <v>0</v>
      </c>
      <c r="L48" s="76">
        <v>0</v>
      </c>
      <c r="M48" s="76">
        <v>2.1610999999999998</v>
      </c>
      <c r="N48" s="76">
        <v>0</v>
      </c>
    </row>
    <row r="49" spans="1:14" x14ac:dyDescent="0.35">
      <c r="A49" s="61">
        <v>37956</v>
      </c>
      <c r="B49" s="74">
        <v>233.76672553192964</v>
      </c>
      <c r="C49" s="76">
        <v>155.26783</v>
      </c>
      <c r="D49" s="76">
        <v>138.95793</v>
      </c>
      <c r="E49" s="76">
        <v>16.309900000000003</v>
      </c>
      <c r="F49" s="76">
        <v>35.373268180663395</v>
      </c>
      <c r="G49" s="142">
        <v>595.32815000000005</v>
      </c>
      <c r="H49" s="142">
        <v>2014.9426799999999</v>
      </c>
      <c r="I49" s="76">
        <v>38.044927351266246</v>
      </c>
      <c r="J49" s="76">
        <v>38.044927351266246</v>
      </c>
      <c r="K49" s="76">
        <v>0</v>
      </c>
      <c r="L49" s="76">
        <v>0</v>
      </c>
      <c r="M49" s="76">
        <v>5.0807000000000002</v>
      </c>
      <c r="N49" s="76">
        <v>0</v>
      </c>
    </row>
    <row r="50" spans="1:14" x14ac:dyDescent="0.35">
      <c r="A50" s="61">
        <v>37987</v>
      </c>
      <c r="B50" s="74">
        <v>271.51639144217455</v>
      </c>
      <c r="C50" s="76">
        <v>177.39052662444973</v>
      </c>
      <c r="D50" s="76">
        <v>157.57380000000001</v>
      </c>
      <c r="E50" s="76">
        <v>19.816726624449718</v>
      </c>
      <c r="F50" s="76">
        <v>61.678287725213792</v>
      </c>
      <c r="G50" s="140">
        <v>652.45051000000001</v>
      </c>
      <c r="H50" s="140">
        <v>725.02201000000002</v>
      </c>
      <c r="I50" s="76">
        <v>27.147577092511014</v>
      </c>
      <c r="J50" s="76">
        <v>27.147577092511014</v>
      </c>
      <c r="K50" s="76">
        <v>0</v>
      </c>
      <c r="L50" s="76">
        <v>0</v>
      </c>
      <c r="M50" s="76">
        <v>2.2999999999999998</v>
      </c>
      <c r="N50" s="76">
        <v>3</v>
      </c>
    </row>
    <row r="51" spans="1:14" x14ac:dyDescent="0.35">
      <c r="A51" s="61">
        <v>38018</v>
      </c>
      <c r="B51" s="74">
        <v>200.29505175246865</v>
      </c>
      <c r="C51" s="76">
        <v>129.74246341854601</v>
      </c>
      <c r="D51" s="76">
        <v>115.83</v>
      </c>
      <c r="E51" s="76">
        <v>13.912463418546015</v>
      </c>
      <c r="F51" s="76">
        <v>32.637169831720016</v>
      </c>
      <c r="G51" s="141">
        <v>776.12031000000002</v>
      </c>
      <c r="H51" s="141">
        <v>502.36778000000004</v>
      </c>
      <c r="I51" s="76">
        <v>31.015418502202646</v>
      </c>
      <c r="J51" s="76">
        <v>31.015418502202646</v>
      </c>
      <c r="K51" s="76">
        <v>0</v>
      </c>
      <c r="L51" s="76">
        <v>0</v>
      </c>
      <c r="M51" s="76">
        <v>3.9</v>
      </c>
      <c r="N51" s="76">
        <v>3</v>
      </c>
    </row>
    <row r="52" spans="1:14" x14ac:dyDescent="0.35">
      <c r="A52" s="61">
        <v>38047</v>
      </c>
      <c r="B52" s="74">
        <v>247.93741751175111</v>
      </c>
      <c r="C52" s="76">
        <v>158.58707551085033</v>
      </c>
      <c r="D52" s="76">
        <v>143.72999999999999</v>
      </c>
      <c r="E52" s="76">
        <v>14.857075510850349</v>
      </c>
      <c r="F52" s="76">
        <v>49.567963146275204</v>
      </c>
      <c r="G52" s="140">
        <v>15235.874619999999</v>
      </c>
      <c r="H52" s="140">
        <v>2928.6278499999999</v>
      </c>
      <c r="I52" s="76">
        <v>31.982378854625551</v>
      </c>
      <c r="J52" s="76">
        <v>31.982378854625551</v>
      </c>
      <c r="K52" s="76">
        <v>0</v>
      </c>
      <c r="L52" s="76">
        <v>0</v>
      </c>
      <c r="M52" s="76">
        <v>5.8</v>
      </c>
      <c r="N52" s="76">
        <v>2</v>
      </c>
    </row>
    <row r="53" spans="1:14" x14ac:dyDescent="0.35">
      <c r="A53" s="61">
        <v>38078</v>
      </c>
      <c r="B53" s="74">
        <v>370.7947964239778</v>
      </c>
      <c r="C53" s="76">
        <v>158.89900389824689</v>
      </c>
      <c r="D53" s="76">
        <v>142.91999999999999</v>
      </c>
      <c r="E53" s="76">
        <v>15.979003898246903</v>
      </c>
      <c r="F53" s="76">
        <v>176.16476477595143</v>
      </c>
      <c r="G53" s="140">
        <v>1616.11598</v>
      </c>
      <c r="H53" s="140">
        <v>179613.96719999998</v>
      </c>
      <c r="I53" s="76">
        <v>28.531027749779515</v>
      </c>
      <c r="J53" s="76">
        <v>28.531027749779515</v>
      </c>
      <c r="K53" s="76">
        <v>0</v>
      </c>
      <c r="L53" s="76">
        <v>0</v>
      </c>
      <c r="M53" s="76">
        <v>4.8</v>
      </c>
      <c r="N53" s="76">
        <v>2.4</v>
      </c>
    </row>
    <row r="54" spans="1:14" x14ac:dyDescent="0.35">
      <c r="A54" s="61">
        <v>38108</v>
      </c>
      <c r="B54" s="74">
        <v>238.64795489491573</v>
      </c>
      <c r="C54" s="76">
        <v>157.17880256988474</v>
      </c>
      <c r="D54" s="76">
        <v>138.96</v>
      </c>
      <c r="E54" s="76">
        <v>18.218802569884719</v>
      </c>
      <c r="F54" s="76">
        <v>40.013234707410049</v>
      </c>
      <c r="G54" s="140">
        <v>1126.0639699999999</v>
      </c>
      <c r="H54" s="140">
        <v>3021.7134700000001</v>
      </c>
      <c r="I54" s="76">
        <v>33.655917617620929</v>
      </c>
      <c r="J54" s="76">
        <v>33.655917617620929</v>
      </c>
      <c r="K54" s="76">
        <v>0</v>
      </c>
      <c r="L54" s="76">
        <v>0</v>
      </c>
      <c r="M54" s="76">
        <v>4.5</v>
      </c>
      <c r="N54" s="76">
        <v>3.3</v>
      </c>
    </row>
    <row r="55" spans="1:14" x14ac:dyDescent="0.35">
      <c r="A55" s="61">
        <v>38139</v>
      </c>
      <c r="B55" s="74">
        <v>237.59790375672711</v>
      </c>
      <c r="C55" s="76">
        <v>157.17637768506074</v>
      </c>
      <c r="D55" s="76">
        <v>140.76</v>
      </c>
      <c r="E55" s="76">
        <v>16.416377685060766</v>
      </c>
      <c r="F55" s="76">
        <v>35.306511537745877</v>
      </c>
      <c r="G55" s="140">
        <v>926.23230999999998</v>
      </c>
      <c r="H55" s="140">
        <v>1474.28918</v>
      </c>
      <c r="I55" s="76">
        <v>36.170014533920487</v>
      </c>
      <c r="J55" s="76">
        <v>36.170014533920487</v>
      </c>
      <c r="K55" s="76">
        <v>0</v>
      </c>
      <c r="L55" s="76">
        <v>0</v>
      </c>
      <c r="M55" s="76">
        <v>6.4450000000000003</v>
      </c>
      <c r="N55" s="76">
        <v>2.5</v>
      </c>
    </row>
    <row r="56" spans="1:14" x14ac:dyDescent="0.35">
      <c r="A56" s="61">
        <v>38169</v>
      </c>
      <c r="B56" s="74">
        <v>284.37135298169676</v>
      </c>
      <c r="C56" s="76">
        <v>158.66888117104628</v>
      </c>
      <c r="D56" s="76">
        <v>142.47</v>
      </c>
      <c r="E56" s="76">
        <v>16.198881171046295</v>
      </c>
      <c r="F56" s="76">
        <v>77.432545382456894</v>
      </c>
      <c r="G56" s="140">
        <v>660.66749000000004</v>
      </c>
      <c r="H56" s="140">
        <v>1333.3591699999999</v>
      </c>
      <c r="I56" s="76">
        <v>35.879926428193613</v>
      </c>
      <c r="J56" s="76">
        <v>35.879926428193613</v>
      </c>
      <c r="K56" s="76">
        <v>0</v>
      </c>
      <c r="L56" s="76">
        <v>0</v>
      </c>
      <c r="M56" s="76">
        <v>9.19</v>
      </c>
      <c r="N56" s="76">
        <v>3.2</v>
      </c>
    </row>
    <row r="57" spans="1:14" x14ac:dyDescent="0.35">
      <c r="A57" s="61">
        <v>38200</v>
      </c>
      <c r="B57" s="74">
        <v>249.03018021113326</v>
      </c>
      <c r="C57" s="76">
        <v>162.0658376697254</v>
      </c>
      <c r="D57" s="76">
        <v>141.89147999999997</v>
      </c>
      <c r="E57" s="76">
        <v>20.174357669725438</v>
      </c>
      <c r="F57" s="76">
        <v>39.392742104403645</v>
      </c>
      <c r="G57" s="140">
        <v>450.45704000000001</v>
      </c>
      <c r="H57" s="140">
        <v>925.69356000000005</v>
      </c>
      <c r="I57" s="76">
        <v>41.391600437004193</v>
      </c>
      <c r="J57" s="76">
        <v>41.391600437004193</v>
      </c>
      <c r="K57" s="76">
        <v>0</v>
      </c>
      <c r="L57" s="76">
        <v>0</v>
      </c>
      <c r="M57" s="76">
        <v>3.78</v>
      </c>
      <c r="N57" s="76">
        <v>2.4</v>
      </c>
    </row>
    <row r="58" spans="1:14" x14ac:dyDescent="0.35">
      <c r="A58" s="61">
        <v>38231</v>
      </c>
      <c r="B58" s="74">
        <v>264.59000216329832</v>
      </c>
      <c r="C58" s="76">
        <v>146.16420883607972</v>
      </c>
      <c r="D58" s="76">
        <v>133.27991999999998</v>
      </c>
      <c r="E58" s="76">
        <v>12.884288836079739</v>
      </c>
      <c r="F58" s="76">
        <v>71.718163054090851</v>
      </c>
      <c r="G58" s="140">
        <v>419.97053999999997</v>
      </c>
      <c r="H58" s="140">
        <v>1111.0009499999999</v>
      </c>
      <c r="I58" s="76">
        <v>41.39163027312776</v>
      </c>
      <c r="J58" s="76">
        <v>41.39163027312776</v>
      </c>
      <c r="K58" s="76">
        <v>0</v>
      </c>
      <c r="L58" s="76">
        <v>0</v>
      </c>
      <c r="M58" s="76">
        <v>2.8159999999999998</v>
      </c>
      <c r="N58" s="76">
        <v>2.5</v>
      </c>
    </row>
    <row r="59" spans="1:14" x14ac:dyDescent="0.35">
      <c r="A59" s="61">
        <v>38261</v>
      </c>
      <c r="B59" s="74">
        <v>257.87212693685342</v>
      </c>
      <c r="C59" s="76">
        <v>170.95050043255168</v>
      </c>
      <c r="D59" s="76">
        <v>153.60299999999998</v>
      </c>
      <c r="E59" s="76">
        <v>17.347500432551691</v>
      </c>
      <c r="F59" s="76">
        <v>39.14394777302418</v>
      </c>
      <c r="G59" s="140">
        <v>303.21129999999999</v>
      </c>
      <c r="H59" s="140">
        <v>2824.7881299999999</v>
      </c>
      <c r="I59" s="76">
        <v>42.648678731277535</v>
      </c>
      <c r="J59" s="76">
        <v>42.648678731277535</v>
      </c>
      <c r="K59" s="76">
        <v>0</v>
      </c>
      <c r="L59" s="76">
        <v>0</v>
      </c>
      <c r="M59" s="76">
        <v>2.629</v>
      </c>
      <c r="N59" s="76">
        <v>2.5</v>
      </c>
    </row>
    <row r="60" spans="1:14" x14ac:dyDescent="0.35">
      <c r="A60" s="61">
        <v>38292</v>
      </c>
      <c r="B60" s="74">
        <v>270.95616569184693</v>
      </c>
      <c r="C60" s="76">
        <v>170.22556071224295</v>
      </c>
      <c r="D60" s="76">
        <v>152.19719999999998</v>
      </c>
      <c r="E60" s="76">
        <v>18.028360712242982</v>
      </c>
      <c r="F60" s="76">
        <v>40.903656524978665</v>
      </c>
      <c r="G60" s="140">
        <v>278.30090000000001</v>
      </c>
      <c r="H60" s="140">
        <v>1332.24576</v>
      </c>
      <c r="I60" s="76">
        <v>52.414948454625339</v>
      </c>
      <c r="J60" s="76">
        <v>52.414948454625339</v>
      </c>
      <c r="K60" s="76">
        <v>0</v>
      </c>
      <c r="L60" s="76">
        <v>0</v>
      </c>
      <c r="M60" s="76">
        <v>4.9119999999999999</v>
      </c>
      <c r="N60" s="76">
        <v>2.5</v>
      </c>
    </row>
    <row r="61" spans="1:14" x14ac:dyDescent="0.35">
      <c r="A61" s="61">
        <v>38322</v>
      </c>
      <c r="B61" s="74">
        <v>271.90646050949601</v>
      </c>
      <c r="C61" s="76">
        <v>174.69513228896494</v>
      </c>
      <c r="D61" s="76">
        <v>156.41999999999999</v>
      </c>
      <c r="E61" s="76">
        <v>18.275132288964954</v>
      </c>
      <c r="F61" s="76">
        <v>37.972340118328631</v>
      </c>
      <c r="G61" s="140">
        <v>774.51369</v>
      </c>
      <c r="H61" s="140">
        <v>613.08231000000001</v>
      </c>
      <c r="I61" s="76">
        <v>51.44798810220243</v>
      </c>
      <c r="J61" s="76">
        <v>51.44798810220243</v>
      </c>
      <c r="K61" s="76">
        <v>0</v>
      </c>
      <c r="L61" s="76">
        <v>0</v>
      </c>
      <c r="M61" s="76">
        <v>5.2910000000000004</v>
      </c>
      <c r="N61" s="76">
        <v>2.5</v>
      </c>
    </row>
    <row r="62" spans="1:14" x14ac:dyDescent="0.35">
      <c r="A62" s="61">
        <v>38353</v>
      </c>
      <c r="B62" s="74">
        <v>319.63056448037014</v>
      </c>
      <c r="C62" s="76">
        <v>209.44290000000001</v>
      </c>
      <c r="D62" s="76">
        <v>188.8929</v>
      </c>
      <c r="E62" s="76">
        <v>20.55</v>
      </c>
      <c r="F62" s="76">
        <v>63.136634725260052</v>
      </c>
      <c r="G62" s="140">
        <v>712.63599999999997</v>
      </c>
      <c r="H62" s="140">
        <v>337.97989000000001</v>
      </c>
      <c r="I62" s="76">
        <v>43.42183652511013</v>
      </c>
      <c r="J62" s="76">
        <v>43.42183652511013</v>
      </c>
      <c r="K62" s="76">
        <v>0</v>
      </c>
      <c r="L62" s="76">
        <v>0</v>
      </c>
      <c r="M62" s="76">
        <v>3.4681871200000001</v>
      </c>
      <c r="N62" s="76">
        <v>0.16100611000000001</v>
      </c>
    </row>
    <row r="63" spans="1:14" x14ac:dyDescent="0.35">
      <c r="A63" s="61">
        <v>38384</v>
      </c>
      <c r="B63" s="74">
        <v>233.08407662541674</v>
      </c>
      <c r="C63" s="76">
        <v>158.49299999999999</v>
      </c>
      <c r="D63" s="76">
        <v>142.60499999999999</v>
      </c>
      <c r="E63" s="76">
        <v>15.888000000000002</v>
      </c>
      <c r="F63" s="76">
        <v>35.339668800130397</v>
      </c>
      <c r="G63" s="141">
        <v>885.38672999999994</v>
      </c>
      <c r="H63" s="141">
        <v>961.6170699999999</v>
      </c>
      <c r="I63" s="76">
        <v>34.218004405286344</v>
      </c>
      <c r="J63" s="76">
        <v>34.218004405286344</v>
      </c>
      <c r="K63" s="76">
        <v>0</v>
      </c>
      <c r="L63" s="76">
        <v>0</v>
      </c>
      <c r="M63" s="76">
        <v>4.8834092900000003</v>
      </c>
      <c r="N63" s="76">
        <v>0.14999413</v>
      </c>
    </row>
    <row r="64" spans="1:14" x14ac:dyDescent="0.35">
      <c r="A64" s="61">
        <v>38412</v>
      </c>
      <c r="B64" s="74">
        <v>263.49861439208649</v>
      </c>
      <c r="C64" s="76">
        <v>164.16299999999998</v>
      </c>
      <c r="D64" s="76">
        <v>148.13999999999999</v>
      </c>
      <c r="E64" s="76">
        <v>16.023</v>
      </c>
      <c r="F64" s="76">
        <v>48.702122116756087</v>
      </c>
      <c r="G64" s="140">
        <v>18295.08685</v>
      </c>
      <c r="H64" s="140">
        <v>2142.56023</v>
      </c>
      <c r="I64" s="76">
        <v>44.654845785330394</v>
      </c>
      <c r="J64" s="76">
        <v>44.654845785330394</v>
      </c>
      <c r="K64" s="76">
        <v>0</v>
      </c>
      <c r="L64" s="76">
        <v>0</v>
      </c>
      <c r="M64" s="76">
        <v>5.7969989999999996</v>
      </c>
      <c r="N64" s="76">
        <v>0.18164748999999999</v>
      </c>
    </row>
    <row r="65" spans="1:14" x14ac:dyDescent="0.35">
      <c r="A65" s="61">
        <v>38443</v>
      </c>
      <c r="B65" s="74">
        <v>523.31885542002067</v>
      </c>
      <c r="C65" s="76">
        <v>171.9</v>
      </c>
      <c r="D65" s="76">
        <v>152.55000000000001</v>
      </c>
      <c r="E65" s="76">
        <v>19.350000000000001</v>
      </c>
      <c r="F65" s="76">
        <v>303.62250659266959</v>
      </c>
      <c r="G65" s="140">
        <v>1487.1136799999999</v>
      </c>
      <c r="H65" s="140">
        <v>318828.15361000004</v>
      </c>
      <c r="I65" s="76">
        <v>42.733446647350981</v>
      </c>
      <c r="J65" s="76">
        <v>42.733446647350981</v>
      </c>
      <c r="K65" s="76">
        <v>0</v>
      </c>
      <c r="L65" s="76">
        <v>0</v>
      </c>
      <c r="M65" s="76">
        <v>4.8966500000000002</v>
      </c>
      <c r="N65" s="76">
        <v>0.16625218</v>
      </c>
    </row>
    <row r="66" spans="1:14" x14ac:dyDescent="0.35">
      <c r="A66" s="61">
        <v>38473</v>
      </c>
      <c r="B66" s="74">
        <v>284.94784823774518</v>
      </c>
      <c r="C66" s="76">
        <v>184.40269000000001</v>
      </c>
      <c r="D66" s="76">
        <v>167.02569</v>
      </c>
      <c r="E66" s="76">
        <v>17.376999999999999</v>
      </c>
      <c r="F66" s="76">
        <v>46.183165659160657</v>
      </c>
      <c r="G66" s="140">
        <v>824.22170999999992</v>
      </c>
      <c r="H66" s="140">
        <v>3903.32834</v>
      </c>
      <c r="I66" s="76">
        <v>48.691870178584466</v>
      </c>
      <c r="J66" s="76">
        <v>48.691870178584466</v>
      </c>
      <c r="K66" s="76">
        <v>0</v>
      </c>
      <c r="L66" s="76">
        <v>0</v>
      </c>
      <c r="M66" s="76">
        <v>5.4815543499999997</v>
      </c>
      <c r="N66" s="76">
        <v>0.18856804999999999</v>
      </c>
    </row>
    <row r="67" spans="1:14" x14ac:dyDescent="0.35">
      <c r="A67" s="61">
        <v>38504</v>
      </c>
      <c r="B67" s="74">
        <v>269.43362875546183</v>
      </c>
      <c r="C67" s="76">
        <v>177.02803</v>
      </c>
      <c r="D67" s="76">
        <v>158.88122999999999</v>
      </c>
      <c r="E67" s="76">
        <v>18.146799999999999</v>
      </c>
      <c r="F67" s="76">
        <v>39.357593874762777</v>
      </c>
      <c r="G67" s="140">
        <v>854.02737000000002</v>
      </c>
      <c r="H67" s="140">
        <v>1452.9204199999999</v>
      </c>
      <c r="I67" s="76">
        <v>45.949693880699002</v>
      </c>
      <c r="J67" s="76">
        <v>45.949693880699002</v>
      </c>
      <c r="K67" s="76">
        <v>0</v>
      </c>
      <c r="L67" s="76">
        <v>0</v>
      </c>
      <c r="M67" s="76">
        <v>6.899311</v>
      </c>
      <c r="N67" s="76">
        <v>0.19900000000000001</v>
      </c>
    </row>
    <row r="68" spans="1:14" x14ac:dyDescent="0.35">
      <c r="A68" s="61">
        <v>38534</v>
      </c>
      <c r="B68" s="74">
        <v>344.92403142499074</v>
      </c>
      <c r="C68" s="76">
        <v>185.88908999999998</v>
      </c>
      <c r="D68" s="76">
        <v>168.23978999999997</v>
      </c>
      <c r="E68" s="76">
        <v>17.6493</v>
      </c>
      <c r="F68" s="76">
        <v>111.73991297530495</v>
      </c>
      <c r="G68" s="140">
        <v>736.45341000000008</v>
      </c>
      <c r="H68" s="140">
        <v>5141.7132300000003</v>
      </c>
      <c r="I68" s="76">
        <v>39.56147725968578</v>
      </c>
      <c r="J68" s="76">
        <v>39.56147725968578</v>
      </c>
      <c r="K68" s="76">
        <v>0</v>
      </c>
      <c r="L68" s="76">
        <v>0</v>
      </c>
      <c r="M68" s="76">
        <v>7.4903402799999999</v>
      </c>
      <c r="N68" s="76">
        <v>0.24321091</v>
      </c>
    </row>
    <row r="69" spans="1:14" x14ac:dyDescent="0.35">
      <c r="A69" s="61">
        <v>38565</v>
      </c>
      <c r="B69" s="74">
        <v>286.02646655281205</v>
      </c>
      <c r="C69" s="76">
        <v>183.06020000000001</v>
      </c>
      <c r="D69" s="76">
        <v>162.6651</v>
      </c>
      <c r="E69" s="76">
        <v>20.395099999999999</v>
      </c>
      <c r="F69" s="76">
        <v>42.935055731760599</v>
      </c>
      <c r="G69" s="140">
        <v>694.39022999999997</v>
      </c>
      <c r="H69" s="140">
        <v>1090.02523</v>
      </c>
      <c r="I69" s="76">
        <v>53.90514926105142</v>
      </c>
      <c r="J69" s="76">
        <v>53.90514926105142</v>
      </c>
      <c r="K69" s="76">
        <v>0</v>
      </c>
      <c r="L69" s="76">
        <v>0</v>
      </c>
      <c r="M69" s="76">
        <v>5.9383363899999999</v>
      </c>
      <c r="N69" s="76">
        <v>0.18772517</v>
      </c>
    </row>
    <row r="70" spans="1:14" x14ac:dyDescent="0.35">
      <c r="A70" s="61">
        <v>38596</v>
      </c>
      <c r="B70" s="74">
        <v>339.25693928177054</v>
      </c>
      <c r="C70" s="76">
        <v>189.93773000000002</v>
      </c>
      <c r="D70" s="76">
        <v>171.64053000000001</v>
      </c>
      <c r="E70" s="76">
        <v>18.2972</v>
      </c>
      <c r="F70" s="76">
        <v>103.15262615656351</v>
      </c>
      <c r="G70" s="140">
        <v>517.88679999999999</v>
      </c>
      <c r="H70" s="140">
        <v>896.86585000000002</v>
      </c>
      <c r="I70" s="76">
        <v>42.937627665207046</v>
      </c>
      <c r="J70" s="76">
        <v>42.937627665207046</v>
      </c>
      <c r="K70" s="76">
        <v>0</v>
      </c>
      <c r="L70" s="76">
        <v>0</v>
      </c>
      <c r="M70" s="76">
        <v>3.0539999999999998</v>
      </c>
      <c r="N70" s="76">
        <v>0.17495546000000001</v>
      </c>
    </row>
    <row r="71" spans="1:14" x14ac:dyDescent="0.35">
      <c r="A71" s="61">
        <v>38626</v>
      </c>
      <c r="B71" s="74">
        <v>299.02762126856794</v>
      </c>
      <c r="C71" s="76">
        <v>204.11283</v>
      </c>
      <c r="D71" s="76">
        <v>183.48633000000001</v>
      </c>
      <c r="E71" s="76">
        <v>20.6265</v>
      </c>
      <c r="F71" s="76">
        <v>41.608152631070105</v>
      </c>
      <c r="G71" s="140">
        <v>496.31484</v>
      </c>
      <c r="H71" s="140">
        <v>1284.33338</v>
      </c>
      <c r="I71" s="76">
        <v>50.115888067497799</v>
      </c>
      <c r="J71" s="76">
        <v>50.115888067497799</v>
      </c>
      <c r="K71" s="76">
        <v>0</v>
      </c>
      <c r="L71" s="76">
        <v>0</v>
      </c>
      <c r="M71" s="76">
        <v>3.00001257</v>
      </c>
      <c r="N71" s="76">
        <v>0.19073799999999999</v>
      </c>
    </row>
    <row r="72" spans="1:14" x14ac:dyDescent="0.35">
      <c r="A72" s="61">
        <v>38657</v>
      </c>
      <c r="B72" s="74">
        <v>279.88819098885739</v>
      </c>
      <c r="C72" s="76">
        <v>183.6884</v>
      </c>
      <c r="D72" s="76">
        <v>164.57760000000002</v>
      </c>
      <c r="E72" s="76">
        <v>19.110799999999998</v>
      </c>
      <c r="F72" s="76">
        <v>43.339528387453527</v>
      </c>
      <c r="G72" s="140">
        <v>374.20059999999995</v>
      </c>
      <c r="H72" s="140">
        <v>1135.7531799999999</v>
      </c>
      <c r="I72" s="76">
        <v>50.229490871403847</v>
      </c>
      <c r="J72" s="76">
        <v>50.229490871403847</v>
      </c>
      <c r="K72" s="76">
        <v>0</v>
      </c>
      <c r="L72" s="76">
        <v>0</v>
      </c>
      <c r="M72" s="76">
        <v>2.4006580999999998</v>
      </c>
      <c r="N72" s="76">
        <v>0.23011363000000001</v>
      </c>
    </row>
    <row r="73" spans="1:14" x14ac:dyDescent="0.35">
      <c r="A73" s="61">
        <v>38687</v>
      </c>
      <c r="B73" s="74">
        <v>297.94471886994842</v>
      </c>
      <c r="C73" s="76">
        <v>183.38910000000001</v>
      </c>
      <c r="D73" s="76">
        <v>166.17420000000001</v>
      </c>
      <c r="E73" s="76">
        <v>17.2149</v>
      </c>
      <c r="F73" s="76">
        <v>57.43611259202472</v>
      </c>
      <c r="G73" s="140">
        <v>770.54822999999999</v>
      </c>
      <c r="H73" s="140">
        <v>4981.9441900000002</v>
      </c>
      <c r="I73" s="76">
        <v>50.123330457923672</v>
      </c>
      <c r="J73" s="76">
        <v>50.123330457923672</v>
      </c>
      <c r="K73" s="76">
        <v>0</v>
      </c>
      <c r="L73" s="76">
        <v>0</v>
      </c>
      <c r="M73" s="76">
        <v>6.7843150000000003</v>
      </c>
      <c r="N73" s="76">
        <v>0.21186082000000001</v>
      </c>
    </row>
    <row r="74" spans="1:14" x14ac:dyDescent="0.35">
      <c r="A74" s="61">
        <v>38718</v>
      </c>
      <c r="B74" s="74">
        <v>355.97173326340953</v>
      </c>
      <c r="C74" s="76">
        <v>226.32275999999999</v>
      </c>
      <c r="D74" s="76">
        <v>199.35665999999998</v>
      </c>
      <c r="E74" s="76">
        <v>26.966100000000004</v>
      </c>
      <c r="F74" s="76">
        <v>77.779138432009532</v>
      </c>
      <c r="G74" s="144">
        <v>702.66151000000002</v>
      </c>
      <c r="H74" s="144">
        <v>507.01035999999999</v>
      </c>
      <c r="I74" s="76">
        <v>47.759129251400005</v>
      </c>
      <c r="J74" s="76">
        <v>47.759129251400005</v>
      </c>
      <c r="K74" s="76">
        <v>0</v>
      </c>
      <c r="L74" s="76">
        <v>0</v>
      </c>
      <c r="M74" s="76">
        <v>3.9279999999999999</v>
      </c>
      <c r="N74" s="76">
        <v>0.18270558000000001</v>
      </c>
    </row>
    <row r="75" spans="1:14" x14ac:dyDescent="0.35">
      <c r="A75" s="61">
        <v>38749</v>
      </c>
      <c r="B75" s="74">
        <v>219.04876196852467</v>
      </c>
      <c r="C75" s="76">
        <v>147.01679999999999</v>
      </c>
      <c r="D75" s="76">
        <v>133.2081</v>
      </c>
      <c r="E75" s="76">
        <v>13.808699999999998</v>
      </c>
      <c r="F75" s="76">
        <v>31.637068741924679</v>
      </c>
      <c r="G75" s="145">
        <v>2981.5462499999999</v>
      </c>
      <c r="H75" s="145">
        <v>1288.48065</v>
      </c>
      <c r="I75" s="76">
        <v>36.432296646600001</v>
      </c>
      <c r="J75" s="76">
        <v>36.432296646600001</v>
      </c>
      <c r="K75" s="76">
        <v>0</v>
      </c>
      <c r="L75" s="76">
        <v>0</v>
      </c>
      <c r="M75" s="76">
        <v>3.8109999999999999</v>
      </c>
      <c r="N75" s="76">
        <v>0.15159658000000001</v>
      </c>
    </row>
    <row r="76" spans="1:14" x14ac:dyDescent="0.35">
      <c r="A76" s="61">
        <v>38777</v>
      </c>
      <c r="B76" s="74">
        <v>327.20869740322047</v>
      </c>
      <c r="C76" s="76">
        <v>210.92715000000001</v>
      </c>
      <c r="D76" s="76">
        <v>191.57355000000001</v>
      </c>
      <c r="E76" s="76">
        <v>19.353599999999997</v>
      </c>
      <c r="F76" s="76">
        <v>58.429983707620416</v>
      </c>
      <c r="G76" s="144">
        <v>19060.38679</v>
      </c>
      <c r="H76" s="144">
        <v>2280.5218699999996</v>
      </c>
      <c r="I76" s="76">
        <v>53.024682535599993</v>
      </c>
      <c r="J76" s="76">
        <v>53.024682535599993</v>
      </c>
      <c r="K76" s="76">
        <v>0</v>
      </c>
      <c r="L76" s="76">
        <v>0</v>
      </c>
      <c r="M76" s="76">
        <v>4.6113</v>
      </c>
      <c r="N76" s="76">
        <v>0.21558115999999999</v>
      </c>
    </row>
    <row r="77" spans="1:14" x14ac:dyDescent="0.35">
      <c r="A77" s="61">
        <v>38808</v>
      </c>
      <c r="B77" s="74">
        <v>603.8044090158794</v>
      </c>
      <c r="C77" s="76">
        <v>199.87985</v>
      </c>
      <c r="D77" s="76">
        <v>179.73765</v>
      </c>
      <c r="E77" s="76">
        <v>20.142199999999999</v>
      </c>
      <c r="F77" s="76">
        <v>354.20966527170003</v>
      </c>
      <c r="G77" s="144">
        <v>1974.5346299999999</v>
      </c>
      <c r="H77" s="144">
        <v>433588.81969999999</v>
      </c>
      <c r="I77" s="76">
        <v>43.639508744179182</v>
      </c>
      <c r="J77" s="76">
        <v>43.639508744179182</v>
      </c>
      <c r="K77" s="76">
        <v>0</v>
      </c>
      <c r="L77" s="76">
        <v>0</v>
      </c>
      <c r="M77" s="76">
        <v>5.8902000000000001</v>
      </c>
      <c r="N77" s="76">
        <v>0.18518499999999999</v>
      </c>
    </row>
    <row r="78" spans="1:14" x14ac:dyDescent="0.35">
      <c r="A78" s="61">
        <v>38838</v>
      </c>
      <c r="B78" s="74">
        <v>352.08484911606064</v>
      </c>
      <c r="C78" s="76">
        <v>205.00925999999998</v>
      </c>
      <c r="D78" s="76">
        <v>185.06106</v>
      </c>
      <c r="E78" s="76">
        <v>19.948199999999996</v>
      </c>
      <c r="F78" s="76">
        <v>81.225166548281464</v>
      </c>
      <c r="G78" s="144">
        <v>1206.7732800000001</v>
      </c>
      <c r="H78" s="144">
        <v>4734.9836999999998</v>
      </c>
      <c r="I78" s="76">
        <v>58.400190977779175</v>
      </c>
      <c r="J78" s="76">
        <v>58.400190977779175</v>
      </c>
      <c r="K78" s="76">
        <v>0</v>
      </c>
      <c r="L78" s="76">
        <v>0</v>
      </c>
      <c r="M78" s="76">
        <v>7.2301000000000002</v>
      </c>
      <c r="N78" s="76">
        <v>0.22013158999999999</v>
      </c>
    </row>
    <row r="79" spans="1:14" x14ac:dyDescent="0.35">
      <c r="A79" s="61">
        <v>38869</v>
      </c>
      <c r="B79" s="74">
        <v>315.11834227607932</v>
      </c>
      <c r="C79" s="76">
        <v>212.73704999999998</v>
      </c>
      <c r="D79" s="76">
        <v>193.43744999999998</v>
      </c>
      <c r="E79" s="76">
        <v>19.299600000000002</v>
      </c>
      <c r="F79" s="76">
        <v>44.368842364700143</v>
      </c>
      <c r="G79" s="144">
        <v>1241.70793</v>
      </c>
      <c r="H79" s="144">
        <v>2343.4651000000003</v>
      </c>
      <c r="I79" s="76">
        <v>49.742187911379176</v>
      </c>
      <c r="J79" s="76">
        <v>49.742187911379176</v>
      </c>
      <c r="K79" s="76">
        <v>0</v>
      </c>
      <c r="L79" s="76">
        <v>0</v>
      </c>
      <c r="M79" s="76">
        <v>8.0563000000000002</v>
      </c>
      <c r="N79" s="76">
        <v>0.21396200000000001</v>
      </c>
    </row>
    <row r="80" spans="1:14" x14ac:dyDescent="0.35">
      <c r="A80" s="61">
        <v>38899</v>
      </c>
      <c r="B80" s="74">
        <v>380.76743987727991</v>
      </c>
      <c r="C80" s="76">
        <v>207.13217</v>
      </c>
      <c r="D80" s="76">
        <v>183.69657000000001</v>
      </c>
      <c r="E80" s="76">
        <v>23.435599999999997</v>
      </c>
      <c r="F80" s="76">
        <v>112.6881293451008</v>
      </c>
      <c r="G80" s="144">
        <v>1059.25164</v>
      </c>
      <c r="H80" s="144">
        <v>6235.3767500000004</v>
      </c>
      <c r="I80" s="76">
        <v>51.670530532179171</v>
      </c>
      <c r="J80" s="76">
        <v>51.670530532179171</v>
      </c>
      <c r="K80" s="76">
        <v>0</v>
      </c>
      <c r="L80" s="76">
        <v>0</v>
      </c>
      <c r="M80" s="76">
        <v>9.0428999999999995</v>
      </c>
      <c r="N80" s="76">
        <v>0.23371</v>
      </c>
    </row>
    <row r="81" spans="1:14" x14ac:dyDescent="0.35">
      <c r="A81" s="61">
        <v>38930</v>
      </c>
      <c r="B81" s="74">
        <v>329.29926585871397</v>
      </c>
      <c r="C81" s="76">
        <v>220.07653999999999</v>
      </c>
      <c r="D81" s="76">
        <v>199.80954</v>
      </c>
      <c r="E81" s="76">
        <v>20.266999999999999</v>
      </c>
      <c r="F81" s="76">
        <v>45.678381550334798</v>
      </c>
      <c r="G81" s="144">
        <v>587.06407999999999</v>
      </c>
      <c r="H81" s="144">
        <v>845.40992000000006</v>
      </c>
      <c r="I81" s="76">
        <v>57.074923508379179</v>
      </c>
      <c r="J81" s="76">
        <v>57.074923508379179</v>
      </c>
      <c r="K81" s="76">
        <v>0</v>
      </c>
      <c r="L81" s="76">
        <v>0</v>
      </c>
      <c r="M81" s="76">
        <v>6.2534999999999998</v>
      </c>
      <c r="N81" s="76">
        <v>0.2159208</v>
      </c>
    </row>
    <row r="82" spans="1:14" x14ac:dyDescent="0.35">
      <c r="A82" s="61">
        <v>38961</v>
      </c>
      <c r="B82" s="74">
        <v>381.47629487291533</v>
      </c>
      <c r="C82" s="76">
        <v>220.49563000000001</v>
      </c>
      <c r="D82" s="76">
        <v>188.70363</v>
      </c>
      <c r="E82" s="76">
        <v>31.792000000000002</v>
      </c>
      <c r="F82" s="76">
        <v>103.72071027571533</v>
      </c>
      <c r="G82" s="144">
        <v>578.62206999999989</v>
      </c>
      <c r="H82" s="144">
        <v>643.21659999999997</v>
      </c>
      <c r="I82" s="76">
        <v>53.200915887199997</v>
      </c>
      <c r="J82" s="76">
        <v>53.200915887199997</v>
      </c>
      <c r="K82" s="76">
        <v>0</v>
      </c>
      <c r="L82" s="76">
        <v>0</v>
      </c>
      <c r="M82" s="76">
        <v>3.8153999999999999</v>
      </c>
      <c r="N82" s="76">
        <v>0.24363871000000001</v>
      </c>
    </row>
    <row r="83" spans="1:14" x14ac:dyDescent="0.35">
      <c r="A83" s="61">
        <v>38991</v>
      </c>
      <c r="B83" s="74">
        <v>314.388034579151</v>
      </c>
      <c r="C83" s="76">
        <v>204.10744</v>
      </c>
      <c r="D83" s="76">
        <v>185.65343999999999</v>
      </c>
      <c r="E83" s="76">
        <v>18.454000000000001</v>
      </c>
      <c r="F83" s="76">
        <v>47.746326518151001</v>
      </c>
      <c r="G83" s="144">
        <v>493.72765000000004</v>
      </c>
      <c r="H83" s="144">
        <v>787.03544999999997</v>
      </c>
      <c r="I83" s="76">
        <v>58.489712400999991</v>
      </c>
      <c r="J83" s="76">
        <v>58.489712400999991</v>
      </c>
      <c r="K83" s="76">
        <v>0</v>
      </c>
      <c r="L83" s="76">
        <v>0</v>
      </c>
      <c r="M83" s="76">
        <v>3.8090000000000002</v>
      </c>
      <c r="N83" s="76">
        <v>0.23555566</v>
      </c>
    </row>
    <row r="84" spans="1:14" x14ac:dyDescent="0.35">
      <c r="A84" s="61">
        <v>39022</v>
      </c>
      <c r="B84" s="74">
        <v>338.43610103221283</v>
      </c>
      <c r="C84" s="76">
        <v>227.93715999999998</v>
      </c>
      <c r="D84" s="76">
        <v>205.35065999999998</v>
      </c>
      <c r="E84" s="76">
        <v>22.586499999999997</v>
      </c>
      <c r="F84" s="76">
        <v>47.232068482833682</v>
      </c>
      <c r="G84" s="144">
        <v>1095.3248799999999</v>
      </c>
      <c r="H84" s="144">
        <v>937.10978</v>
      </c>
      <c r="I84" s="76">
        <v>59.11317264937918</v>
      </c>
      <c r="J84" s="76">
        <v>59.11317264937918</v>
      </c>
      <c r="K84" s="76">
        <v>0</v>
      </c>
      <c r="L84" s="76">
        <v>0</v>
      </c>
      <c r="M84" s="76">
        <v>3.9165000000000001</v>
      </c>
      <c r="N84" s="76">
        <v>0.23719989999999999</v>
      </c>
    </row>
    <row r="85" spans="1:14" x14ac:dyDescent="0.35">
      <c r="A85" s="61">
        <v>39052</v>
      </c>
      <c r="B85" s="74">
        <v>326.30268132315791</v>
      </c>
      <c r="C85" s="76">
        <v>203.94328999999999</v>
      </c>
      <c r="D85" s="76">
        <v>182.63529</v>
      </c>
      <c r="E85" s="76">
        <v>21.307999999999996</v>
      </c>
      <c r="F85" s="76">
        <v>63.2951072289788</v>
      </c>
      <c r="G85" s="144">
        <v>419.88580999999999</v>
      </c>
      <c r="H85" s="144">
        <v>450.18975</v>
      </c>
      <c r="I85" s="76">
        <v>49.646354084179187</v>
      </c>
      <c r="J85" s="76">
        <v>49.646354084179187</v>
      </c>
      <c r="K85" s="76">
        <v>0</v>
      </c>
      <c r="L85" s="76">
        <v>0</v>
      </c>
      <c r="M85" s="76">
        <v>9.1999999999999993</v>
      </c>
      <c r="N85" s="76">
        <v>0.21793001000000001</v>
      </c>
    </row>
    <row r="86" spans="1:14" x14ac:dyDescent="0.35">
      <c r="A86" s="61">
        <v>39083</v>
      </c>
      <c r="B86" s="74">
        <v>403.09966077317131</v>
      </c>
      <c r="C86" s="76">
        <v>264.22412666666668</v>
      </c>
      <c r="D86" s="76">
        <v>239.68296000000001</v>
      </c>
      <c r="E86" s="76">
        <v>24.541166666666662</v>
      </c>
      <c r="F86" s="76">
        <v>80.330763156504574</v>
      </c>
      <c r="G86" s="144">
        <v>684.54046999999991</v>
      </c>
      <c r="H86" s="144">
        <v>449.29120999999998</v>
      </c>
      <c r="I86" s="76">
        <v>52.73936269</v>
      </c>
      <c r="J86" s="76">
        <v>52.73936269</v>
      </c>
      <c r="K86" s="76">
        <v>0</v>
      </c>
      <c r="L86" s="76">
        <v>0</v>
      </c>
      <c r="M86" s="76">
        <v>5.5748482700000004</v>
      </c>
      <c r="N86" s="76">
        <v>0.23055998999999999</v>
      </c>
    </row>
    <row r="87" spans="1:14" x14ac:dyDescent="0.35">
      <c r="A87" s="61">
        <v>39114</v>
      </c>
      <c r="B87" s="74">
        <v>279.39569094217222</v>
      </c>
      <c r="C87" s="76">
        <v>189.00357</v>
      </c>
      <c r="D87" s="76">
        <v>173.81367</v>
      </c>
      <c r="E87" s="76">
        <v>15.189899999999998</v>
      </c>
      <c r="F87" s="76">
        <v>44.936583042172202</v>
      </c>
      <c r="G87" s="145">
        <v>2850.6001000000006</v>
      </c>
      <c r="H87" s="145">
        <v>1353.2201600000001</v>
      </c>
      <c r="I87" s="76">
        <v>41.24767671</v>
      </c>
      <c r="J87" s="76">
        <v>41.24767671</v>
      </c>
      <c r="K87" s="76">
        <v>0</v>
      </c>
      <c r="L87" s="76">
        <v>0</v>
      </c>
      <c r="M87" s="76">
        <v>4.0228632600000003</v>
      </c>
      <c r="N87" s="76">
        <v>0.18499793</v>
      </c>
    </row>
    <row r="88" spans="1:14" x14ac:dyDescent="0.35">
      <c r="A88" s="61">
        <v>39142</v>
      </c>
      <c r="B88" s="74">
        <v>316.0974489218633</v>
      </c>
      <c r="C88" s="76">
        <v>194.51587999999998</v>
      </c>
      <c r="D88" s="76">
        <v>178.53677999999999</v>
      </c>
      <c r="E88" s="76">
        <v>15.979099999999999</v>
      </c>
      <c r="F88" s="76">
        <v>63.976135321863275</v>
      </c>
      <c r="G88" s="144">
        <v>24289.845159999997</v>
      </c>
      <c r="H88" s="144">
        <v>3303.84096</v>
      </c>
      <c r="I88" s="76">
        <v>53.198276999999997</v>
      </c>
      <c r="J88" s="76">
        <v>53.198276999999997</v>
      </c>
      <c r="K88" s="76">
        <v>0</v>
      </c>
      <c r="L88" s="76">
        <v>0</v>
      </c>
      <c r="M88" s="76">
        <v>4.2003830000000004</v>
      </c>
      <c r="N88" s="76">
        <v>0.2067736</v>
      </c>
    </row>
    <row r="89" spans="1:14" x14ac:dyDescent="0.35">
      <c r="A89" s="61">
        <v>39173</v>
      </c>
      <c r="B89" s="74">
        <v>606.5486424544697</v>
      </c>
      <c r="C89" s="76">
        <v>205.70681000000002</v>
      </c>
      <c r="D89" s="76">
        <v>186.76161000000002</v>
      </c>
      <c r="E89" s="76">
        <v>18.945199999999996</v>
      </c>
      <c r="F89" s="76">
        <v>339.63694965029049</v>
      </c>
      <c r="G89" s="144">
        <v>2847.4527199999998</v>
      </c>
      <c r="H89" s="144">
        <v>398467.62355999998</v>
      </c>
      <c r="I89" s="76">
        <v>54.741952004179176</v>
      </c>
      <c r="J89" s="76">
        <v>54.741952004179176</v>
      </c>
      <c r="K89" s="76">
        <v>0</v>
      </c>
      <c r="L89" s="76">
        <v>0</v>
      </c>
      <c r="M89" s="76">
        <v>6.2654704800000003</v>
      </c>
      <c r="N89" s="76">
        <v>0.19746031999999999</v>
      </c>
    </row>
    <row r="90" spans="1:14" x14ac:dyDescent="0.35">
      <c r="A90" s="61">
        <v>39203</v>
      </c>
      <c r="B90" s="74">
        <v>353.20699096593978</v>
      </c>
      <c r="C90" s="76">
        <v>214.26552000000001</v>
      </c>
      <c r="D90" s="76">
        <v>196.85952</v>
      </c>
      <c r="E90" s="76">
        <v>17.406000000000002</v>
      </c>
      <c r="F90" s="76">
        <v>77.527946971760628</v>
      </c>
      <c r="G90" s="144">
        <v>1984.2189799999999</v>
      </c>
      <c r="H90" s="144">
        <v>8340.27225</v>
      </c>
      <c r="I90" s="76">
        <v>54.598656104179177</v>
      </c>
      <c r="J90" s="76">
        <v>54.598656104179177</v>
      </c>
      <c r="K90" s="76">
        <v>0</v>
      </c>
      <c r="L90" s="76">
        <v>0</v>
      </c>
      <c r="M90" s="76">
        <v>6.57955968</v>
      </c>
      <c r="N90" s="76">
        <v>0.23530820999999999</v>
      </c>
    </row>
    <row r="91" spans="1:14" x14ac:dyDescent="0.35">
      <c r="A91" s="61">
        <v>39234</v>
      </c>
      <c r="B91" s="74">
        <v>316.32406447198497</v>
      </c>
      <c r="C91" s="76">
        <v>212.43723999999997</v>
      </c>
      <c r="D91" s="76">
        <v>196.47503999999998</v>
      </c>
      <c r="E91" s="76">
        <v>15.962199999999999</v>
      </c>
      <c r="F91" s="76">
        <v>48.42488557780581</v>
      </c>
      <c r="G91" s="144">
        <v>1705.74848</v>
      </c>
      <c r="H91" s="144">
        <v>3514.6372999999999</v>
      </c>
      <c r="I91" s="76">
        <v>48.897984884179181</v>
      </c>
      <c r="J91" s="76">
        <v>48.897984884179181</v>
      </c>
      <c r="K91" s="76">
        <v>0</v>
      </c>
      <c r="L91" s="76">
        <v>0</v>
      </c>
      <c r="M91" s="76">
        <v>6.3485613499999998</v>
      </c>
      <c r="N91" s="76">
        <v>0.21539266000000001</v>
      </c>
    </row>
    <row r="92" spans="1:14" x14ac:dyDescent="0.35">
      <c r="A92" s="61">
        <v>39264</v>
      </c>
      <c r="B92" s="74">
        <v>421.8720185056273</v>
      </c>
      <c r="C92" s="76">
        <v>217.88958</v>
      </c>
      <c r="D92" s="76">
        <v>204.17148</v>
      </c>
      <c r="E92" s="76">
        <v>13.718099999999996</v>
      </c>
      <c r="F92" s="76">
        <v>135.82537593144815</v>
      </c>
      <c r="G92" s="144">
        <v>1130.5364500000001</v>
      </c>
      <c r="H92" s="144">
        <v>2187.58826</v>
      </c>
      <c r="I92" s="76">
        <v>58.34660841417918</v>
      </c>
      <c r="J92" s="76">
        <v>58.34660841417918</v>
      </c>
      <c r="K92" s="76">
        <v>0</v>
      </c>
      <c r="L92" s="76">
        <v>0</v>
      </c>
      <c r="M92" s="76">
        <v>9.5731135999999992</v>
      </c>
      <c r="N92" s="76">
        <v>0.23734056000000001</v>
      </c>
    </row>
    <row r="93" spans="1:14" x14ac:dyDescent="0.35">
      <c r="A93" s="61">
        <v>39295</v>
      </c>
      <c r="B93" s="74">
        <v>381.54168144829339</v>
      </c>
      <c r="C93" s="76">
        <v>242.53980999999999</v>
      </c>
      <c r="D93" s="76">
        <v>224.88380999999998</v>
      </c>
      <c r="E93" s="76">
        <v>17.656000000000002</v>
      </c>
      <c r="F93" s="76">
        <v>73.03418697411422</v>
      </c>
      <c r="G93" s="144">
        <v>976.04012</v>
      </c>
      <c r="H93" s="144">
        <v>1883.2966399999998</v>
      </c>
      <c r="I93" s="76">
        <v>54.003263294179177</v>
      </c>
      <c r="J93" s="76">
        <v>54.003263294179177</v>
      </c>
      <c r="K93" s="76">
        <v>0</v>
      </c>
      <c r="L93" s="76">
        <v>0</v>
      </c>
      <c r="M93" s="76">
        <v>11.76645025</v>
      </c>
      <c r="N93" s="76">
        <v>0.19797092999999999</v>
      </c>
    </row>
    <row r="94" spans="1:14" x14ac:dyDescent="0.35">
      <c r="A94" s="61">
        <v>39326</v>
      </c>
      <c r="B94" s="74">
        <v>455.50512975258061</v>
      </c>
      <c r="C94" s="76">
        <v>244.33858999999998</v>
      </c>
      <c r="D94" s="76">
        <v>226.06028999999998</v>
      </c>
      <c r="E94" s="76">
        <v>18.278299999999998</v>
      </c>
      <c r="F94" s="76">
        <v>152.29469942658059</v>
      </c>
      <c r="G94" s="144">
        <v>831.63497999999993</v>
      </c>
      <c r="H94" s="144">
        <v>1700.1728799999999</v>
      </c>
      <c r="I94" s="76">
        <v>55.033647795999997</v>
      </c>
      <c r="J94" s="76">
        <v>55.033647795999997</v>
      </c>
      <c r="K94" s="76">
        <v>0</v>
      </c>
      <c r="L94" s="76">
        <v>0</v>
      </c>
      <c r="M94" s="76">
        <v>3.6172909</v>
      </c>
      <c r="N94" s="76">
        <v>0.22090162999999999</v>
      </c>
    </row>
    <row r="95" spans="1:14" x14ac:dyDescent="0.35">
      <c r="A95" s="61">
        <v>39356</v>
      </c>
      <c r="B95" s="74">
        <v>375.46655499199147</v>
      </c>
      <c r="C95" s="76">
        <v>231.79163</v>
      </c>
      <c r="D95" s="76">
        <v>213.40593000000001</v>
      </c>
      <c r="E95" s="76">
        <v>18.385699999999996</v>
      </c>
      <c r="F95" s="76">
        <v>76.20578711599147</v>
      </c>
      <c r="G95" s="144">
        <v>809.71031999999991</v>
      </c>
      <c r="H95" s="144">
        <v>1105.4537800000001</v>
      </c>
      <c r="I95" s="76">
        <v>63.753456385999996</v>
      </c>
      <c r="J95" s="76">
        <v>63.753456385999996</v>
      </c>
      <c r="K95" s="76">
        <v>0</v>
      </c>
      <c r="L95" s="76">
        <v>0</v>
      </c>
      <c r="M95" s="76">
        <v>3.4791266599999999</v>
      </c>
      <c r="N95" s="76">
        <v>0.23655482999999999</v>
      </c>
    </row>
    <row r="96" spans="1:14" x14ac:dyDescent="0.35">
      <c r="A96" s="61">
        <v>39387</v>
      </c>
      <c r="B96" s="74">
        <v>406.40837956987906</v>
      </c>
      <c r="C96" s="76">
        <v>257.11797000000001</v>
      </c>
      <c r="D96" s="76">
        <v>234.29817</v>
      </c>
      <c r="E96" s="76">
        <v>22.819799999999997</v>
      </c>
      <c r="F96" s="76">
        <v>78.952236085699852</v>
      </c>
      <c r="G96" s="144">
        <v>600.59994999999992</v>
      </c>
      <c r="H96" s="144">
        <v>1031.29907</v>
      </c>
      <c r="I96" s="76">
        <v>66.742609044179176</v>
      </c>
      <c r="J96" s="76">
        <v>66.742609044179176</v>
      </c>
      <c r="K96" s="76">
        <v>0</v>
      </c>
      <c r="L96" s="76">
        <v>0</v>
      </c>
      <c r="M96" s="76">
        <v>3.36491725</v>
      </c>
      <c r="N96" s="76">
        <v>0.23064719</v>
      </c>
    </row>
    <row r="97" spans="1:14" x14ac:dyDescent="0.35">
      <c r="A97" s="61">
        <v>39417</v>
      </c>
      <c r="B97" s="74">
        <v>433.95827311360262</v>
      </c>
      <c r="C97" s="76">
        <v>254.7449</v>
      </c>
      <c r="D97" s="76">
        <v>233.82</v>
      </c>
      <c r="E97" s="76">
        <v>20.924899999999997</v>
      </c>
      <c r="F97" s="76">
        <v>96.87098421942342</v>
      </c>
      <c r="G97" s="144">
        <v>681.66886</v>
      </c>
      <c r="H97" s="144">
        <v>1088.44471</v>
      </c>
      <c r="I97" s="76">
        <v>75.278434194179169</v>
      </c>
      <c r="J97" s="76">
        <v>75.278434194179169</v>
      </c>
      <c r="K97" s="76">
        <v>0</v>
      </c>
      <c r="L97" s="76">
        <v>0</v>
      </c>
      <c r="M97" s="76">
        <v>6.8255510800000003</v>
      </c>
      <c r="N97" s="76">
        <v>0.23840362000000001</v>
      </c>
    </row>
    <row r="98" spans="1:14" x14ac:dyDescent="0.35">
      <c r="A98" s="61">
        <v>39448</v>
      </c>
      <c r="B98" s="74">
        <v>592.058474240495</v>
      </c>
      <c r="C98" s="76">
        <v>349.7835</v>
      </c>
      <c r="D98" s="76">
        <v>287.61930000000001</v>
      </c>
      <c r="E98" s="76">
        <v>62.164200000000001</v>
      </c>
      <c r="F98" s="76">
        <v>166.51224155049499</v>
      </c>
      <c r="G98" s="144">
        <v>1259.6793899999998</v>
      </c>
      <c r="H98" s="144">
        <v>1374.1674399999999</v>
      </c>
      <c r="I98" s="76">
        <v>68.301836649999998</v>
      </c>
      <c r="J98" s="76">
        <v>68.301836649999998</v>
      </c>
      <c r="K98" s="76">
        <v>0</v>
      </c>
      <c r="L98" s="76">
        <v>0</v>
      </c>
      <c r="M98" s="76">
        <v>6.7539999999999996</v>
      </c>
      <c r="N98" s="76">
        <v>0.70689603999999995</v>
      </c>
    </row>
    <row r="99" spans="1:14" x14ac:dyDescent="0.35">
      <c r="A99" s="61">
        <v>39479</v>
      </c>
      <c r="B99" s="74">
        <v>363.51788289336997</v>
      </c>
      <c r="C99" s="76">
        <v>195.87870000000001</v>
      </c>
      <c r="D99" s="76">
        <v>166.2903</v>
      </c>
      <c r="E99" s="76">
        <v>29.5884</v>
      </c>
      <c r="F99" s="76">
        <v>106.95375226337001</v>
      </c>
      <c r="G99" s="145">
        <v>3906.2243599999997</v>
      </c>
      <c r="H99" s="145">
        <v>1394.5708299999999</v>
      </c>
      <c r="I99" s="76">
        <v>47.590021659999998</v>
      </c>
      <c r="J99" s="76">
        <v>47.590021659999998</v>
      </c>
      <c r="K99" s="76">
        <v>0</v>
      </c>
      <c r="L99" s="76">
        <v>0</v>
      </c>
      <c r="M99" s="76">
        <v>8.7835000000000001</v>
      </c>
      <c r="N99" s="76">
        <v>4.3119089700000002</v>
      </c>
    </row>
    <row r="100" spans="1:14" x14ac:dyDescent="0.35">
      <c r="A100" s="61">
        <v>39508</v>
      </c>
      <c r="B100" s="74">
        <v>466.53738328000003</v>
      </c>
      <c r="C100" s="76">
        <v>247.8287</v>
      </c>
      <c r="D100" s="76">
        <v>209.9709</v>
      </c>
      <c r="E100" s="76">
        <v>37.857799999999997</v>
      </c>
      <c r="F100" s="76">
        <v>150.56012996000001</v>
      </c>
      <c r="G100" s="144">
        <v>35388.371360000005</v>
      </c>
      <c r="H100" s="144">
        <v>3488.3507300000001</v>
      </c>
      <c r="I100" s="76">
        <v>54.602370520000001</v>
      </c>
      <c r="J100" s="76">
        <v>54.602370520000001</v>
      </c>
      <c r="K100" s="76">
        <v>0</v>
      </c>
      <c r="L100" s="76">
        <v>0</v>
      </c>
      <c r="M100" s="76">
        <v>9.8038000000000007</v>
      </c>
      <c r="N100" s="76">
        <v>3.7423827999999997</v>
      </c>
    </row>
    <row r="101" spans="1:14" x14ac:dyDescent="0.35">
      <c r="A101" s="61">
        <v>39539</v>
      </c>
      <c r="B101" s="74">
        <v>833.80896705999987</v>
      </c>
      <c r="C101" s="76">
        <v>233.97460000000001</v>
      </c>
      <c r="D101" s="76">
        <v>207.351</v>
      </c>
      <c r="E101" s="76">
        <v>26.6236</v>
      </c>
      <c r="F101" s="76">
        <v>518.89909999999998</v>
      </c>
      <c r="G101" s="144">
        <v>4644.2549499999996</v>
      </c>
      <c r="H101" s="144">
        <v>395366.00698000001</v>
      </c>
      <c r="I101" s="76">
        <v>68.971432449999995</v>
      </c>
      <c r="J101" s="76">
        <v>68.971432449999995</v>
      </c>
      <c r="K101" s="76">
        <v>0</v>
      </c>
      <c r="L101" s="76">
        <v>0</v>
      </c>
      <c r="M101" s="76">
        <v>7.3719000000000001</v>
      </c>
      <c r="N101" s="76">
        <v>4.59193461</v>
      </c>
    </row>
    <row r="102" spans="1:14" x14ac:dyDescent="0.35">
      <c r="A102" s="61">
        <v>39569</v>
      </c>
      <c r="B102" s="74">
        <v>492.80653442400001</v>
      </c>
      <c r="C102" s="76">
        <v>259.45580000000001</v>
      </c>
      <c r="D102" s="76">
        <v>223.0992</v>
      </c>
      <c r="E102" s="76">
        <v>36.3566</v>
      </c>
      <c r="F102" s="76">
        <v>154.608578604</v>
      </c>
      <c r="G102" s="144">
        <v>1941.8082699999998</v>
      </c>
      <c r="H102" s="144">
        <v>5456.8082899999999</v>
      </c>
      <c r="I102" s="76">
        <v>68.710158820000004</v>
      </c>
      <c r="J102" s="76">
        <v>68.710158820000004</v>
      </c>
      <c r="K102" s="76">
        <v>0</v>
      </c>
      <c r="L102" s="76">
        <v>0</v>
      </c>
      <c r="M102" s="76">
        <v>6.2647000000000004</v>
      </c>
      <c r="N102" s="76">
        <v>3.7672970000000001</v>
      </c>
    </row>
    <row r="103" spans="1:14" x14ac:dyDescent="0.35">
      <c r="A103" s="61">
        <v>39600</v>
      </c>
      <c r="B103" s="74">
        <v>432.83235349500001</v>
      </c>
      <c r="C103" s="76">
        <v>253.56719999999999</v>
      </c>
      <c r="D103" s="76">
        <v>221.42789999999999</v>
      </c>
      <c r="E103" s="76">
        <v>32.139299999999999</v>
      </c>
      <c r="F103" s="76">
        <v>104.79683330500001</v>
      </c>
      <c r="G103" s="144">
        <v>1472.7184700000003</v>
      </c>
      <c r="H103" s="144">
        <v>3531.7758900000003</v>
      </c>
      <c r="I103" s="76">
        <v>61.694876069999999</v>
      </c>
      <c r="J103" s="76">
        <v>61.694876069999999</v>
      </c>
      <c r="K103" s="76">
        <v>0</v>
      </c>
      <c r="L103" s="76">
        <v>0</v>
      </c>
      <c r="M103" s="76">
        <v>8.8417999999999992</v>
      </c>
      <c r="N103" s="76">
        <v>3.9316441200000001</v>
      </c>
    </row>
    <row r="104" spans="1:14" x14ac:dyDescent="0.35">
      <c r="A104" s="61">
        <v>39630</v>
      </c>
      <c r="B104" s="74">
        <v>639.55268104168988</v>
      </c>
      <c r="C104" s="76">
        <v>276.01009999999997</v>
      </c>
      <c r="D104" s="76">
        <v>245.71889999999999</v>
      </c>
      <c r="E104" s="76">
        <v>30.2912</v>
      </c>
      <c r="F104" s="76">
        <v>273.37744556169002</v>
      </c>
      <c r="G104" s="144">
        <v>1278.9395199999999</v>
      </c>
      <c r="H104" s="144">
        <v>3037.6454699999999</v>
      </c>
      <c r="I104" s="76">
        <v>72.479614389999995</v>
      </c>
      <c r="J104" s="76">
        <v>72.479614389999995</v>
      </c>
      <c r="K104" s="76">
        <v>0</v>
      </c>
      <c r="L104" s="76">
        <v>0</v>
      </c>
      <c r="M104" s="76">
        <v>12.7926</v>
      </c>
      <c r="N104" s="76">
        <v>4.8929210899999998</v>
      </c>
    </row>
    <row r="105" spans="1:14" x14ac:dyDescent="0.35">
      <c r="A105" s="61">
        <v>39661</v>
      </c>
      <c r="B105" s="74">
        <v>500.96795337427687</v>
      </c>
      <c r="C105" s="76">
        <v>301.15801999999996</v>
      </c>
      <c r="D105" s="76">
        <v>260.61191999999994</v>
      </c>
      <c r="E105" s="76">
        <v>40.546100000000003</v>
      </c>
      <c r="F105" s="76">
        <v>121.89</v>
      </c>
      <c r="G105" s="144">
        <v>1553.1902700000001</v>
      </c>
      <c r="H105" s="144">
        <v>6818.8234999999995</v>
      </c>
      <c r="I105" s="76">
        <v>64.741362584276857</v>
      </c>
      <c r="J105" s="76">
        <v>64.741362584276857</v>
      </c>
      <c r="K105" s="76">
        <v>0</v>
      </c>
      <c r="L105" s="76">
        <v>0</v>
      </c>
      <c r="M105" s="76">
        <v>8.7583000000000002</v>
      </c>
      <c r="N105" s="76">
        <v>4.42027079</v>
      </c>
    </row>
    <row r="106" spans="1:14" x14ac:dyDescent="0.35">
      <c r="A106" s="61">
        <v>39692</v>
      </c>
      <c r="B106" s="74">
        <v>668.58661450612055</v>
      </c>
      <c r="C106" s="76">
        <v>312.79377999999997</v>
      </c>
      <c r="D106" s="76">
        <v>275.23277999999999</v>
      </c>
      <c r="E106" s="76">
        <v>37.561</v>
      </c>
      <c r="F106" s="76">
        <v>279.131632244</v>
      </c>
      <c r="G106" s="144">
        <v>1569.8360100000002</v>
      </c>
      <c r="H106" s="144">
        <v>5147.5719399999998</v>
      </c>
      <c r="I106" s="76">
        <v>67.604702262120597</v>
      </c>
      <c r="J106" s="76">
        <v>67.604702262120597</v>
      </c>
      <c r="K106" s="76">
        <v>0</v>
      </c>
      <c r="L106" s="76">
        <v>0</v>
      </c>
      <c r="M106" s="76">
        <v>4.4489000000000001</v>
      </c>
      <c r="N106" s="76">
        <v>4.6076000000000006</v>
      </c>
    </row>
    <row r="107" spans="1:14" x14ac:dyDescent="0.35">
      <c r="A107" s="61">
        <v>39722</v>
      </c>
      <c r="B107" s="74">
        <v>581.70898529112048</v>
      </c>
      <c r="C107" s="76">
        <v>270.34890999999999</v>
      </c>
      <c r="D107" s="76">
        <v>214.59590999999998</v>
      </c>
      <c r="E107" s="76">
        <v>55.753</v>
      </c>
      <c r="F107" s="76">
        <v>238.83079988899999</v>
      </c>
      <c r="G107" s="144">
        <v>4952.3493000000008</v>
      </c>
      <c r="H107" s="144">
        <v>102606.08576</v>
      </c>
      <c r="I107" s="76">
        <v>61.69164271212059</v>
      </c>
      <c r="J107" s="76">
        <v>61.69164271212059</v>
      </c>
      <c r="K107" s="76">
        <v>0</v>
      </c>
      <c r="L107" s="76">
        <v>0</v>
      </c>
      <c r="M107" s="76">
        <v>4.8179999999999996</v>
      </c>
      <c r="N107" s="76">
        <v>6.0196326899999999</v>
      </c>
    </row>
    <row r="108" spans="1:14" x14ac:dyDescent="0.35">
      <c r="A108" s="61">
        <v>39753</v>
      </c>
      <c r="B108" s="74">
        <v>528.98714070427684</v>
      </c>
      <c r="C108" s="76">
        <v>315.50440000000003</v>
      </c>
      <c r="D108" s="76">
        <v>274.27050000000003</v>
      </c>
      <c r="E108" s="76">
        <v>41.233899999999998</v>
      </c>
      <c r="F108" s="76">
        <v>135.58633768000001</v>
      </c>
      <c r="G108" s="144">
        <v>829.06523000000004</v>
      </c>
      <c r="H108" s="144">
        <v>1709.3581000000001</v>
      </c>
      <c r="I108" s="76">
        <v>69.267481794276861</v>
      </c>
      <c r="J108" s="76">
        <v>69.267481794276861</v>
      </c>
      <c r="K108" s="76">
        <v>0</v>
      </c>
      <c r="L108" s="76">
        <v>0</v>
      </c>
      <c r="M108" s="76">
        <v>4.3628</v>
      </c>
      <c r="N108" s="76">
        <v>4.2661212299999995</v>
      </c>
    </row>
    <row r="109" spans="1:14" x14ac:dyDescent="0.35">
      <c r="A109" s="61">
        <v>39783</v>
      </c>
      <c r="B109" s="74">
        <v>510.74383490855377</v>
      </c>
      <c r="C109" s="76">
        <v>294.04910000000001</v>
      </c>
      <c r="D109" s="76">
        <v>250.26310000000001</v>
      </c>
      <c r="E109" s="76">
        <v>43.786000000000001</v>
      </c>
      <c r="F109" s="76">
        <v>118.05</v>
      </c>
      <c r="G109" s="144">
        <v>1490.82107</v>
      </c>
      <c r="H109" s="144">
        <v>9920.8628399999998</v>
      </c>
      <c r="I109" s="76">
        <v>83.604434908553756</v>
      </c>
      <c r="J109" s="76">
        <v>83.604434908553756</v>
      </c>
      <c r="K109" s="76">
        <v>0</v>
      </c>
      <c r="L109" s="76">
        <v>0</v>
      </c>
      <c r="M109" s="76">
        <v>12.3161</v>
      </c>
      <c r="N109" s="76">
        <v>2.7241999999999997</v>
      </c>
    </row>
    <row r="110" spans="1:14" x14ac:dyDescent="0.35">
      <c r="A110" s="61">
        <v>39814</v>
      </c>
      <c r="B110" s="74">
        <v>612.69847541000001</v>
      </c>
      <c r="C110" s="76">
        <v>374.32157556000004</v>
      </c>
      <c r="D110" s="76">
        <v>320.40073256000005</v>
      </c>
      <c r="E110" s="76">
        <v>53.920842999999998</v>
      </c>
      <c r="F110" s="76">
        <v>173.19129999999998</v>
      </c>
      <c r="G110" s="144">
        <v>1558.6368500000001</v>
      </c>
      <c r="H110" s="144">
        <v>3776.1487599999996</v>
      </c>
      <c r="I110" s="76">
        <v>58.07047712</v>
      </c>
      <c r="J110" s="76">
        <v>53.230069120000003</v>
      </c>
      <c r="K110" s="76">
        <v>4.8404079999999992</v>
      </c>
      <c r="L110" s="76">
        <v>0</v>
      </c>
      <c r="M110" s="76">
        <v>6.9528480000000004</v>
      </c>
      <c r="N110" s="76">
        <v>0.16227473000000001</v>
      </c>
    </row>
    <row r="111" spans="1:14" x14ac:dyDescent="0.35">
      <c r="A111" s="61">
        <v>39845</v>
      </c>
      <c r="B111" s="74">
        <v>410.11342822</v>
      </c>
      <c r="C111" s="76">
        <v>235.00198671000001</v>
      </c>
      <c r="D111" s="76">
        <v>202.57028671</v>
      </c>
      <c r="E111" s="76">
        <v>32.431699999999999</v>
      </c>
      <c r="F111" s="76">
        <v>89.045900000000003</v>
      </c>
      <c r="G111" s="145">
        <v>2310.77799</v>
      </c>
      <c r="H111" s="145">
        <v>1850.7076600000003</v>
      </c>
      <c r="I111" s="76">
        <v>78.327353479999999</v>
      </c>
      <c r="J111" s="76">
        <v>57.879553479999998</v>
      </c>
      <c r="K111" s="76">
        <v>20.447800000000001</v>
      </c>
      <c r="L111" s="76">
        <v>0</v>
      </c>
      <c r="M111" s="76">
        <v>7.7359999999999998</v>
      </c>
      <c r="N111" s="76">
        <v>2.1880300000000001E-3</v>
      </c>
    </row>
    <row r="112" spans="1:14" x14ac:dyDescent="0.35">
      <c r="A112" s="61">
        <v>39873</v>
      </c>
      <c r="B112" s="74">
        <v>554.42101874000002</v>
      </c>
      <c r="C112" s="76">
        <v>301.72818447999998</v>
      </c>
      <c r="D112" s="76">
        <v>269.76828447999998</v>
      </c>
      <c r="E112" s="76">
        <v>31.959900000000001</v>
      </c>
      <c r="F112" s="76">
        <v>162.37729999999999</v>
      </c>
      <c r="G112" s="144">
        <v>58311.55229</v>
      </c>
      <c r="H112" s="144">
        <v>5275.8202199999996</v>
      </c>
      <c r="I112" s="76">
        <v>81.35367162</v>
      </c>
      <c r="J112" s="76">
        <v>59.702471619999997</v>
      </c>
      <c r="K112" s="76">
        <v>21.651200000000003</v>
      </c>
      <c r="L112" s="76">
        <v>0</v>
      </c>
      <c r="M112" s="76">
        <v>8.9596999999999998</v>
      </c>
      <c r="N112" s="76">
        <v>2.16264E-3</v>
      </c>
    </row>
    <row r="113" spans="1:14" x14ac:dyDescent="0.35">
      <c r="A113" s="61">
        <v>39904</v>
      </c>
      <c r="B113" s="74">
        <v>1059.2298018500001</v>
      </c>
      <c r="C113" s="76">
        <v>264.25989762</v>
      </c>
      <c r="D113" s="76">
        <v>231.03629762</v>
      </c>
      <c r="E113" s="76">
        <v>33.223599999999998</v>
      </c>
      <c r="F113" s="76">
        <v>701.64359999999999</v>
      </c>
      <c r="G113" s="144">
        <v>5444.1561099999999</v>
      </c>
      <c r="H113" s="144">
        <v>598875.13014000002</v>
      </c>
      <c r="I113" s="76">
        <v>59.100041590000004</v>
      </c>
      <c r="J113" s="76">
        <v>59.100041590000004</v>
      </c>
      <c r="K113" s="76">
        <v>0</v>
      </c>
      <c r="L113" s="76">
        <v>0</v>
      </c>
      <c r="M113" s="76">
        <v>7.7569999999999997</v>
      </c>
      <c r="N113" s="76">
        <v>26.46926264</v>
      </c>
    </row>
    <row r="114" spans="1:14" x14ac:dyDescent="0.35">
      <c r="A114" s="61">
        <v>39934</v>
      </c>
      <c r="B114" s="74">
        <v>526.23208378999993</v>
      </c>
      <c r="C114" s="76">
        <v>267.71700782999994</v>
      </c>
      <c r="D114" s="76">
        <v>238.33050782999996</v>
      </c>
      <c r="E114" s="76">
        <v>29.386500000000002</v>
      </c>
      <c r="F114" s="76">
        <v>163.15300000000002</v>
      </c>
      <c r="G114" s="144">
        <v>2547.47894</v>
      </c>
      <c r="H114" s="144">
        <v>15830.41064</v>
      </c>
      <c r="I114" s="76">
        <v>63.50235979</v>
      </c>
      <c r="J114" s="76">
        <v>63.50235979</v>
      </c>
      <c r="K114" s="76">
        <v>0</v>
      </c>
      <c r="L114" s="76">
        <v>0</v>
      </c>
      <c r="M114" s="76">
        <v>8.1251999999999995</v>
      </c>
      <c r="N114" s="76">
        <v>23.734516169999999</v>
      </c>
    </row>
    <row r="115" spans="1:14" x14ac:dyDescent="0.35">
      <c r="A115" s="61">
        <v>39965</v>
      </c>
      <c r="B115" s="74">
        <v>489.73221148744113</v>
      </c>
      <c r="C115" s="76">
        <v>266.89695911430505</v>
      </c>
      <c r="D115" s="76">
        <v>232.53505911430503</v>
      </c>
      <c r="E115" s="76">
        <v>34.361899999999999</v>
      </c>
      <c r="F115" s="76">
        <v>113.55840000000001</v>
      </c>
      <c r="G115" s="144">
        <v>2514.7301600000001</v>
      </c>
      <c r="H115" s="144">
        <v>11551.6844</v>
      </c>
      <c r="I115" s="76">
        <v>72.9659963</v>
      </c>
      <c r="J115" s="76">
        <v>72.9659963</v>
      </c>
      <c r="K115" s="76">
        <v>0</v>
      </c>
      <c r="L115" s="76">
        <v>0</v>
      </c>
      <c r="M115" s="76">
        <v>17.563099999999999</v>
      </c>
      <c r="N115" s="76">
        <v>18.747756073136063</v>
      </c>
    </row>
    <row r="116" spans="1:14" x14ac:dyDescent="0.35">
      <c r="A116" s="61">
        <v>39995</v>
      </c>
      <c r="B116" s="74">
        <v>682.85316210756696</v>
      </c>
      <c r="C116" s="76">
        <v>277.48007315756695</v>
      </c>
      <c r="D116" s="76">
        <v>245.26347315756698</v>
      </c>
      <c r="E116" s="76">
        <v>32.2166</v>
      </c>
      <c r="F116" s="76">
        <v>292.2319</v>
      </c>
      <c r="G116" s="144">
        <v>1914.7580700000001</v>
      </c>
      <c r="H116" s="144">
        <v>10570.936169999999</v>
      </c>
      <c r="I116" s="76">
        <v>74.752384340000006</v>
      </c>
      <c r="J116" s="76">
        <v>74.752384340000006</v>
      </c>
      <c r="K116" s="76">
        <v>0</v>
      </c>
      <c r="L116" s="76">
        <v>0</v>
      </c>
      <c r="M116" s="76">
        <v>18.552900000000001</v>
      </c>
      <c r="N116" s="76">
        <v>19.83590461</v>
      </c>
    </row>
    <row r="117" spans="1:14" x14ac:dyDescent="0.35">
      <c r="A117" s="61">
        <v>40026</v>
      </c>
      <c r="B117" s="74">
        <v>495.04291361580374</v>
      </c>
      <c r="C117" s="76">
        <v>262.33979386580376</v>
      </c>
      <c r="D117" s="76">
        <v>227.73609386580375</v>
      </c>
      <c r="E117" s="76">
        <v>34.603700000000003</v>
      </c>
      <c r="F117" s="76">
        <v>127.8486</v>
      </c>
      <c r="G117" s="144">
        <v>1865.7281800000001</v>
      </c>
      <c r="H117" s="144">
        <v>9714.5190000000002</v>
      </c>
      <c r="I117" s="76">
        <v>75.876319749999993</v>
      </c>
      <c r="J117" s="76">
        <v>75.876319749999993</v>
      </c>
      <c r="K117" s="76">
        <v>0</v>
      </c>
      <c r="L117" s="76">
        <v>0</v>
      </c>
      <c r="M117" s="76">
        <v>6.7506000000000004</v>
      </c>
      <c r="N117" s="76">
        <v>22.227599999999999</v>
      </c>
    </row>
    <row r="118" spans="1:14" x14ac:dyDescent="0.35">
      <c r="A118" s="61">
        <v>40057</v>
      </c>
      <c r="B118" s="74">
        <v>676.63385469573279</v>
      </c>
      <c r="C118" s="76">
        <v>285.43086775573272</v>
      </c>
      <c r="D118" s="76">
        <v>247.45406775573269</v>
      </c>
      <c r="E118" s="76">
        <v>37.976799999999997</v>
      </c>
      <c r="F118" s="76">
        <v>275.28019999999998</v>
      </c>
      <c r="G118" s="144">
        <v>1478.6545000000001</v>
      </c>
      <c r="H118" s="144">
        <v>13864.0759</v>
      </c>
      <c r="I118" s="76">
        <v>89.160686940000005</v>
      </c>
      <c r="J118" s="76">
        <v>89.160686940000005</v>
      </c>
      <c r="K118" s="76">
        <v>0</v>
      </c>
      <c r="L118" s="76">
        <v>0</v>
      </c>
      <c r="M118" s="76">
        <v>6.0754999999999999</v>
      </c>
      <c r="N118" s="76">
        <v>20.686599999999999</v>
      </c>
    </row>
    <row r="119" spans="1:14" x14ac:dyDescent="0.35">
      <c r="A119" s="61">
        <v>40087</v>
      </c>
      <c r="B119" s="74">
        <v>536.91377664436254</v>
      </c>
      <c r="C119" s="76">
        <v>290.82821955236261</v>
      </c>
      <c r="D119" s="76">
        <v>248.23151955236261</v>
      </c>
      <c r="E119" s="76">
        <v>42.596699999999998</v>
      </c>
      <c r="F119" s="76">
        <v>132.827</v>
      </c>
      <c r="G119" s="144">
        <v>1287.28594</v>
      </c>
      <c r="H119" s="144">
        <v>6142.0113600000004</v>
      </c>
      <c r="I119" s="76">
        <v>88.941178170000001</v>
      </c>
      <c r="J119" s="76">
        <v>88.941178170000001</v>
      </c>
      <c r="K119" s="76">
        <v>0</v>
      </c>
      <c r="L119" s="76">
        <v>0</v>
      </c>
      <c r="M119" s="76">
        <v>5.9741</v>
      </c>
      <c r="N119" s="76">
        <v>18.343278922000003</v>
      </c>
    </row>
    <row r="120" spans="1:14" x14ac:dyDescent="0.35">
      <c r="A120" s="61">
        <v>40118</v>
      </c>
      <c r="B120" s="74">
        <v>605.93464538100409</v>
      </c>
      <c r="C120" s="76">
        <v>316.20734783100409</v>
      </c>
      <c r="D120" s="76">
        <v>274.42244783100409</v>
      </c>
      <c r="E120" s="76">
        <v>41.7849</v>
      </c>
      <c r="F120" s="76">
        <v>164.2285</v>
      </c>
      <c r="G120" s="144">
        <v>1197.3583000000001</v>
      </c>
      <c r="H120" s="144">
        <v>3832.7790599999998</v>
      </c>
      <c r="I120" s="76">
        <v>100.65179755</v>
      </c>
      <c r="J120" s="76">
        <v>100.65179755</v>
      </c>
      <c r="K120" s="76">
        <v>0</v>
      </c>
      <c r="L120" s="76">
        <v>0</v>
      </c>
      <c r="M120" s="76">
        <v>6.4444999999999997</v>
      </c>
      <c r="N120" s="76">
        <v>18.4025</v>
      </c>
    </row>
    <row r="121" spans="1:14" x14ac:dyDescent="0.35">
      <c r="A121" s="61">
        <v>40148</v>
      </c>
      <c r="B121" s="74">
        <v>606.8930272742291</v>
      </c>
      <c r="C121" s="76">
        <v>324.46207155978789</v>
      </c>
      <c r="D121" s="76">
        <v>280.79497155978788</v>
      </c>
      <c r="E121" s="76">
        <v>43.667099999999998</v>
      </c>
      <c r="F121" s="76">
        <v>122.1185</v>
      </c>
      <c r="G121" s="144">
        <v>1201.46801</v>
      </c>
      <c r="H121" s="144">
        <v>3513.9112</v>
      </c>
      <c r="I121" s="76">
        <v>127.63834505</v>
      </c>
      <c r="J121" s="76">
        <v>127.63834505</v>
      </c>
      <c r="K121" s="76">
        <v>0</v>
      </c>
      <c r="L121" s="76">
        <v>0</v>
      </c>
      <c r="M121" s="76">
        <v>17.204000000000001</v>
      </c>
      <c r="N121" s="76">
        <v>15.470110664441385</v>
      </c>
    </row>
    <row r="122" spans="1:14" x14ac:dyDescent="0.35">
      <c r="A122" s="61">
        <v>40179</v>
      </c>
      <c r="B122" s="74">
        <v>762.33871110806319</v>
      </c>
      <c r="C122" s="76">
        <v>449.72238417806307</v>
      </c>
      <c r="D122" s="76">
        <v>405.34278417806308</v>
      </c>
      <c r="E122" s="76">
        <v>44.379600000000003</v>
      </c>
      <c r="F122" s="76">
        <v>204.244</v>
      </c>
      <c r="G122" s="144">
        <v>1241.9312199999999</v>
      </c>
      <c r="H122" s="144">
        <v>5084.79079</v>
      </c>
      <c r="I122" s="76">
        <v>96.753426929999989</v>
      </c>
      <c r="J122" s="76">
        <v>74.094026929999998</v>
      </c>
      <c r="K122" s="76">
        <v>22.659399999999998</v>
      </c>
      <c r="L122" s="76">
        <v>0</v>
      </c>
      <c r="M122" s="76">
        <v>11.6189</v>
      </c>
      <c r="N122" s="76">
        <v>0</v>
      </c>
    </row>
    <row r="123" spans="1:14" x14ac:dyDescent="0.35">
      <c r="A123" s="61">
        <v>40210</v>
      </c>
      <c r="B123" s="74">
        <v>598.69084421267428</v>
      </c>
      <c r="C123" s="76">
        <v>303.03320971267425</v>
      </c>
      <c r="D123" s="76">
        <v>269.22010971267423</v>
      </c>
      <c r="E123" s="76">
        <v>33.813099999999999</v>
      </c>
      <c r="F123" s="76">
        <v>96.497500000000002</v>
      </c>
      <c r="G123" s="145">
        <v>3498.2500800000003</v>
      </c>
      <c r="H123" s="145">
        <v>3342.2781600000003</v>
      </c>
      <c r="I123" s="76">
        <v>106.02303450000001</v>
      </c>
      <c r="J123" s="76">
        <v>77.186434500000004</v>
      </c>
      <c r="K123" s="76">
        <v>28.836600000000001</v>
      </c>
      <c r="L123" s="76">
        <v>0</v>
      </c>
      <c r="M123" s="76">
        <v>16.752199999999998</v>
      </c>
      <c r="N123" s="76">
        <v>76.384900000000002</v>
      </c>
    </row>
    <row r="124" spans="1:14" x14ac:dyDescent="0.35">
      <c r="A124" s="61">
        <v>40238</v>
      </c>
      <c r="B124" s="74">
        <v>780.06248149495275</v>
      </c>
      <c r="C124" s="76">
        <v>405.84172942495269</v>
      </c>
      <c r="D124" s="76">
        <v>366.90382942495268</v>
      </c>
      <c r="E124" s="76">
        <v>38.937899999999999</v>
      </c>
      <c r="F124" s="76">
        <v>174.57240000000002</v>
      </c>
      <c r="G124" s="144">
        <v>52231.245310000006</v>
      </c>
      <c r="H124" s="144">
        <v>7925.4201399999993</v>
      </c>
      <c r="I124" s="76">
        <v>150.11745206999998</v>
      </c>
      <c r="J124" s="76">
        <v>111.88485206999999</v>
      </c>
      <c r="K124" s="76">
        <v>38.232599999999998</v>
      </c>
      <c r="L124" s="76">
        <v>0</v>
      </c>
      <c r="M124" s="76">
        <v>21.0989</v>
      </c>
      <c r="N124" s="76">
        <v>28.431999999999999</v>
      </c>
    </row>
    <row r="125" spans="1:14" x14ac:dyDescent="0.35">
      <c r="A125" s="61">
        <v>40269</v>
      </c>
      <c r="B125" s="74">
        <v>1037.2476589157172</v>
      </c>
      <c r="C125" s="76">
        <v>349.69674721184072</v>
      </c>
      <c r="D125" s="76">
        <v>307.71784721184071</v>
      </c>
      <c r="E125" s="76">
        <v>41.978900000000003</v>
      </c>
      <c r="F125" s="76">
        <v>516.07680000000005</v>
      </c>
      <c r="G125" s="144">
        <v>5321.8682699999999</v>
      </c>
      <c r="H125" s="144">
        <v>401309.13576999999</v>
      </c>
      <c r="I125" s="76">
        <v>130.03451170387643</v>
      </c>
      <c r="J125" s="76">
        <v>93.396011703876439</v>
      </c>
      <c r="K125" s="76">
        <v>36.638500000000008</v>
      </c>
      <c r="L125" s="76">
        <v>0</v>
      </c>
      <c r="M125" s="76">
        <v>15.314500000000001</v>
      </c>
      <c r="N125" s="76">
        <v>26.1251</v>
      </c>
    </row>
    <row r="126" spans="1:14" x14ac:dyDescent="0.35">
      <c r="A126" s="61">
        <v>40299</v>
      </c>
      <c r="B126" s="74">
        <v>681.7825238637015</v>
      </c>
      <c r="C126" s="76">
        <v>378.19224825982496</v>
      </c>
      <c r="D126" s="76">
        <v>332.26974825982495</v>
      </c>
      <c r="E126" s="76">
        <v>45.922499999999999</v>
      </c>
      <c r="F126" s="76">
        <v>142.02629999999999</v>
      </c>
      <c r="G126" s="144">
        <v>4163.6156600000004</v>
      </c>
      <c r="H126" s="144">
        <v>10527.289050000001</v>
      </c>
      <c r="I126" s="76">
        <v>135.89577560387644</v>
      </c>
      <c r="J126" s="76">
        <v>104.29217560387644</v>
      </c>
      <c r="K126" s="76">
        <v>31.6036</v>
      </c>
      <c r="L126" s="76">
        <v>0</v>
      </c>
      <c r="M126" s="76">
        <v>14.2608</v>
      </c>
      <c r="N126" s="76">
        <v>11.407400000000001</v>
      </c>
    </row>
    <row r="127" spans="1:14" x14ac:dyDescent="0.35">
      <c r="A127" s="61">
        <v>40330</v>
      </c>
      <c r="B127" s="74">
        <v>672.4692120902281</v>
      </c>
      <c r="C127" s="76">
        <v>386.99666370635168</v>
      </c>
      <c r="D127" s="76">
        <v>340.1983637063517</v>
      </c>
      <c r="E127" s="76">
        <v>46.798299999999998</v>
      </c>
      <c r="F127" s="76">
        <v>123.0419</v>
      </c>
      <c r="G127" s="144">
        <v>2633.6681200000003</v>
      </c>
      <c r="H127" s="144">
        <v>6989.2621500000005</v>
      </c>
      <c r="I127" s="76">
        <v>137.61674838387643</v>
      </c>
      <c r="J127" s="76">
        <v>101.21174838387644</v>
      </c>
      <c r="K127" s="76">
        <v>36.405000000000001</v>
      </c>
      <c r="L127" s="76">
        <v>0</v>
      </c>
      <c r="M127" s="76">
        <v>15.0388</v>
      </c>
      <c r="N127" s="76">
        <v>9.7751000000000001</v>
      </c>
    </row>
    <row r="128" spans="1:14" x14ac:dyDescent="0.35">
      <c r="A128" s="61">
        <v>40360</v>
      </c>
      <c r="B128" s="74">
        <v>758.82167866215514</v>
      </c>
      <c r="C128" s="76">
        <v>328.89396698827869</v>
      </c>
      <c r="D128" s="76">
        <v>284.57656698827867</v>
      </c>
      <c r="E128" s="76">
        <v>44.317399999999999</v>
      </c>
      <c r="F128" s="76">
        <v>260.8861</v>
      </c>
      <c r="G128" s="144">
        <v>1902.80564</v>
      </c>
      <c r="H128" s="144">
        <v>6835.1154000000006</v>
      </c>
      <c r="I128" s="76">
        <v>134.96201167387642</v>
      </c>
      <c r="J128" s="76">
        <v>94.412911673876437</v>
      </c>
      <c r="K128" s="76">
        <v>40.549099999999996</v>
      </c>
      <c r="L128" s="76">
        <v>0</v>
      </c>
      <c r="M128" s="76">
        <v>13.1737</v>
      </c>
      <c r="N128" s="76">
        <v>20.905899999999999</v>
      </c>
    </row>
    <row r="129" spans="1:14" x14ac:dyDescent="0.35">
      <c r="A129" s="61">
        <v>40391</v>
      </c>
      <c r="B129" s="74">
        <v>642.86786970565402</v>
      </c>
      <c r="C129" s="76">
        <v>328.93829769177756</v>
      </c>
      <c r="D129" s="76">
        <v>286.93449769177755</v>
      </c>
      <c r="E129" s="76">
        <v>42.003799999999998</v>
      </c>
      <c r="F129" s="76">
        <v>136.6146</v>
      </c>
      <c r="G129" s="144">
        <v>1634.5356800000002</v>
      </c>
      <c r="H129" s="144">
        <v>6090.0824699999994</v>
      </c>
      <c r="I129" s="76">
        <v>134.42587201387644</v>
      </c>
      <c r="J129" s="76">
        <v>98.260272013876445</v>
      </c>
      <c r="K129" s="76">
        <v>36.165599999999998</v>
      </c>
      <c r="L129" s="76">
        <v>0</v>
      </c>
      <c r="M129" s="76">
        <v>11.0062</v>
      </c>
      <c r="N129" s="76">
        <v>31.882899999999999</v>
      </c>
    </row>
    <row r="130" spans="1:14" x14ac:dyDescent="0.35">
      <c r="A130" s="61">
        <v>40422</v>
      </c>
      <c r="B130" s="74">
        <v>772.62501766590287</v>
      </c>
      <c r="C130" s="76">
        <v>352.32194896590289</v>
      </c>
      <c r="D130" s="76">
        <v>309.7358489659029</v>
      </c>
      <c r="E130" s="76">
        <v>42.586100000000002</v>
      </c>
      <c r="F130" s="76">
        <v>252.34059999999997</v>
      </c>
      <c r="G130" s="144">
        <v>2086.16138</v>
      </c>
      <c r="H130" s="144">
        <v>8240.5829900000008</v>
      </c>
      <c r="I130" s="76">
        <v>137.00506870000001</v>
      </c>
      <c r="J130" s="76">
        <v>97.513068700000005</v>
      </c>
      <c r="K130" s="76">
        <v>39.492000000000004</v>
      </c>
      <c r="L130" s="76">
        <v>0</v>
      </c>
      <c r="M130" s="76">
        <v>10.0008</v>
      </c>
      <c r="N130" s="76">
        <v>20.956600000000002</v>
      </c>
    </row>
    <row r="131" spans="1:14" x14ac:dyDescent="0.35">
      <c r="A131" s="61">
        <v>40452</v>
      </c>
      <c r="B131" s="74">
        <v>662.9840772199492</v>
      </c>
      <c r="C131" s="76">
        <v>363.58161085994914</v>
      </c>
      <c r="D131" s="76">
        <v>318.01621085994913</v>
      </c>
      <c r="E131" s="76">
        <v>45.565399999999997</v>
      </c>
      <c r="F131" s="76">
        <v>157.00700000000001</v>
      </c>
      <c r="G131" s="144">
        <v>1660.81996</v>
      </c>
      <c r="H131" s="144">
        <v>6513.89041</v>
      </c>
      <c r="I131" s="76">
        <v>126.95136636000001</v>
      </c>
      <c r="J131" s="76">
        <v>90.284666360000003</v>
      </c>
      <c r="K131" s="76">
        <v>36.666699999999999</v>
      </c>
      <c r="L131" s="76">
        <v>0</v>
      </c>
      <c r="M131" s="76">
        <v>8.1529000000000007</v>
      </c>
      <c r="N131" s="76">
        <v>7.2911999999999999</v>
      </c>
    </row>
    <row r="132" spans="1:14" x14ac:dyDescent="0.35">
      <c r="A132" s="61">
        <v>40483</v>
      </c>
      <c r="B132" s="74">
        <v>700.99659749184195</v>
      </c>
      <c r="C132" s="76">
        <v>368.23834763796549</v>
      </c>
      <c r="D132" s="76">
        <v>316.83744763796551</v>
      </c>
      <c r="E132" s="76">
        <v>51.4009</v>
      </c>
      <c r="F132" s="76">
        <v>142.85509999999999</v>
      </c>
      <c r="G132" s="144">
        <v>1467.0873799999999</v>
      </c>
      <c r="H132" s="144">
        <v>8041.25342</v>
      </c>
      <c r="I132" s="76">
        <v>148.07464985387645</v>
      </c>
      <c r="J132" s="76">
        <v>105.08694985387645</v>
      </c>
      <c r="K132" s="76">
        <v>42.987699999999997</v>
      </c>
      <c r="L132" s="76">
        <v>0</v>
      </c>
      <c r="M132" s="76">
        <v>8.2242999999999995</v>
      </c>
      <c r="N132" s="76">
        <v>33.604199999999999</v>
      </c>
    </row>
    <row r="133" spans="1:14" x14ac:dyDescent="0.35">
      <c r="A133" s="61">
        <v>40513</v>
      </c>
      <c r="B133" s="74">
        <v>733.17579452629548</v>
      </c>
      <c r="C133" s="76">
        <v>410.90874536241898</v>
      </c>
      <c r="D133" s="76">
        <v>358.30444536241896</v>
      </c>
      <c r="E133" s="76">
        <v>52.604300000000002</v>
      </c>
      <c r="F133" s="76">
        <v>146.94900000000001</v>
      </c>
      <c r="G133" s="144">
        <v>1886.4788399999998</v>
      </c>
      <c r="H133" s="144">
        <v>3279.5468900000001</v>
      </c>
      <c r="I133" s="76">
        <v>142.57414916387643</v>
      </c>
      <c r="J133" s="76">
        <v>105.08694916387644</v>
      </c>
      <c r="K133" s="76">
        <v>37.487200000000001</v>
      </c>
      <c r="L133" s="76">
        <v>0</v>
      </c>
      <c r="M133" s="76">
        <v>10.9863</v>
      </c>
      <c r="N133" s="76">
        <v>21.7576</v>
      </c>
    </row>
    <row r="134" spans="1:14" x14ac:dyDescent="0.35">
      <c r="A134" s="61">
        <v>40544</v>
      </c>
      <c r="B134" s="74">
        <v>827.24573115193016</v>
      </c>
      <c r="C134" s="76">
        <v>412.5351</v>
      </c>
      <c r="D134" s="76">
        <v>357.83859999999999</v>
      </c>
      <c r="E134" s="76">
        <v>54.6965</v>
      </c>
      <c r="F134" s="76">
        <v>244.02807525193018</v>
      </c>
      <c r="G134" s="144">
        <v>1595.67004</v>
      </c>
      <c r="H134" s="144">
        <v>4221.377379999999</v>
      </c>
      <c r="I134" s="76">
        <v>134.29570990000002</v>
      </c>
      <c r="J134" s="76">
        <v>86.591098900000006</v>
      </c>
      <c r="K134" s="76">
        <v>47.704611</v>
      </c>
      <c r="L134" s="76">
        <v>0</v>
      </c>
      <c r="M134" s="76">
        <v>12.294499999999999</v>
      </c>
      <c r="N134" s="76">
        <v>24.092345999999999</v>
      </c>
    </row>
    <row r="135" spans="1:14" x14ac:dyDescent="0.35">
      <c r="A135" s="61">
        <v>40575</v>
      </c>
      <c r="B135" s="74">
        <v>594.43596630000013</v>
      </c>
      <c r="C135" s="76">
        <v>322.58920000000001</v>
      </c>
      <c r="D135" s="76">
        <v>277.6311</v>
      </c>
      <c r="E135" s="76">
        <v>44.958100000000002</v>
      </c>
      <c r="F135" s="76">
        <v>134.67411000000001</v>
      </c>
      <c r="G135" s="145">
        <v>3107.3753900000002</v>
      </c>
      <c r="H135" s="145">
        <v>3196.68318</v>
      </c>
      <c r="I135" s="76">
        <v>116.37255629999999</v>
      </c>
      <c r="J135" s="76">
        <v>75.921556299999992</v>
      </c>
      <c r="K135" s="76">
        <v>40.451000000000001</v>
      </c>
      <c r="L135" s="76">
        <v>0</v>
      </c>
      <c r="M135" s="76">
        <v>20.8001</v>
      </c>
      <c r="N135" s="76">
        <v>0</v>
      </c>
    </row>
    <row r="136" spans="1:14" x14ac:dyDescent="0.35">
      <c r="A136" s="61">
        <v>40603</v>
      </c>
      <c r="B136" s="74">
        <v>791.86485717000005</v>
      </c>
      <c r="C136" s="76">
        <v>332.49620000000004</v>
      </c>
      <c r="D136" s="76">
        <v>292.20010000000002</v>
      </c>
      <c r="E136" s="76">
        <v>40.296100000000003</v>
      </c>
      <c r="F136" s="76">
        <v>304.90430000000003</v>
      </c>
      <c r="G136" s="144">
        <v>64147.469170000004</v>
      </c>
      <c r="H136" s="144">
        <v>120105.85874</v>
      </c>
      <c r="I136" s="76">
        <v>135.59185717000003</v>
      </c>
      <c r="J136" s="76">
        <v>87.28315717000001</v>
      </c>
      <c r="K136" s="76">
        <v>48.308700000000002</v>
      </c>
      <c r="L136" s="76">
        <v>0</v>
      </c>
      <c r="M136" s="76">
        <v>18.872499999999999</v>
      </c>
      <c r="N136" s="76">
        <v>0</v>
      </c>
    </row>
    <row r="137" spans="1:14" x14ac:dyDescent="0.35">
      <c r="A137" s="61">
        <v>40634</v>
      </c>
      <c r="B137" s="74">
        <v>1147.9456719738764</v>
      </c>
      <c r="C137" s="76">
        <v>356.35610000000003</v>
      </c>
      <c r="D137" s="76">
        <v>308.22840000000002</v>
      </c>
      <c r="E137" s="76">
        <v>48.127699999999997</v>
      </c>
      <c r="F137" s="76">
        <v>653.14779999999996</v>
      </c>
      <c r="G137" s="144">
        <v>7622.69517</v>
      </c>
      <c r="H137" s="144">
        <v>514493.60395999998</v>
      </c>
      <c r="I137" s="76">
        <v>119.10777197387645</v>
      </c>
      <c r="J137" s="76">
        <v>79.223471973876443</v>
      </c>
      <c r="K137" s="76">
        <v>39.884300000000003</v>
      </c>
      <c r="L137" s="76">
        <v>0</v>
      </c>
      <c r="M137" s="76">
        <v>15.38</v>
      </c>
      <c r="N137" s="76">
        <v>3.9540000000000002</v>
      </c>
    </row>
    <row r="138" spans="1:14" x14ac:dyDescent="0.35">
      <c r="A138" s="61">
        <v>40664</v>
      </c>
      <c r="B138" s="74">
        <v>781.63334569387632</v>
      </c>
      <c r="C138" s="76">
        <v>420.54730000000001</v>
      </c>
      <c r="D138" s="76">
        <v>367.46469999999999</v>
      </c>
      <c r="E138" s="76">
        <v>53.082599999999999</v>
      </c>
      <c r="F138" s="76">
        <v>198.08459999999999</v>
      </c>
      <c r="G138" s="144">
        <v>4414.1839</v>
      </c>
      <c r="H138" s="144">
        <v>10819.834969999998</v>
      </c>
      <c r="I138" s="76">
        <v>145.11684569387643</v>
      </c>
      <c r="J138" s="76">
        <v>107.61444569387643</v>
      </c>
      <c r="K138" s="76">
        <v>37.502399999999994</v>
      </c>
      <c r="L138" s="76">
        <v>0</v>
      </c>
      <c r="M138" s="76">
        <v>17.884599999999999</v>
      </c>
      <c r="N138" s="76">
        <v>0</v>
      </c>
    </row>
    <row r="139" spans="1:14" x14ac:dyDescent="0.35">
      <c r="A139" s="61">
        <v>40695</v>
      </c>
      <c r="B139" s="74">
        <v>747.88923916387637</v>
      </c>
      <c r="C139" s="76">
        <v>378.33370000000002</v>
      </c>
      <c r="D139" s="76">
        <v>328.80279999999999</v>
      </c>
      <c r="E139" s="76">
        <v>49.530900000000003</v>
      </c>
      <c r="F139" s="76">
        <v>206.2679</v>
      </c>
      <c r="G139" s="144">
        <v>2899.6115099999997</v>
      </c>
      <c r="H139" s="144">
        <v>20420.791429999997</v>
      </c>
      <c r="I139" s="76">
        <v>146.35703916387644</v>
      </c>
      <c r="J139" s="76">
        <v>99.47473916387645</v>
      </c>
      <c r="K139" s="76">
        <v>46.882300000000001</v>
      </c>
      <c r="L139" s="76">
        <v>0</v>
      </c>
      <c r="M139" s="76">
        <v>16.930599999999998</v>
      </c>
      <c r="N139" s="76">
        <v>0</v>
      </c>
    </row>
    <row r="140" spans="1:14" x14ac:dyDescent="0.35">
      <c r="A140" s="61">
        <v>40725</v>
      </c>
      <c r="B140" s="74">
        <v>779.14516476387655</v>
      </c>
      <c r="C140" s="76">
        <v>385.39928840000005</v>
      </c>
      <c r="D140" s="76">
        <v>330.22428840000003</v>
      </c>
      <c r="E140" s="76">
        <v>55.174999999999997</v>
      </c>
      <c r="F140" s="76">
        <v>246.8509</v>
      </c>
      <c r="G140" s="144">
        <v>1944.14303</v>
      </c>
      <c r="H140" s="144">
        <v>10953.87917</v>
      </c>
      <c r="I140" s="76">
        <v>132.93497636387644</v>
      </c>
      <c r="J140" s="76">
        <v>88.909176363876441</v>
      </c>
      <c r="K140" s="76">
        <v>44.025799999999997</v>
      </c>
      <c r="L140" s="76">
        <v>0</v>
      </c>
      <c r="M140" s="76">
        <v>13.96</v>
      </c>
      <c r="N140" s="76">
        <v>0</v>
      </c>
    </row>
    <row r="141" spans="1:14" x14ac:dyDescent="0.35">
      <c r="A141" s="61">
        <v>40756</v>
      </c>
      <c r="B141" s="74">
        <v>715.64187807387646</v>
      </c>
      <c r="C141" s="76">
        <v>373.26130000000001</v>
      </c>
      <c r="D141" s="76">
        <v>326.78379999999999</v>
      </c>
      <c r="E141" s="76">
        <v>46.477499999999999</v>
      </c>
      <c r="F141" s="76">
        <v>179.5121</v>
      </c>
      <c r="G141" s="144">
        <v>2061.5917199999999</v>
      </c>
      <c r="H141" s="144">
        <v>6211.2220130000005</v>
      </c>
      <c r="I141" s="76">
        <v>149.07457807387644</v>
      </c>
      <c r="J141" s="76">
        <v>108.74097807387643</v>
      </c>
      <c r="K141" s="76">
        <v>40.333599999999997</v>
      </c>
      <c r="L141" s="76">
        <v>0</v>
      </c>
      <c r="M141" s="76">
        <v>13.793900000000001</v>
      </c>
      <c r="N141" s="76">
        <v>0</v>
      </c>
    </row>
    <row r="142" spans="1:14" x14ac:dyDescent="0.35">
      <c r="A142" s="61">
        <v>40787</v>
      </c>
      <c r="B142" s="74">
        <v>880.43733799999995</v>
      </c>
      <c r="C142" s="76">
        <v>418.97229999999996</v>
      </c>
      <c r="D142" s="76">
        <v>367.96949999999998</v>
      </c>
      <c r="E142" s="76">
        <v>51.002800000000001</v>
      </c>
      <c r="F142" s="76">
        <v>297.59750000000003</v>
      </c>
      <c r="G142" s="144">
        <v>1428.3104599999999</v>
      </c>
      <c r="H142" s="144">
        <v>15396.73734</v>
      </c>
      <c r="I142" s="76">
        <v>152.296738</v>
      </c>
      <c r="J142" s="76">
        <v>101.883538</v>
      </c>
      <c r="K142" s="76">
        <v>50.413200000000003</v>
      </c>
      <c r="L142" s="76">
        <v>0</v>
      </c>
      <c r="M142" s="76">
        <v>11.5708</v>
      </c>
      <c r="N142" s="76">
        <v>0</v>
      </c>
    </row>
    <row r="143" spans="1:14" x14ac:dyDescent="0.35">
      <c r="A143" s="61">
        <v>40817</v>
      </c>
      <c r="B143" s="74">
        <v>788.87730704000001</v>
      </c>
      <c r="C143" s="76">
        <v>436.35160000000002</v>
      </c>
      <c r="D143" s="76">
        <v>386.63370000000003</v>
      </c>
      <c r="E143" s="76">
        <v>49.7179</v>
      </c>
      <c r="F143" s="76">
        <v>182.41830000000002</v>
      </c>
      <c r="G143" s="144">
        <v>1103.0952600000001</v>
      </c>
      <c r="H143" s="144">
        <v>4931.1315199999999</v>
      </c>
      <c r="I143" s="76">
        <v>159.73660704</v>
      </c>
      <c r="J143" s="76">
        <v>110.38150704</v>
      </c>
      <c r="K143" s="76">
        <v>49.3551</v>
      </c>
      <c r="L143" s="76">
        <v>0</v>
      </c>
      <c r="M143" s="76">
        <v>10.370799999999999</v>
      </c>
      <c r="N143" s="76">
        <v>0</v>
      </c>
    </row>
    <row r="144" spans="1:14" x14ac:dyDescent="0.35">
      <c r="A144" s="61">
        <v>40848</v>
      </c>
      <c r="B144" s="74">
        <v>808.22840550000001</v>
      </c>
      <c r="C144" s="76">
        <v>474.24169999999998</v>
      </c>
      <c r="D144" s="76">
        <v>423.29699999999997</v>
      </c>
      <c r="E144" s="76">
        <v>50.944699999999997</v>
      </c>
      <c r="F144" s="76">
        <v>174.7116</v>
      </c>
      <c r="G144" s="144">
        <v>982.35772999999995</v>
      </c>
      <c r="H144" s="144">
        <v>21001.35786</v>
      </c>
      <c r="I144" s="76">
        <v>149.2025055</v>
      </c>
      <c r="J144" s="76">
        <v>105.32520550000001</v>
      </c>
      <c r="K144" s="76">
        <v>43.877299999999998</v>
      </c>
      <c r="L144" s="76">
        <v>0</v>
      </c>
      <c r="M144" s="76">
        <v>10.0726</v>
      </c>
      <c r="N144" s="76">
        <v>0</v>
      </c>
    </row>
    <row r="145" spans="1:14" x14ac:dyDescent="0.35">
      <c r="A145" s="61">
        <v>40878</v>
      </c>
      <c r="B145" s="74">
        <v>901.78210000000001</v>
      </c>
      <c r="C145" s="76">
        <v>507.12289999999996</v>
      </c>
      <c r="D145" s="76">
        <v>433.26209999999998</v>
      </c>
      <c r="E145" s="76">
        <v>73.860799999999998</v>
      </c>
      <c r="F145" s="76">
        <v>208.00569999999999</v>
      </c>
      <c r="G145" s="144">
        <v>1314.7662499999999</v>
      </c>
      <c r="H145" s="144">
        <v>12616.121140000001</v>
      </c>
      <c r="I145" s="76">
        <v>174.1876</v>
      </c>
      <c r="J145" s="76">
        <v>104.5</v>
      </c>
      <c r="K145" s="76">
        <v>69.687600000000003</v>
      </c>
      <c r="L145" s="76">
        <v>0</v>
      </c>
      <c r="M145" s="76">
        <v>12.4659</v>
      </c>
      <c r="N145" s="76"/>
    </row>
    <row r="146" spans="1:14" x14ac:dyDescent="0.35">
      <c r="A146" s="61">
        <v>40909</v>
      </c>
      <c r="B146" s="74">
        <v>1086.1641920000002</v>
      </c>
      <c r="C146" s="76">
        <v>564.60599999999999</v>
      </c>
      <c r="D146" s="76">
        <v>508.77670000000001</v>
      </c>
      <c r="E146" s="76">
        <v>55.829300000000003</v>
      </c>
      <c r="F146" s="76">
        <v>304.0222</v>
      </c>
      <c r="G146" s="144">
        <v>1796.8231800000001</v>
      </c>
      <c r="H146" s="144">
        <v>4069.5766100000005</v>
      </c>
      <c r="I146" s="76">
        <v>199.68879200000003</v>
      </c>
      <c r="J146" s="76">
        <v>102.23889200000001</v>
      </c>
      <c r="K146" s="76">
        <v>97.449900000000014</v>
      </c>
      <c r="L146" s="76">
        <v>0</v>
      </c>
      <c r="M146" s="76">
        <v>12.6075</v>
      </c>
      <c r="N146" s="76">
        <v>5.2397</v>
      </c>
    </row>
    <row r="147" spans="1:14" x14ac:dyDescent="0.35">
      <c r="A147" s="61">
        <v>40940</v>
      </c>
      <c r="B147" s="74">
        <v>827.91230000000007</v>
      </c>
      <c r="C147" s="76">
        <v>452.37950000000001</v>
      </c>
      <c r="D147" s="76">
        <v>406.14280000000002</v>
      </c>
      <c r="E147" s="76">
        <v>46.236699999999999</v>
      </c>
      <c r="F147" s="76">
        <v>147.96729999999999</v>
      </c>
      <c r="G147" s="145">
        <v>3360.2308800000001</v>
      </c>
      <c r="H147" s="145">
        <v>5629.0160900000001</v>
      </c>
      <c r="I147" s="76">
        <v>197.59140000000002</v>
      </c>
      <c r="J147" s="76">
        <v>89.742000000000004</v>
      </c>
      <c r="K147" s="76">
        <v>107.8494</v>
      </c>
      <c r="L147" s="76">
        <v>0</v>
      </c>
      <c r="M147" s="76">
        <v>20.6325</v>
      </c>
      <c r="N147" s="76">
        <v>9.3415999999999997</v>
      </c>
    </row>
    <row r="148" spans="1:14" x14ac:dyDescent="0.35">
      <c r="A148" s="61">
        <v>40969</v>
      </c>
      <c r="B148" s="74">
        <v>933.63819999999998</v>
      </c>
      <c r="C148" s="76">
        <v>457.95420000000001</v>
      </c>
      <c r="D148" s="76">
        <v>408.4794</v>
      </c>
      <c r="E148" s="76">
        <v>49.474800000000002</v>
      </c>
      <c r="F148" s="76">
        <v>241.50819999999999</v>
      </c>
      <c r="G148" s="144">
        <v>77029.63033</v>
      </c>
      <c r="H148" s="144">
        <v>12877.29457</v>
      </c>
      <c r="I148" s="76">
        <v>203.95820000000001</v>
      </c>
      <c r="J148" s="76">
        <v>100.71299999999999</v>
      </c>
      <c r="K148" s="76">
        <v>103.24520000000001</v>
      </c>
      <c r="L148" s="76">
        <v>0</v>
      </c>
      <c r="M148" s="76">
        <v>19.082100000000001</v>
      </c>
      <c r="N148" s="76">
        <v>11.1355</v>
      </c>
    </row>
    <row r="149" spans="1:14" x14ac:dyDescent="0.35">
      <c r="A149" s="61">
        <v>41000</v>
      </c>
      <c r="B149" s="74">
        <v>1513.413155</v>
      </c>
      <c r="C149" s="76">
        <v>463.4393</v>
      </c>
      <c r="D149" s="76">
        <v>406.32549999999998</v>
      </c>
      <c r="E149" s="76">
        <v>57.113799999999998</v>
      </c>
      <c r="F149" s="76">
        <v>825.65949999999998</v>
      </c>
      <c r="G149" s="144">
        <v>8715.7946499999998</v>
      </c>
      <c r="H149" s="144">
        <v>656946.42543000006</v>
      </c>
      <c r="I149" s="76">
        <v>198.43335500000001</v>
      </c>
      <c r="J149" s="76">
        <v>94.744455000000002</v>
      </c>
      <c r="K149" s="76">
        <v>103.6889</v>
      </c>
      <c r="L149" s="76">
        <v>0</v>
      </c>
      <c r="M149" s="76">
        <v>16.532499999999999</v>
      </c>
      <c r="N149" s="76">
        <v>9.3484999999999996</v>
      </c>
    </row>
    <row r="150" spans="1:14" x14ac:dyDescent="0.35">
      <c r="A150" s="61">
        <v>41030</v>
      </c>
      <c r="B150" s="74">
        <v>950.25236554000003</v>
      </c>
      <c r="C150" s="76">
        <v>506.03120000000007</v>
      </c>
      <c r="D150" s="76">
        <v>449.25820000000004</v>
      </c>
      <c r="E150" s="76">
        <v>56.773000000000003</v>
      </c>
      <c r="F150" s="76">
        <v>213.45500000000001</v>
      </c>
      <c r="G150" s="144">
        <v>5560.8927699999995</v>
      </c>
      <c r="H150" s="144">
        <v>19379.67913</v>
      </c>
      <c r="I150" s="76">
        <v>202.95136553999998</v>
      </c>
      <c r="J150" s="76">
        <v>110.03546554</v>
      </c>
      <c r="K150" s="76">
        <v>92.915899999999979</v>
      </c>
      <c r="L150" s="76">
        <v>0</v>
      </c>
      <c r="M150" s="76">
        <v>18.028600000000001</v>
      </c>
      <c r="N150" s="76">
        <v>9.7861999999999991</v>
      </c>
    </row>
    <row r="151" spans="1:14" x14ac:dyDescent="0.35">
      <c r="A151" s="61">
        <v>41061</v>
      </c>
      <c r="B151" s="74">
        <v>913.18600000000004</v>
      </c>
      <c r="C151" s="76">
        <v>502.63499999999999</v>
      </c>
      <c r="D151" s="76">
        <v>441.65499999999997</v>
      </c>
      <c r="E151" s="76">
        <v>60.98</v>
      </c>
      <c r="F151" s="76">
        <v>174.517</v>
      </c>
      <c r="G151" s="144">
        <v>3883.9151699999998</v>
      </c>
      <c r="H151" s="144">
        <v>7143.75749</v>
      </c>
      <c r="I151" s="76">
        <v>209.44499999999999</v>
      </c>
      <c r="J151" s="76">
        <v>106.631</v>
      </c>
      <c r="K151" s="76">
        <v>102.81399999999999</v>
      </c>
      <c r="L151" s="76">
        <v>0</v>
      </c>
      <c r="M151" s="76">
        <v>16.690000000000001</v>
      </c>
      <c r="N151" s="76">
        <v>9.8989999999999991</v>
      </c>
    </row>
    <row r="152" spans="1:14" x14ac:dyDescent="0.35">
      <c r="A152" s="61">
        <v>41091</v>
      </c>
      <c r="B152" s="74">
        <v>1034.5407790000002</v>
      </c>
      <c r="C152" s="76">
        <v>511.70300000000003</v>
      </c>
      <c r="D152" s="76">
        <v>449.45400000000001</v>
      </c>
      <c r="E152" s="76">
        <v>62.249000000000002</v>
      </c>
      <c r="F152" s="76">
        <v>284.98500000000001</v>
      </c>
      <c r="G152" s="144">
        <v>3940.3353099999999</v>
      </c>
      <c r="H152" s="144">
        <v>8265.8465799999994</v>
      </c>
      <c r="I152" s="76">
        <v>210.18277899999998</v>
      </c>
      <c r="J152" s="76">
        <v>112.605779</v>
      </c>
      <c r="K152" s="76">
        <v>97.576999999999998</v>
      </c>
      <c r="L152" s="76">
        <v>0</v>
      </c>
      <c r="M152" s="76">
        <v>17.361999999999998</v>
      </c>
      <c r="N152" s="76">
        <v>10.308</v>
      </c>
    </row>
    <row r="153" spans="1:14" x14ac:dyDescent="0.35">
      <c r="A153" s="61">
        <v>41122</v>
      </c>
      <c r="B153" s="74">
        <v>984.10711200000003</v>
      </c>
      <c r="C153" s="76">
        <v>534.596</v>
      </c>
      <c r="D153" s="76">
        <v>473.69650000000001</v>
      </c>
      <c r="E153" s="76">
        <v>60.899500000000003</v>
      </c>
      <c r="F153" s="76">
        <v>193.27720000000002</v>
      </c>
      <c r="G153" s="144">
        <v>2380.26037</v>
      </c>
      <c r="H153" s="144">
        <v>9045.4535399999986</v>
      </c>
      <c r="I153" s="76">
        <v>228.951412</v>
      </c>
      <c r="J153" s="76">
        <v>126.140912</v>
      </c>
      <c r="K153" s="76">
        <v>102.81049999999999</v>
      </c>
      <c r="L153" s="76">
        <v>0</v>
      </c>
      <c r="M153" s="76">
        <v>16.955100000000002</v>
      </c>
      <c r="N153" s="76">
        <v>10.327400000000001</v>
      </c>
    </row>
    <row r="154" spans="1:14" x14ac:dyDescent="0.35">
      <c r="A154" s="61">
        <v>41153</v>
      </c>
      <c r="B154" s="74">
        <v>1027.0197000000001</v>
      </c>
      <c r="C154" s="76">
        <v>496.88060000000002</v>
      </c>
      <c r="D154" s="76">
        <v>439.81950000000001</v>
      </c>
      <c r="E154" s="76">
        <v>57.061100000000003</v>
      </c>
      <c r="F154" s="76">
        <v>302.27699999999999</v>
      </c>
      <c r="G154" s="144">
        <v>1957.1433399999999</v>
      </c>
      <c r="H154" s="144">
        <v>10085.684450000001</v>
      </c>
      <c r="I154" s="76">
        <v>206.30380000000002</v>
      </c>
      <c r="J154" s="76">
        <v>98.300000000000011</v>
      </c>
      <c r="K154" s="76">
        <v>108.00380000000001</v>
      </c>
      <c r="L154" s="76">
        <v>0</v>
      </c>
      <c r="M154" s="76">
        <v>13.178699999999999</v>
      </c>
      <c r="N154" s="76">
        <v>8.3795999999999999</v>
      </c>
    </row>
    <row r="155" spans="1:14" x14ac:dyDescent="0.35">
      <c r="A155" s="61">
        <v>41183</v>
      </c>
      <c r="B155" s="74">
        <v>900.99974299999997</v>
      </c>
      <c r="C155" s="76">
        <v>489.72190000000001</v>
      </c>
      <c r="D155" s="76">
        <v>437.65890000000002</v>
      </c>
      <c r="E155" s="76">
        <v>52.063000000000002</v>
      </c>
      <c r="F155" s="76">
        <v>195.34380000000002</v>
      </c>
      <c r="G155" s="144">
        <v>1426.92607</v>
      </c>
      <c r="H155" s="144">
        <v>12739.840469999999</v>
      </c>
      <c r="I155" s="76">
        <v>192.87444299999999</v>
      </c>
      <c r="J155" s="76">
        <v>97.955443000000002</v>
      </c>
      <c r="K155" s="76">
        <v>94.918999999999997</v>
      </c>
      <c r="L155" s="76">
        <v>0</v>
      </c>
      <c r="M155" s="76">
        <v>14.140599999999999</v>
      </c>
      <c r="N155" s="76">
        <v>8.9190000000000005</v>
      </c>
    </row>
    <row r="156" spans="1:14" x14ac:dyDescent="0.35">
      <c r="A156" s="61">
        <v>41214</v>
      </c>
      <c r="B156" s="74">
        <v>966.07869999999991</v>
      </c>
      <c r="C156" s="76">
        <v>531.53879999999992</v>
      </c>
      <c r="D156" s="76">
        <v>472.57239999999996</v>
      </c>
      <c r="E156" s="76">
        <v>58.9664</v>
      </c>
      <c r="F156" s="76">
        <v>198.81339999999997</v>
      </c>
      <c r="G156" s="144">
        <v>1232.0720900000001</v>
      </c>
      <c r="H156" s="144">
        <v>7610.9127699999999</v>
      </c>
      <c r="I156" s="76">
        <v>214.62880000000001</v>
      </c>
      <c r="J156" s="76">
        <v>104.721</v>
      </c>
      <c r="K156" s="76">
        <v>109.90780000000001</v>
      </c>
      <c r="L156" s="76">
        <v>0</v>
      </c>
      <c r="M156" s="76">
        <v>12.737</v>
      </c>
      <c r="N156" s="76">
        <v>8.3606999999999996</v>
      </c>
    </row>
    <row r="157" spans="1:14" x14ac:dyDescent="0.35">
      <c r="A157" s="61">
        <v>41244</v>
      </c>
      <c r="B157" s="74">
        <v>1117.373548</v>
      </c>
      <c r="C157" s="76">
        <v>587.99530000000004</v>
      </c>
      <c r="D157" s="76">
        <v>521.13909999999998</v>
      </c>
      <c r="E157" s="76">
        <v>66.856200000000001</v>
      </c>
      <c r="F157" s="76">
        <v>231.107</v>
      </c>
      <c r="G157" s="144">
        <v>1246.86617</v>
      </c>
      <c r="H157" s="144">
        <v>20436.962439999999</v>
      </c>
      <c r="I157" s="76">
        <v>271.417148</v>
      </c>
      <c r="J157" s="76">
        <v>117.28344800000001</v>
      </c>
      <c r="K157" s="76">
        <v>154.1337</v>
      </c>
      <c r="L157" s="76">
        <v>0</v>
      </c>
      <c r="M157" s="76">
        <v>16.514600000000002</v>
      </c>
      <c r="N157" s="76">
        <v>10.339499999999999</v>
      </c>
    </row>
    <row r="158" spans="1:14" x14ac:dyDescent="0.35">
      <c r="A158" s="61">
        <v>41275</v>
      </c>
      <c r="B158" s="74">
        <v>1267.5035420000002</v>
      </c>
      <c r="C158" s="76">
        <v>668.68060000000014</v>
      </c>
      <c r="D158" s="76">
        <v>603.43310000000008</v>
      </c>
      <c r="E158" s="76">
        <v>65.247500000000002</v>
      </c>
      <c r="F158" s="76">
        <v>341.70830000000001</v>
      </c>
      <c r="G158" s="144">
        <v>5876.5204729999987</v>
      </c>
      <c r="H158" s="144">
        <v>7576.4968600000002</v>
      </c>
      <c r="I158" s="76">
        <v>228.71264200000002</v>
      </c>
      <c r="J158" s="76">
        <v>111.55000200000001</v>
      </c>
      <c r="K158" s="76">
        <v>117.16264000000001</v>
      </c>
      <c r="L158" s="76">
        <v>0</v>
      </c>
      <c r="M158" s="76">
        <v>18.346599999999999</v>
      </c>
      <c r="N158" s="76">
        <v>10.055400000000001</v>
      </c>
    </row>
    <row r="159" spans="1:14" x14ac:dyDescent="0.35">
      <c r="A159" s="61">
        <v>41306</v>
      </c>
      <c r="B159" s="74">
        <v>939.96332999999993</v>
      </c>
      <c r="C159" s="76">
        <v>512.10220000000004</v>
      </c>
      <c r="D159" s="76">
        <v>448.93860000000001</v>
      </c>
      <c r="E159" s="76">
        <v>63.163600000000002</v>
      </c>
      <c r="F159" s="76">
        <v>181.47290000000001</v>
      </c>
      <c r="G159" s="145">
        <v>5545.7771000000002</v>
      </c>
      <c r="H159" s="145">
        <v>7047.8440700000001</v>
      </c>
      <c r="I159" s="76">
        <v>211.71562999999998</v>
      </c>
      <c r="J159" s="76">
        <v>97.587999999999994</v>
      </c>
      <c r="K159" s="76">
        <v>114.12763</v>
      </c>
      <c r="L159" s="76">
        <v>0</v>
      </c>
      <c r="M159" s="76">
        <v>21.451499999999999</v>
      </c>
      <c r="N159" s="76">
        <v>13.2211</v>
      </c>
    </row>
    <row r="160" spans="1:14" x14ac:dyDescent="0.35">
      <c r="A160" s="61">
        <v>41334</v>
      </c>
      <c r="B160" s="74">
        <v>1022.7851430000001</v>
      </c>
      <c r="C160" s="76">
        <v>505.92180000000002</v>
      </c>
      <c r="D160" s="76">
        <v>448.13420000000002</v>
      </c>
      <c r="E160" s="76">
        <v>57.787599999999998</v>
      </c>
      <c r="F160" s="76">
        <v>265.69839999999999</v>
      </c>
      <c r="G160" s="144">
        <v>88079.149839999984</v>
      </c>
      <c r="H160" s="144">
        <v>11807.507079999999</v>
      </c>
      <c r="I160" s="76">
        <v>217.51594299999999</v>
      </c>
      <c r="J160" s="76">
        <v>103.803163</v>
      </c>
      <c r="K160" s="76">
        <v>113.71278</v>
      </c>
      <c r="L160" s="76">
        <v>0</v>
      </c>
      <c r="M160" s="76">
        <v>21.394200000000001</v>
      </c>
      <c r="N160" s="76">
        <v>12.254799999999999</v>
      </c>
    </row>
    <row r="161" spans="1:14" x14ac:dyDescent="0.35">
      <c r="A161" s="61">
        <v>41365</v>
      </c>
      <c r="B161" s="74">
        <v>1717.59586902</v>
      </c>
      <c r="C161" s="76">
        <v>548.63099999999997</v>
      </c>
      <c r="D161" s="76">
        <v>488.68349999999998</v>
      </c>
      <c r="E161" s="76">
        <v>59.947499999999998</v>
      </c>
      <c r="F161" s="76">
        <v>924.42580000000009</v>
      </c>
      <c r="G161" s="144">
        <v>14234.009799999998</v>
      </c>
      <c r="H161" s="144">
        <v>718817.62461000006</v>
      </c>
      <c r="I161" s="76">
        <v>208.17402700000002</v>
      </c>
      <c r="J161" s="76">
        <v>107.842527</v>
      </c>
      <c r="K161" s="76">
        <v>100.33150000000001</v>
      </c>
      <c r="L161" s="76">
        <v>0</v>
      </c>
      <c r="M161" s="76">
        <v>22.468342020000001</v>
      </c>
      <c r="N161" s="76">
        <v>13.896699999999999</v>
      </c>
    </row>
    <row r="162" spans="1:14" x14ac:dyDescent="0.35">
      <c r="A162" s="61">
        <v>41395</v>
      </c>
      <c r="B162" s="74">
        <v>1066.2658000000001</v>
      </c>
      <c r="C162" s="76">
        <v>581.58670000000006</v>
      </c>
      <c r="D162" s="76">
        <v>519.24530000000004</v>
      </c>
      <c r="E162" s="76">
        <v>62.3414</v>
      </c>
      <c r="F162" s="76">
        <v>231.9975</v>
      </c>
      <c r="G162" s="144">
        <v>9508.8737600000022</v>
      </c>
      <c r="H162" s="144">
        <v>18884.431489999999</v>
      </c>
      <c r="I162" s="76">
        <v>220.2955</v>
      </c>
      <c r="J162" s="76">
        <v>115.11799999999999</v>
      </c>
      <c r="K162" s="76">
        <v>105.17750000000001</v>
      </c>
      <c r="L162" s="76">
        <v>0</v>
      </c>
      <c r="M162" s="76">
        <v>20.140899999999998</v>
      </c>
      <c r="N162" s="76">
        <v>12.245200000000001</v>
      </c>
    </row>
    <row r="163" spans="1:14" x14ac:dyDescent="0.35">
      <c r="A163" s="61">
        <v>41426</v>
      </c>
      <c r="B163" s="74">
        <v>1008.923097</v>
      </c>
      <c r="C163" s="76">
        <v>544.755</v>
      </c>
      <c r="D163" s="76">
        <v>485.35360000000003</v>
      </c>
      <c r="E163" s="76">
        <v>59.401400000000002</v>
      </c>
      <c r="F163" s="76">
        <v>204.6052</v>
      </c>
      <c r="G163" s="144">
        <v>5073.5473400000001</v>
      </c>
      <c r="H163" s="144">
        <v>13885.036990000001</v>
      </c>
      <c r="I163" s="76">
        <v>230.12269700000002</v>
      </c>
      <c r="J163" s="76">
        <v>119.47129700000001</v>
      </c>
      <c r="K163" s="76">
        <v>110.6514</v>
      </c>
      <c r="L163" s="76">
        <v>0</v>
      </c>
      <c r="M163" s="76">
        <v>18.13</v>
      </c>
      <c r="N163" s="76">
        <v>11.3102</v>
      </c>
    </row>
    <row r="164" spans="1:14" x14ac:dyDescent="0.35">
      <c r="A164" s="61">
        <v>41456</v>
      </c>
      <c r="B164" s="74">
        <v>1219.498327</v>
      </c>
      <c r="C164" s="76">
        <v>568.12839999999994</v>
      </c>
      <c r="D164" s="76">
        <v>507.61019999999996</v>
      </c>
      <c r="E164" s="76">
        <v>60.5182</v>
      </c>
      <c r="F164" s="76">
        <v>392.7602</v>
      </c>
      <c r="G164" s="144">
        <v>7044.1578399999999</v>
      </c>
      <c r="H164" s="144">
        <v>63016.506450000001</v>
      </c>
      <c r="I164" s="76">
        <v>227.64818700000001</v>
      </c>
      <c r="J164" s="76">
        <v>119.47129700000001</v>
      </c>
      <c r="K164" s="76">
        <v>108.17688999999999</v>
      </c>
      <c r="L164" s="76">
        <v>0</v>
      </c>
      <c r="M164" s="76">
        <v>19.123750000000001</v>
      </c>
      <c r="N164" s="76">
        <v>11.83779</v>
      </c>
    </row>
    <row r="165" spans="1:14" x14ac:dyDescent="0.35">
      <c r="A165" s="61">
        <v>41487</v>
      </c>
      <c r="B165" s="74">
        <v>1061.6476419999999</v>
      </c>
      <c r="C165" s="76">
        <v>578.21608000000003</v>
      </c>
      <c r="D165" s="76">
        <v>518.85369000000003</v>
      </c>
      <c r="E165" s="76">
        <v>59.362389999999998</v>
      </c>
      <c r="F165" s="76">
        <v>223.58031</v>
      </c>
      <c r="G165" s="144">
        <v>5269.4403199999997</v>
      </c>
      <c r="H165" s="144">
        <v>14237.083950000002</v>
      </c>
      <c r="I165" s="76">
        <v>232.93632200000002</v>
      </c>
      <c r="J165" s="76">
        <v>118.986132</v>
      </c>
      <c r="K165" s="76">
        <v>113.95019000000001</v>
      </c>
      <c r="L165" s="76">
        <v>0</v>
      </c>
      <c r="M165" s="76">
        <v>16.45777</v>
      </c>
      <c r="N165" s="76">
        <v>10.45716</v>
      </c>
    </row>
    <row r="166" spans="1:14" x14ac:dyDescent="0.35">
      <c r="A166" s="61">
        <v>41518</v>
      </c>
      <c r="B166" s="74">
        <v>1144.054504</v>
      </c>
      <c r="C166" s="76">
        <v>555.66269999999997</v>
      </c>
      <c r="D166" s="76">
        <v>494.00979999999998</v>
      </c>
      <c r="E166" s="76">
        <v>61.652900000000002</v>
      </c>
      <c r="F166" s="76">
        <v>345.3929</v>
      </c>
      <c r="G166" s="144">
        <v>5663.7166099999995</v>
      </c>
      <c r="H166" s="144">
        <v>7083.6916300000003</v>
      </c>
      <c r="I166" s="76">
        <v>219.491604</v>
      </c>
      <c r="J166" s="76">
        <v>103.912104</v>
      </c>
      <c r="K166" s="76">
        <v>115.57950000000001</v>
      </c>
      <c r="L166" s="76">
        <v>0</v>
      </c>
      <c r="M166" s="76">
        <v>14.2851</v>
      </c>
      <c r="N166" s="76">
        <v>9.2222000000000008</v>
      </c>
    </row>
    <row r="167" spans="1:14" x14ac:dyDescent="0.35">
      <c r="A167" s="61">
        <v>41548</v>
      </c>
      <c r="B167" s="74">
        <v>1074.773731</v>
      </c>
      <c r="C167" s="76">
        <v>594.45960000000002</v>
      </c>
      <c r="D167" s="76">
        <v>531.9547</v>
      </c>
      <c r="E167" s="76">
        <v>62.504899999999999</v>
      </c>
      <c r="F167" s="76">
        <v>230.56309999999999</v>
      </c>
      <c r="G167" s="144">
        <v>4528.819919999999</v>
      </c>
      <c r="H167" s="144">
        <v>13500.653060000001</v>
      </c>
      <c r="I167" s="76">
        <v>225.74683099999999</v>
      </c>
      <c r="J167" s="76">
        <v>119.50003100000001</v>
      </c>
      <c r="K167" s="76">
        <v>106.24679999999999</v>
      </c>
      <c r="L167" s="76">
        <v>0</v>
      </c>
      <c r="M167" s="76">
        <v>14.7173</v>
      </c>
      <c r="N167" s="76">
        <v>9.2868999999999993</v>
      </c>
    </row>
    <row r="168" spans="1:14" x14ac:dyDescent="0.35">
      <c r="A168" s="61">
        <v>41579</v>
      </c>
      <c r="B168" s="74">
        <v>1059.1785530000002</v>
      </c>
      <c r="C168" s="76">
        <v>577.8642000000001</v>
      </c>
      <c r="D168" s="76">
        <v>513.50190000000009</v>
      </c>
      <c r="E168" s="76">
        <v>64.362300000000005</v>
      </c>
      <c r="F168" s="76">
        <v>228.4221</v>
      </c>
      <c r="G168" s="144">
        <v>7167.6862900000033</v>
      </c>
      <c r="H168" s="144">
        <v>7459.3402999999998</v>
      </c>
      <c r="I168" s="76">
        <v>230.309853</v>
      </c>
      <c r="J168" s="76">
        <v>120.45075300000001</v>
      </c>
      <c r="K168" s="76">
        <v>109.8591</v>
      </c>
      <c r="L168" s="76">
        <v>0</v>
      </c>
      <c r="M168" s="76">
        <v>13.7349</v>
      </c>
      <c r="N168" s="76">
        <v>8.8475000000000001</v>
      </c>
    </row>
    <row r="169" spans="1:14" x14ac:dyDescent="0.35">
      <c r="A169" s="61">
        <v>41609</v>
      </c>
      <c r="B169" s="74">
        <v>1085.3645589999999</v>
      </c>
      <c r="C169" s="76">
        <v>563.69859999999994</v>
      </c>
      <c r="D169" s="76">
        <v>496.3621</v>
      </c>
      <c r="E169" s="76">
        <v>67.336500000000001</v>
      </c>
      <c r="F169" s="76">
        <v>276.81349999999998</v>
      </c>
      <c r="G169" s="144">
        <v>3505.8267900000001</v>
      </c>
      <c r="H169" s="144">
        <v>62919.887010000006</v>
      </c>
      <c r="I169" s="76">
        <v>222.00315899999998</v>
      </c>
      <c r="J169" s="76">
        <v>114.542359</v>
      </c>
      <c r="K169" s="76">
        <v>107.46079999999999</v>
      </c>
      <c r="L169" s="76">
        <v>0</v>
      </c>
      <c r="M169" s="76">
        <v>13.738899999999999</v>
      </c>
      <c r="N169" s="76">
        <v>9.1104000000000003</v>
      </c>
    </row>
    <row r="170" spans="1:14" x14ac:dyDescent="0.35">
      <c r="A170" s="61">
        <v>41640</v>
      </c>
      <c r="B170" s="74">
        <v>1305.3561805000004</v>
      </c>
      <c r="C170" s="76">
        <v>699.96098000000006</v>
      </c>
      <c r="D170" s="76">
        <v>625.05697000000009</v>
      </c>
      <c r="E170" s="76">
        <v>74.90401</v>
      </c>
      <c r="F170" s="76">
        <v>351.59541000000002</v>
      </c>
      <c r="G170" s="144">
        <v>3689.3166299999998</v>
      </c>
      <c r="H170" s="144">
        <v>8606.67425</v>
      </c>
      <c r="I170" s="76">
        <v>228.58163050000002</v>
      </c>
      <c r="J170" s="76">
        <v>99.155930499999997</v>
      </c>
      <c r="K170" s="76">
        <v>129.42570000000001</v>
      </c>
      <c r="L170" s="76">
        <v>0</v>
      </c>
      <c r="M170" s="76">
        <v>17.893529999999998</v>
      </c>
      <c r="N170" s="76">
        <v>7.3246299999999991</v>
      </c>
    </row>
    <row r="171" spans="1:14" x14ac:dyDescent="0.35">
      <c r="A171" s="61">
        <v>41671</v>
      </c>
      <c r="B171" s="74">
        <v>986.82683340999995</v>
      </c>
      <c r="C171" s="76">
        <v>542.51710000000003</v>
      </c>
      <c r="D171" s="76">
        <v>485.52134999999998</v>
      </c>
      <c r="E171" s="76">
        <v>56.995750000000001</v>
      </c>
      <c r="F171" s="76">
        <v>203.54504</v>
      </c>
      <c r="G171" s="145">
        <v>11248.64653</v>
      </c>
      <c r="H171" s="145">
        <v>8118.1083199999994</v>
      </c>
      <c r="I171" s="76">
        <v>199.87494341000001</v>
      </c>
      <c r="J171" s="76">
        <v>95.468553409999998</v>
      </c>
      <c r="K171" s="76">
        <v>104.40639</v>
      </c>
      <c r="L171" s="76">
        <v>0</v>
      </c>
      <c r="M171" s="76">
        <v>26.167649999999998</v>
      </c>
      <c r="N171" s="76">
        <v>14.722099999999999</v>
      </c>
    </row>
    <row r="172" spans="1:14" x14ac:dyDescent="0.35">
      <c r="A172" s="61">
        <v>41699</v>
      </c>
      <c r="B172" s="74">
        <v>1066.2825360299998</v>
      </c>
      <c r="C172" s="76">
        <v>527.51438999999993</v>
      </c>
      <c r="D172" s="76">
        <v>467.92722999999995</v>
      </c>
      <c r="E172" s="76">
        <v>59.587159999999997</v>
      </c>
      <c r="F172" s="76">
        <v>297.96724999999998</v>
      </c>
      <c r="G172" s="144">
        <v>96644.384579999998</v>
      </c>
      <c r="H172" s="144">
        <v>19763.878940000002</v>
      </c>
      <c r="I172" s="76">
        <v>207.34984602999998</v>
      </c>
      <c r="J172" s="76">
        <v>92.102726029999999</v>
      </c>
      <c r="K172" s="76">
        <v>115.24712</v>
      </c>
      <c r="L172" s="76">
        <v>0</v>
      </c>
      <c r="M172" s="76">
        <v>21.842700000000001</v>
      </c>
      <c r="N172" s="76">
        <v>11.60835</v>
      </c>
    </row>
    <row r="173" spans="1:14" x14ac:dyDescent="0.35">
      <c r="A173" s="61">
        <v>41730</v>
      </c>
      <c r="B173" s="74">
        <v>1799.2402494999999</v>
      </c>
      <c r="C173" s="76">
        <v>572.77144999999996</v>
      </c>
      <c r="D173" s="76">
        <v>512.62797999999998</v>
      </c>
      <c r="E173" s="76">
        <v>60.143470000000001</v>
      </c>
      <c r="F173" s="76">
        <v>979.57789000000002</v>
      </c>
      <c r="G173" s="144">
        <v>16925.906129999999</v>
      </c>
      <c r="H173" s="144">
        <v>757439.70543000009</v>
      </c>
      <c r="I173" s="76">
        <v>212.3406995</v>
      </c>
      <c r="J173" s="76">
        <v>104.9177595</v>
      </c>
      <c r="K173" s="76">
        <v>107.42294</v>
      </c>
      <c r="L173" s="76">
        <v>0</v>
      </c>
      <c r="M173" s="76">
        <v>22.662389999999998</v>
      </c>
      <c r="N173" s="76">
        <v>11.88782</v>
      </c>
    </row>
    <row r="174" spans="1:14" x14ac:dyDescent="0.35">
      <c r="A174" s="61">
        <v>41760</v>
      </c>
      <c r="B174" s="74">
        <v>1103.0256346599999</v>
      </c>
      <c r="C174" s="76">
        <v>582.08767</v>
      </c>
      <c r="D174" s="76">
        <v>516.89648</v>
      </c>
      <c r="E174" s="76">
        <v>65.191190000000006</v>
      </c>
      <c r="F174" s="76">
        <v>267.42685</v>
      </c>
      <c r="G174" s="144">
        <v>10138.60916</v>
      </c>
      <c r="H174" s="144">
        <v>32844.295399999995</v>
      </c>
      <c r="I174" s="76">
        <v>220.00905466</v>
      </c>
      <c r="J174" s="76">
        <v>123.04627465999999</v>
      </c>
      <c r="K174" s="76">
        <v>96.962779999999995</v>
      </c>
      <c r="L174" s="76">
        <v>0</v>
      </c>
      <c r="M174" s="76">
        <v>21.360140000000001</v>
      </c>
      <c r="N174" s="76">
        <v>12.141919999999999</v>
      </c>
    </row>
    <row r="175" spans="1:14" x14ac:dyDescent="0.35">
      <c r="A175" s="61">
        <v>41791</v>
      </c>
      <c r="B175" s="74">
        <v>1043.5834440000001</v>
      </c>
      <c r="C175" s="76">
        <v>574.59940000000006</v>
      </c>
      <c r="D175" s="76">
        <v>509.86910000000006</v>
      </c>
      <c r="E175" s="76">
        <v>64.7303</v>
      </c>
      <c r="F175" s="76">
        <v>223.47059999999999</v>
      </c>
      <c r="G175" s="144">
        <v>8026.8243600000005</v>
      </c>
      <c r="H175" s="144">
        <v>18718.796190000001</v>
      </c>
      <c r="I175" s="76">
        <v>214.731944</v>
      </c>
      <c r="J175" s="76">
        <v>111.540744</v>
      </c>
      <c r="K175" s="76">
        <v>103.19120000000001</v>
      </c>
      <c r="L175" s="76">
        <v>0</v>
      </c>
      <c r="M175" s="76">
        <v>20.015999999999998</v>
      </c>
      <c r="N175" s="76">
        <v>10.765500000000001</v>
      </c>
    </row>
    <row r="176" spans="1:14" x14ac:dyDescent="0.35">
      <c r="A176" s="61">
        <v>41821</v>
      </c>
      <c r="B176" s="74">
        <v>1272.18227501</v>
      </c>
      <c r="C176" s="76">
        <v>608.44400000000007</v>
      </c>
      <c r="D176" s="76">
        <v>540.74400000000003</v>
      </c>
      <c r="E176" s="76">
        <v>67.7</v>
      </c>
      <c r="F176" s="76">
        <v>403.70429999999999</v>
      </c>
      <c r="G176" s="144">
        <v>7391.2852599999978</v>
      </c>
      <c r="H176" s="144">
        <v>45410.320837765961</v>
      </c>
      <c r="I176" s="76">
        <v>228.08277500999998</v>
      </c>
      <c r="J176" s="76">
        <v>113.44437501</v>
      </c>
      <c r="K176" s="76">
        <v>114.63839999999999</v>
      </c>
      <c r="L176" s="76">
        <v>0</v>
      </c>
      <c r="M176" s="76">
        <v>20.0777</v>
      </c>
      <c r="N176" s="76">
        <v>11.8735</v>
      </c>
    </row>
    <row r="177" spans="1:14" x14ac:dyDescent="0.35">
      <c r="A177" s="61">
        <v>41852</v>
      </c>
      <c r="B177" s="74">
        <v>1114.6738209900002</v>
      </c>
      <c r="C177" s="76">
        <v>592.76260000000002</v>
      </c>
      <c r="D177" s="76">
        <v>523.6028</v>
      </c>
      <c r="E177" s="76">
        <v>69.159800000000004</v>
      </c>
      <c r="F177" s="76">
        <v>253.25799999999998</v>
      </c>
      <c r="G177" s="144">
        <v>7327.7570600000008</v>
      </c>
      <c r="H177" s="144">
        <v>36036.438710000002</v>
      </c>
      <c r="I177" s="76">
        <v>240.39792098999999</v>
      </c>
      <c r="J177" s="76">
        <v>123.59482099</v>
      </c>
      <c r="K177" s="76">
        <v>116.8031</v>
      </c>
      <c r="L177" s="76">
        <v>0</v>
      </c>
      <c r="M177" s="76">
        <v>17.155999999999999</v>
      </c>
      <c r="N177" s="76">
        <v>11.099299999999999</v>
      </c>
    </row>
    <row r="178" spans="1:14" x14ac:dyDescent="0.35">
      <c r="A178" s="61">
        <v>41883</v>
      </c>
      <c r="B178" s="74">
        <v>1229.36804865</v>
      </c>
      <c r="C178" s="76">
        <v>599.97570000000007</v>
      </c>
      <c r="D178" s="76">
        <v>529.19500000000005</v>
      </c>
      <c r="E178" s="76">
        <v>70.780699999999996</v>
      </c>
      <c r="F178" s="76">
        <v>384.48269999999997</v>
      </c>
      <c r="G178" s="144">
        <v>6699.8520300000009</v>
      </c>
      <c r="H178" s="144">
        <v>13692.691059999999</v>
      </c>
      <c r="I178" s="76">
        <v>217.11724865000002</v>
      </c>
      <c r="J178" s="76">
        <v>106.23354865</v>
      </c>
      <c r="K178" s="76">
        <v>110.8837</v>
      </c>
      <c r="L178" s="76">
        <v>0</v>
      </c>
      <c r="M178" s="76">
        <v>17.5654</v>
      </c>
      <c r="N178" s="76">
        <v>10.226999999999999</v>
      </c>
    </row>
    <row r="179" spans="1:14" x14ac:dyDescent="0.35">
      <c r="A179" s="61">
        <v>41913</v>
      </c>
      <c r="B179" s="74">
        <v>1160.66913</v>
      </c>
      <c r="C179" s="76">
        <v>632.4973</v>
      </c>
      <c r="D179" s="76">
        <v>556.94809999999995</v>
      </c>
      <c r="E179" s="76">
        <v>75.549199999999999</v>
      </c>
      <c r="F179" s="76">
        <v>259.3313</v>
      </c>
      <c r="G179" s="144">
        <v>3460.5831499999999</v>
      </c>
      <c r="H179" s="144">
        <v>16618.055319999999</v>
      </c>
      <c r="I179" s="76">
        <v>242.6276</v>
      </c>
      <c r="J179" s="76">
        <v>125.839</v>
      </c>
      <c r="K179" s="76">
        <v>116.7886</v>
      </c>
      <c r="L179" s="76">
        <v>0</v>
      </c>
      <c r="M179" s="76">
        <v>16.203199999999999</v>
      </c>
      <c r="N179" s="76">
        <v>10.009729999999999</v>
      </c>
    </row>
    <row r="180" spans="1:14" x14ac:dyDescent="0.35">
      <c r="A180" s="61">
        <v>41944</v>
      </c>
      <c r="B180" s="74">
        <v>1172.6800999999998</v>
      </c>
      <c r="C180" s="76">
        <v>617.03390000000002</v>
      </c>
      <c r="D180" s="76">
        <v>547.02710000000002</v>
      </c>
      <c r="E180" s="76">
        <v>70.006799999999998</v>
      </c>
      <c r="F180" s="76">
        <v>241.91580000000002</v>
      </c>
      <c r="G180" s="144">
        <v>3065.51325</v>
      </c>
      <c r="H180" s="144">
        <v>23951.745559999999</v>
      </c>
      <c r="I180" s="76">
        <v>290.97710000000001</v>
      </c>
      <c r="J180" s="76">
        <v>128.863</v>
      </c>
      <c r="K180" s="76">
        <v>162.11410000000001</v>
      </c>
      <c r="L180" s="76">
        <v>0</v>
      </c>
      <c r="M180" s="76">
        <v>13.855399999999999</v>
      </c>
      <c r="N180" s="76">
        <v>8.8978999999999999</v>
      </c>
    </row>
    <row r="181" spans="1:14" x14ac:dyDescent="0.35">
      <c r="A181" s="61">
        <v>41974</v>
      </c>
      <c r="B181" s="74">
        <v>1206.0913486900001</v>
      </c>
      <c r="C181" s="76">
        <v>628.6871000000001</v>
      </c>
      <c r="D181" s="76">
        <v>560.22930000000008</v>
      </c>
      <c r="E181" s="76">
        <v>68.457800000000006</v>
      </c>
      <c r="F181" s="76">
        <v>294.42199999999997</v>
      </c>
      <c r="G181" s="144">
        <v>2727.5066299999999</v>
      </c>
      <c r="H181" s="144">
        <v>63467.598210000004</v>
      </c>
      <c r="I181" s="76">
        <v>260.65694868999998</v>
      </c>
      <c r="J181" s="76">
        <v>132.91834868999999</v>
      </c>
      <c r="K181" s="76">
        <v>127.73860000000001</v>
      </c>
      <c r="L181" s="76">
        <v>0</v>
      </c>
      <c r="M181" s="76">
        <v>13.634</v>
      </c>
      <c r="N181" s="76">
        <v>8.6913</v>
      </c>
    </row>
    <row r="182" spans="1:14" x14ac:dyDescent="0.35">
      <c r="A182" s="61">
        <v>42005</v>
      </c>
      <c r="B182" s="74">
        <v>1526.8414473600001</v>
      </c>
      <c r="C182" s="76">
        <v>797.82539999999995</v>
      </c>
      <c r="D182" s="76">
        <v>708.65819999999997</v>
      </c>
      <c r="E182" s="76">
        <v>89.167199999999994</v>
      </c>
      <c r="F182" s="76">
        <v>418.18634736000007</v>
      </c>
      <c r="G182" s="146">
        <v>3375.7167300000001</v>
      </c>
      <c r="H182" s="146">
        <v>9734.41302</v>
      </c>
      <c r="I182" s="76">
        <v>279.40769999999998</v>
      </c>
      <c r="J182" s="76">
        <v>141.20099999999999</v>
      </c>
      <c r="K182" s="76">
        <v>138.20669999999998</v>
      </c>
      <c r="L182" s="76">
        <v>0</v>
      </c>
      <c r="M182" s="76">
        <v>19.952000000000002</v>
      </c>
      <c r="N182" s="76">
        <v>11.47</v>
      </c>
    </row>
    <row r="183" spans="1:14" x14ac:dyDescent="0.35">
      <c r="A183" s="61">
        <v>42036</v>
      </c>
      <c r="B183" s="74">
        <v>1075.30809935</v>
      </c>
      <c r="C183" s="76">
        <v>615.27599999999995</v>
      </c>
      <c r="D183" s="76">
        <v>553.31799999999998</v>
      </c>
      <c r="E183" s="76">
        <v>61.957999999999998</v>
      </c>
      <c r="F183" s="76">
        <v>188.25251135000002</v>
      </c>
      <c r="G183" s="146">
        <v>6796.0005799999999</v>
      </c>
      <c r="H183" s="146">
        <v>6552.457260000001</v>
      </c>
      <c r="I183" s="76">
        <v>230.633588</v>
      </c>
      <c r="J183" s="76">
        <v>115.93458799999999</v>
      </c>
      <c r="K183" s="76">
        <v>114.69900000000001</v>
      </c>
      <c r="L183" s="76">
        <v>0</v>
      </c>
      <c r="M183" s="76">
        <v>25.41</v>
      </c>
      <c r="N183" s="76">
        <v>15.736000000000001</v>
      </c>
    </row>
    <row r="184" spans="1:14" x14ac:dyDescent="0.35">
      <c r="A184" s="61">
        <v>42064</v>
      </c>
      <c r="B184" s="74">
        <v>1227.1184846476001</v>
      </c>
      <c r="C184" s="76">
        <v>606.24699999999996</v>
      </c>
      <c r="D184" s="76">
        <v>540.58499999999992</v>
      </c>
      <c r="E184" s="76">
        <v>65.662000000000006</v>
      </c>
      <c r="F184" s="76">
        <v>313.44998156759999</v>
      </c>
      <c r="G184" s="146">
        <v>110930.87500999999</v>
      </c>
      <c r="H184" s="146">
        <v>22985.352557599999</v>
      </c>
      <c r="I184" s="76">
        <v>269.53580307999999</v>
      </c>
      <c r="J184" s="76">
        <v>149.39380308</v>
      </c>
      <c r="K184" s="76">
        <v>120.142</v>
      </c>
      <c r="L184" s="76">
        <v>0</v>
      </c>
      <c r="M184" s="76">
        <v>24.387</v>
      </c>
      <c r="N184" s="76">
        <v>13.498699999999999</v>
      </c>
    </row>
    <row r="185" spans="1:14" x14ac:dyDescent="0.35">
      <c r="A185" s="61">
        <v>42095</v>
      </c>
      <c r="B185" s="74">
        <v>1920.9754206200002</v>
      </c>
      <c r="C185" s="76">
        <v>631.678</v>
      </c>
      <c r="D185" s="76">
        <v>564.49</v>
      </c>
      <c r="E185" s="76">
        <v>67.188000000000002</v>
      </c>
      <c r="F185" s="76">
        <v>983.2310662299999</v>
      </c>
      <c r="G185" s="146">
        <v>9793.6206061000012</v>
      </c>
      <c r="H185" s="146">
        <v>794991.09444999986</v>
      </c>
      <c r="I185" s="76">
        <v>270.50235439000005</v>
      </c>
      <c r="J185" s="76">
        <v>164.09055439000002</v>
      </c>
      <c r="K185" s="76">
        <v>106.4118</v>
      </c>
      <c r="L185" s="76">
        <v>0</v>
      </c>
      <c r="M185" s="76">
        <v>22.38</v>
      </c>
      <c r="N185" s="76">
        <v>13.183999999999999</v>
      </c>
    </row>
    <row r="186" spans="1:14" x14ac:dyDescent="0.35">
      <c r="A186" s="61">
        <v>42125</v>
      </c>
      <c r="B186" s="74">
        <v>1200.36519759</v>
      </c>
      <c r="C186" s="76">
        <v>557.59199999999998</v>
      </c>
      <c r="D186" s="76">
        <v>497.31</v>
      </c>
      <c r="E186" s="76">
        <v>60.281999999999996</v>
      </c>
      <c r="F186" s="76">
        <v>316.37058658999996</v>
      </c>
      <c r="G186" s="146">
        <v>7862.2174001000003</v>
      </c>
      <c r="H186" s="146">
        <v>55698.557842199996</v>
      </c>
      <c r="I186" s="76">
        <v>295.55661099999998</v>
      </c>
      <c r="J186" s="76">
        <v>192.586611</v>
      </c>
      <c r="K186" s="76">
        <v>102.97</v>
      </c>
      <c r="L186" s="76">
        <v>0</v>
      </c>
      <c r="M186" s="76">
        <v>19.417000000000002</v>
      </c>
      <c r="N186" s="76">
        <v>11.429</v>
      </c>
    </row>
    <row r="187" spans="1:14" x14ac:dyDescent="0.35">
      <c r="A187" s="61">
        <v>42156</v>
      </c>
      <c r="B187" s="74">
        <v>1187.3127854699999</v>
      </c>
      <c r="C187" s="76">
        <v>553.54899999999998</v>
      </c>
      <c r="D187" s="76">
        <v>480.36500000000001</v>
      </c>
      <c r="E187" s="76">
        <v>73.183999999999997</v>
      </c>
      <c r="F187" s="76">
        <v>317.41656324000002</v>
      </c>
      <c r="G187" s="146">
        <v>8512.9699576000003</v>
      </c>
      <c r="H187" s="146">
        <v>90708.233846000003</v>
      </c>
      <c r="I187" s="76">
        <v>285.61722222999998</v>
      </c>
      <c r="J187" s="76">
        <v>189.66822223</v>
      </c>
      <c r="K187" s="76">
        <v>95.948999999999998</v>
      </c>
      <c r="L187" s="76">
        <v>0</v>
      </c>
      <c r="M187" s="76">
        <v>19.035</v>
      </c>
      <c r="N187" s="76">
        <v>11.695</v>
      </c>
    </row>
    <row r="188" spans="1:14" x14ac:dyDescent="0.35">
      <c r="A188" s="61">
        <v>42186</v>
      </c>
      <c r="B188" s="74">
        <v>1938.2205153</v>
      </c>
      <c r="C188" s="76">
        <v>671.57600000000002</v>
      </c>
      <c r="D188" s="76">
        <v>555.38</v>
      </c>
      <c r="E188" s="76">
        <v>116.196</v>
      </c>
      <c r="F188" s="76">
        <v>906.83771024999999</v>
      </c>
      <c r="G188" s="146">
        <v>31052.279140000002</v>
      </c>
      <c r="H188" s="146">
        <v>585551.90843289997</v>
      </c>
      <c r="I188" s="76">
        <v>325.89480505</v>
      </c>
      <c r="J188" s="76">
        <v>196.11880504999999</v>
      </c>
      <c r="K188" s="76">
        <v>129.77600000000001</v>
      </c>
      <c r="L188" s="76">
        <v>0</v>
      </c>
      <c r="M188" s="76">
        <v>20.010000000000002</v>
      </c>
      <c r="N188" s="76">
        <v>13.901999999999999</v>
      </c>
    </row>
    <row r="189" spans="1:14" x14ac:dyDescent="0.35">
      <c r="A189" s="61">
        <v>42217</v>
      </c>
      <c r="B189" s="74">
        <v>1092.90838945</v>
      </c>
      <c r="C189" s="76">
        <v>561.28399999999999</v>
      </c>
      <c r="D189" s="76">
        <v>497.38</v>
      </c>
      <c r="E189" s="76">
        <v>63.904000000000003</v>
      </c>
      <c r="F189" s="76">
        <v>225.47353578999994</v>
      </c>
      <c r="G189" s="146">
        <v>2575.5668360000004</v>
      </c>
      <c r="H189" s="146">
        <v>13689.499659999999</v>
      </c>
      <c r="I189" s="76">
        <v>280.40985365999995</v>
      </c>
      <c r="J189" s="76">
        <v>178.04785365999999</v>
      </c>
      <c r="K189" s="76">
        <v>102.36199999999999</v>
      </c>
      <c r="L189" s="76">
        <v>0</v>
      </c>
      <c r="M189" s="76">
        <v>15.885999999999999</v>
      </c>
      <c r="N189" s="76">
        <v>9.8550000000000004</v>
      </c>
    </row>
    <row r="190" spans="1:14" x14ac:dyDescent="0.35">
      <c r="A190" s="61">
        <v>42248</v>
      </c>
      <c r="B190" s="74">
        <v>1227.4140000000002</v>
      </c>
      <c r="C190" s="76">
        <v>558.846</v>
      </c>
      <c r="D190" s="76">
        <v>500.26400000000001</v>
      </c>
      <c r="E190" s="76">
        <v>58.582000000000001</v>
      </c>
      <c r="F190" s="76">
        <v>359.12200000000001</v>
      </c>
      <c r="G190" s="146">
        <v>3751.0950727999989</v>
      </c>
      <c r="H190" s="146">
        <v>30481.042329800013</v>
      </c>
      <c r="I190" s="76">
        <v>284.37900000000002</v>
      </c>
      <c r="J190" s="76">
        <v>186.86</v>
      </c>
      <c r="K190" s="76">
        <v>97.519000000000005</v>
      </c>
      <c r="L190" s="76">
        <v>0</v>
      </c>
      <c r="M190" s="76">
        <v>15.598000000000001</v>
      </c>
      <c r="N190" s="76">
        <v>9.4689999999999994</v>
      </c>
    </row>
    <row r="191" spans="1:14" x14ac:dyDescent="0.35">
      <c r="A191" s="61">
        <v>42278</v>
      </c>
      <c r="B191" s="74">
        <v>1075.1919279700001</v>
      </c>
      <c r="C191" s="76">
        <v>539.59199999999998</v>
      </c>
      <c r="D191" s="76">
        <v>479.93099999999998</v>
      </c>
      <c r="E191" s="76">
        <v>59.661000000000001</v>
      </c>
      <c r="F191" s="76">
        <v>236.251</v>
      </c>
      <c r="G191" s="146">
        <v>2586.0553442999994</v>
      </c>
      <c r="H191" s="146">
        <v>13346.440893400002</v>
      </c>
      <c r="I191" s="76">
        <v>276.95192796999999</v>
      </c>
      <c r="J191" s="76">
        <v>176.56192797</v>
      </c>
      <c r="K191" s="76">
        <v>100.39</v>
      </c>
      <c r="L191" s="76">
        <v>0</v>
      </c>
      <c r="M191" s="76">
        <v>13.564</v>
      </c>
      <c r="N191" s="76">
        <v>8.8330000000000002</v>
      </c>
    </row>
    <row r="192" spans="1:14" x14ac:dyDescent="0.35">
      <c r="A192" s="61">
        <v>42309</v>
      </c>
      <c r="B192" s="74">
        <v>1073.69842743</v>
      </c>
      <c r="C192" s="76">
        <v>568.52499999999998</v>
      </c>
      <c r="D192" s="76">
        <v>504.31200000000001</v>
      </c>
      <c r="E192" s="76">
        <v>64.212999999999994</v>
      </c>
      <c r="F192" s="76">
        <v>228.80699999999999</v>
      </c>
      <c r="G192" s="146">
        <v>2455.8344323000006</v>
      </c>
      <c r="H192" s="146">
        <v>7786.1693390999972</v>
      </c>
      <c r="I192" s="76">
        <v>255.91442742999999</v>
      </c>
      <c r="J192" s="76">
        <v>167.67842743</v>
      </c>
      <c r="K192" s="76">
        <v>88.236000000000004</v>
      </c>
      <c r="L192" s="76">
        <v>0</v>
      </c>
      <c r="M192" s="76">
        <v>12.664999999999999</v>
      </c>
      <c r="N192" s="76">
        <v>7.7869999999999999</v>
      </c>
    </row>
    <row r="193" spans="1:14" x14ac:dyDescent="0.35">
      <c r="A193" s="61">
        <v>42339</v>
      </c>
      <c r="B193" s="74">
        <v>1042.9281101399999</v>
      </c>
      <c r="C193" s="76">
        <v>529.99</v>
      </c>
      <c r="D193" s="76">
        <v>470.34399999999999</v>
      </c>
      <c r="E193" s="76">
        <v>59.646000000000001</v>
      </c>
      <c r="F193" s="76">
        <v>240.7595</v>
      </c>
      <c r="G193" s="146">
        <v>2655.9513477000005</v>
      </c>
      <c r="H193" s="146">
        <v>23895.763020000002</v>
      </c>
      <c r="I193" s="76">
        <v>248.83961013999999</v>
      </c>
      <c r="J193" s="76">
        <v>167.57961014</v>
      </c>
      <c r="K193" s="76">
        <v>81.260000000000005</v>
      </c>
      <c r="L193" s="76">
        <v>0</v>
      </c>
      <c r="M193" s="76">
        <v>14.763</v>
      </c>
      <c r="N193" s="76">
        <v>8.5760000000000005</v>
      </c>
    </row>
    <row r="194" spans="1:14" x14ac:dyDescent="0.35">
      <c r="A194" s="61">
        <v>42370</v>
      </c>
      <c r="B194" s="74">
        <v>1291.4777003651998</v>
      </c>
      <c r="C194" s="76">
        <v>663.71006999999997</v>
      </c>
      <c r="D194" s="76">
        <v>581.35216000000003</v>
      </c>
      <c r="E194" s="76">
        <v>82.35790999999999</v>
      </c>
      <c r="F194" s="76">
        <v>318.54962687520003</v>
      </c>
      <c r="G194" s="147">
        <v>2165.1048000000001</v>
      </c>
      <c r="H194" s="147">
        <v>6224.4222900000013</v>
      </c>
      <c r="I194" s="76">
        <v>221.35023817999999</v>
      </c>
      <c r="J194" s="76">
        <v>138.681466</v>
      </c>
      <c r="K194" s="76">
        <v>82.668772179999991</v>
      </c>
      <c r="L194" s="76">
        <v>0</v>
      </c>
      <c r="M194" s="76">
        <v>12.008145310000002</v>
      </c>
      <c r="N194" s="76">
        <v>75.859619999999993</v>
      </c>
    </row>
    <row r="195" spans="1:14" x14ac:dyDescent="0.35">
      <c r="A195" s="61">
        <v>42401</v>
      </c>
      <c r="B195" s="74">
        <v>869.59989318999988</v>
      </c>
      <c r="C195" s="76">
        <v>451.44547999999998</v>
      </c>
      <c r="D195" s="76">
        <v>401.25304999999997</v>
      </c>
      <c r="E195" s="76">
        <v>50.192430000000002</v>
      </c>
      <c r="F195" s="76">
        <v>180.87045999999998</v>
      </c>
      <c r="G195" s="147">
        <v>4280.6928300000009</v>
      </c>
      <c r="H195" s="147">
        <v>12763.363787199956</v>
      </c>
      <c r="I195" s="76">
        <v>186.42727285000001</v>
      </c>
      <c r="J195" s="76">
        <v>116.29053721</v>
      </c>
      <c r="K195" s="76">
        <v>70.136735639999998</v>
      </c>
      <c r="L195" s="76">
        <v>0</v>
      </c>
      <c r="M195" s="76">
        <v>20.498010339999997</v>
      </c>
      <c r="N195" s="76">
        <v>30.35867</v>
      </c>
    </row>
    <row r="196" spans="1:14" x14ac:dyDescent="0.35">
      <c r="A196" s="61">
        <v>42430</v>
      </c>
      <c r="B196" s="74">
        <v>1030.3915109899999</v>
      </c>
      <c r="C196" s="76">
        <v>461.16876999999999</v>
      </c>
      <c r="D196" s="76">
        <v>413.80417999999997</v>
      </c>
      <c r="E196" s="76">
        <v>47.364590000000007</v>
      </c>
      <c r="F196" s="76">
        <v>328.62600000000003</v>
      </c>
      <c r="G196" s="147">
        <v>105629.85159000001</v>
      </c>
      <c r="H196" s="147">
        <v>57698.30618919999</v>
      </c>
      <c r="I196" s="76">
        <v>180.63042408000001</v>
      </c>
      <c r="J196" s="76">
        <v>120.87638408000001</v>
      </c>
      <c r="K196" s="76">
        <v>59.754039999999996</v>
      </c>
      <c r="L196" s="76">
        <v>0</v>
      </c>
      <c r="M196" s="76">
        <v>20.37331691</v>
      </c>
      <c r="N196" s="76">
        <v>39.592999999999996</v>
      </c>
    </row>
    <row r="197" spans="1:14" x14ac:dyDescent="0.35">
      <c r="A197" s="61">
        <v>42461</v>
      </c>
      <c r="B197" s="74">
        <v>1483.1992268500003</v>
      </c>
      <c r="C197" s="76">
        <v>466.30957000000001</v>
      </c>
      <c r="D197" s="76">
        <v>406.38758000000001</v>
      </c>
      <c r="E197" s="76">
        <v>59.921990000000001</v>
      </c>
      <c r="F197" s="76">
        <v>778.82269000000008</v>
      </c>
      <c r="G197" s="147">
        <v>12507.755190000002</v>
      </c>
      <c r="H197" s="147">
        <v>674192.11207999988</v>
      </c>
      <c r="I197" s="76">
        <v>191.78600109000001</v>
      </c>
      <c r="J197" s="76">
        <v>122.43216108999999</v>
      </c>
      <c r="K197" s="76">
        <v>69.353840000000005</v>
      </c>
      <c r="L197" s="76">
        <v>0</v>
      </c>
      <c r="M197" s="76">
        <v>17.799685759999999</v>
      </c>
      <c r="N197" s="76">
        <v>28.481279999999998</v>
      </c>
    </row>
    <row r="198" spans="1:14" x14ac:dyDescent="0.35">
      <c r="A198" s="61">
        <v>42491</v>
      </c>
      <c r="B198" s="74">
        <v>931.39795335000008</v>
      </c>
      <c r="C198" s="76">
        <v>465.75209999999998</v>
      </c>
      <c r="D198" s="76">
        <v>409.48552999999998</v>
      </c>
      <c r="E198" s="76">
        <v>56.266570000000002</v>
      </c>
      <c r="F198" s="76">
        <v>238.13593</v>
      </c>
      <c r="G198" s="147">
        <v>6256.5806799999991</v>
      </c>
      <c r="H198" s="147">
        <v>32395.458536000002</v>
      </c>
      <c r="I198" s="76">
        <v>184.91604541000001</v>
      </c>
      <c r="J198" s="76">
        <v>124.78197541</v>
      </c>
      <c r="K198" s="76">
        <v>60.134070000000001</v>
      </c>
      <c r="L198" s="76">
        <v>0</v>
      </c>
      <c r="M198" s="76">
        <v>17.777257939999998</v>
      </c>
      <c r="N198" s="76">
        <v>24.81662</v>
      </c>
    </row>
    <row r="199" spans="1:14" x14ac:dyDescent="0.35">
      <c r="A199" s="61">
        <v>42522</v>
      </c>
      <c r="B199" s="74">
        <v>1154.1407470400002</v>
      </c>
      <c r="C199" s="76">
        <v>513.15209000000004</v>
      </c>
      <c r="D199" s="76">
        <v>453.40694999999999</v>
      </c>
      <c r="E199" s="76">
        <v>59.745139999999999</v>
      </c>
      <c r="F199" s="76">
        <v>212.18038000000001</v>
      </c>
      <c r="G199" s="147">
        <v>5405.5838800000001</v>
      </c>
      <c r="H199" s="147">
        <v>16546.691999999999</v>
      </c>
      <c r="I199" s="76">
        <v>186.89728703999998</v>
      </c>
      <c r="J199" s="76">
        <v>122.79205704</v>
      </c>
      <c r="K199" s="76">
        <v>64.105229999999992</v>
      </c>
      <c r="L199" s="76">
        <v>0</v>
      </c>
      <c r="M199" s="76">
        <v>17.728999999999999</v>
      </c>
      <c r="N199" s="76">
        <v>224.18198999999998</v>
      </c>
    </row>
    <row r="200" spans="1:14" x14ac:dyDescent="0.35">
      <c r="A200" s="61">
        <v>42552</v>
      </c>
      <c r="B200" s="74">
        <v>1332.7680418099999</v>
      </c>
      <c r="C200" s="76">
        <v>494.68110000000001</v>
      </c>
      <c r="D200" s="76">
        <v>418.03235000000001</v>
      </c>
      <c r="E200" s="76">
        <v>76.648749999999993</v>
      </c>
      <c r="F200" s="76">
        <v>320.74083642999994</v>
      </c>
      <c r="G200" s="147">
        <v>4379.1528200000002</v>
      </c>
      <c r="H200" s="147">
        <v>25911.516790000005</v>
      </c>
      <c r="I200" s="76">
        <v>203.92329537999998</v>
      </c>
      <c r="J200" s="76">
        <v>130.29650537999999</v>
      </c>
      <c r="K200" s="76">
        <v>73.62679</v>
      </c>
      <c r="L200" s="76">
        <v>0</v>
      </c>
      <c r="M200" s="76">
        <v>15.313359999999999</v>
      </c>
      <c r="N200" s="76">
        <v>298.10944999999998</v>
      </c>
    </row>
    <row r="201" spans="1:14" x14ac:dyDescent="0.35">
      <c r="A201" s="61">
        <v>42583</v>
      </c>
      <c r="B201" s="74">
        <v>1278.7884642190002</v>
      </c>
      <c r="C201" s="76">
        <v>531.88525000000004</v>
      </c>
      <c r="D201" s="76">
        <v>465.56085000000002</v>
      </c>
      <c r="E201" s="76">
        <v>66.324399999999997</v>
      </c>
      <c r="F201" s="76">
        <v>219.18910000000002</v>
      </c>
      <c r="G201" s="147">
        <v>4250.5841500000006</v>
      </c>
      <c r="H201" s="147">
        <v>13703.04261</v>
      </c>
      <c r="I201" s="76">
        <v>207.00231107999997</v>
      </c>
      <c r="J201" s="76">
        <v>143.50138107999999</v>
      </c>
      <c r="K201" s="76">
        <v>63.500929999999997</v>
      </c>
      <c r="L201" s="76">
        <v>0</v>
      </c>
      <c r="M201" s="76">
        <v>16.753229999999999</v>
      </c>
      <c r="N201" s="76">
        <v>303.95857313900001</v>
      </c>
    </row>
    <row r="202" spans="1:14" x14ac:dyDescent="0.35">
      <c r="A202" s="61">
        <v>42614</v>
      </c>
      <c r="B202" s="74">
        <v>1184.60079864</v>
      </c>
      <c r="C202" s="76">
        <v>491.77593999999999</v>
      </c>
      <c r="D202" s="76">
        <v>424.89512000000002</v>
      </c>
      <c r="E202" s="76">
        <v>66.88082</v>
      </c>
      <c r="F202" s="76">
        <v>329.12299999999999</v>
      </c>
      <c r="G202" s="147">
        <v>3798.4950600000002</v>
      </c>
      <c r="H202" s="147">
        <v>18384.780919999997</v>
      </c>
      <c r="I202" s="76">
        <v>212.09042863999997</v>
      </c>
      <c r="J202" s="76">
        <v>140.97602863999998</v>
      </c>
      <c r="K202" s="76">
        <v>71.114400000000003</v>
      </c>
      <c r="L202" s="76">
        <v>0</v>
      </c>
      <c r="M202" s="76">
        <v>14.738</v>
      </c>
      <c r="N202" s="76">
        <v>136.87342999999998</v>
      </c>
    </row>
    <row r="203" spans="1:14" x14ac:dyDescent="0.35">
      <c r="A203" s="61">
        <v>42644</v>
      </c>
      <c r="B203" s="74">
        <v>1169.7673287099999</v>
      </c>
      <c r="C203" s="76">
        <v>567.18401999999992</v>
      </c>
      <c r="D203" s="76">
        <v>482.37039999999996</v>
      </c>
      <c r="E203" s="76">
        <v>84.81362</v>
      </c>
      <c r="F203" s="76">
        <v>246.28507000000002</v>
      </c>
      <c r="G203" s="147">
        <v>4784.1111300000011</v>
      </c>
      <c r="H203" s="147">
        <v>31799.280479999979</v>
      </c>
      <c r="I203" s="76">
        <v>224.28673870999998</v>
      </c>
      <c r="J203" s="76">
        <v>159.77922870999998</v>
      </c>
      <c r="K203" s="76">
        <v>64.507509999999996</v>
      </c>
      <c r="L203" s="76">
        <v>0</v>
      </c>
      <c r="M203" s="76">
        <v>13.93487</v>
      </c>
      <c r="N203" s="76">
        <v>118.07662999999999</v>
      </c>
    </row>
    <row r="204" spans="1:14" x14ac:dyDescent="0.35">
      <c r="A204" s="61">
        <v>42675</v>
      </c>
      <c r="B204" s="74">
        <v>1100.2996739999999</v>
      </c>
      <c r="C204" s="76">
        <v>530.91687999999999</v>
      </c>
      <c r="D204" s="76">
        <v>457.52641999999997</v>
      </c>
      <c r="E204" s="76">
        <v>73.390460000000004</v>
      </c>
      <c r="F204" s="76">
        <v>220.69154</v>
      </c>
      <c r="G204" s="147">
        <v>5067.4347400000015</v>
      </c>
      <c r="H204" s="147">
        <v>14037.565389999923</v>
      </c>
      <c r="I204" s="76">
        <v>217.489464</v>
      </c>
      <c r="J204" s="76">
        <v>154.27159399999999</v>
      </c>
      <c r="K204" s="76">
        <v>63.217869999999998</v>
      </c>
      <c r="L204" s="76">
        <v>0</v>
      </c>
      <c r="M204" s="76">
        <v>13.661</v>
      </c>
      <c r="N204" s="76">
        <v>117.54079</v>
      </c>
    </row>
    <row r="205" spans="1:14" x14ac:dyDescent="0.35">
      <c r="A205" s="61">
        <v>42705</v>
      </c>
      <c r="B205" s="74">
        <v>1190.9909474923968</v>
      </c>
      <c r="C205" s="76">
        <v>551.31625278685806</v>
      </c>
      <c r="D205" s="76">
        <v>485.60565691446101</v>
      </c>
      <c r="E205" s="76">
        <v>65.710595872396993</v>
      </c>
      <c r="F205" s="76">
        <v>246.45166857000001</v>
      </c>
      <c r="G205" s="147">
        <v>5194.8992799999996</v>
      </c>
      <c r="H205" s="147">
        <v>39321.531020000068</v>
      </c>
      <c r="I205" s="76">
        <v>230.75416322000001</v>
      </c>
      <c r="J205" s="76">
        <v>157.99125699000001</v>
      </c>
      <c r="K205" s="76">
        <v>72.762906229999999</v>
      </c>
      <c r="L205" s="76">
        <v>0</v>
      </c>
      <c r="M205" s="76">
        <v>14.088749999999999</v>
      </c>
      <c r="N205" s="76">
        <v>148.3801129155388</v>
      </c>
    </row>
    <row r="206" spans="1:14" x14ac:dyDescent="0.35">
      <c r="A206" s="61">
        <v>42736</v>
      </c>
      <c r="B206" s="74">
        <v>1405.8596340616198</v>
      </c>
      <c r="C206" s="76">
        <v>742.11604799162001</v>
      </c>
      <c r="D206" s="76">
        <v>652.27150124161994</v>
      </c>
      <c r="E206" s="76">
        <v>89.844546750000006</v>
      </c>
      <c r="F206" s="76">
        <v>308.43684178000001</v>
      </c>
      <c r="G206" s="147">
        <v>4574.5780599999944</v>
      </c>
      <c r="H206" s="147">
        <v>24854.670579999987</v>
      </c>
      <c r="I206" s="76">
        <v>219.48745603</v>
      </c>
      <c r="J206" s="76">
        <v>136.24335603</v>
      </c>
      <c r="K206" s="76">
        <v>83.244100000000003</v>
      </c>
      <c r="L206" s="76">
        <v>0</v>
      </c>
      <c r="M206" s="76">
        <v>14.001708259999999</v>
      </c>
      <c r="N206" s="76">
        <v>121.81757999999999</v>
      </c>
    </row>
    <row r="207" spans="1:14" x14ac:dyDescent="0.35">
      <c r="A207" s="61">
        <v>42767</v>
      </c>
      <c r="B207" s="74">
        <v>982.30564275408142</v>
      </c>
      <c r="C207" s="76">
        <v>479.904815426082</v>
      </c>
      <c r="D207" s="76">
        <v>415.516153806082</v>
      </c>
      <c r="E207" s="76">
        <v>64.388661619999993</v>
      </c>
      <c r="F207" s="76">
        <v>202.35499999999999</v>
      </c>
      <c r="G207" s="147">
        <v>8187.7850100000132</v>
      </c>
      <c r="H207" s="147">
        <v>38027.773430000001</v>
      </c>
      <c r="I207" s="76">
        <v>187.59230402</v>
      </c>
      <c r="J207" s="76">
        <v>117.69930402</v>
      </c>
      <c r="K207" s="76">
        <v>69.893000000000001</v>
      </c>
      <c r="L207" s="76">
        <v>0</v>
      </c>
      <c r="M207" s="76">
        <v>19.433489999999999</v>
      </c>
      <c r="N207" s="76">
        <v>93.020033307999398</v>
      </c>
    </row>
    <row r="208" spans="1:14" x14ac:dyDescent="0.35">
      <c r="A208" s="61">
        <v>42795</v>
      </c>
      <c r="B208" s="74">
        <v>1129.2680515695622</v>
      </c>
      <c r="C208" s="76">
        <v>522.96134733956205</v>
      </c>
      <c r="D208" s="76">
        <v>458.90134733956199</v>
      </c>
      <c r="E208" s="76">
        <v>64.06</v>
      </c>
      <c r="F208" s="76">
        <v>287.64860984000001</v>
      </c>
      <c r="G208" s="147">
        <v>97999.250900000188</v>
      </c>
      <c r="H208" s="147">
        <v>29229.739840000006</v>
      </c>
      <c r="I208" s="76">
        <v>193.90209439</v>
      </c>
      <c r="J208" s="76">
        <v>137.14809439000001</v>
      </c>
      <c r="K208" s="76">
        <v>56.753999999999998</v>
      </c>
      <c r="L208" s="76">
        <v>0</v>
      </c>
      <c r="M208" s="76">
        <v>19.32</v>
      </c>
      <c r="N208" s="76">
        <v>105.43600000000001</v>
      </c>
    </row>
    <row r="209" spans="1:14" x14ac:dyDescent="0.35">
      <c r="A209" s="61">
        <v>42826</v>
      </c>
      <c r="B209" s="74">
        <v>1733.2872694800028</v>
      </c>
      <c r="C209" s="76">
        <v>551.45100000000002</v>
      </c>
      <c r="D209" s="76">
        <v>477.60700000000003</v>
      </c>
      <c r="E209" s="76">
        <v>73.843999999999994</v>
      </c>
      <c r="F209" s="76">
        <v>883.03400348000298</v>
      </c>
      <c r="G209" s="147">
        <v>14860.479599999995</v>
      </c>
      <c r="H209" s="147">
        <v>729569.82085000048</v>
      </c>
      <c r="I209" s="76">
        <v>184.49954600000001</v>
      </c>
      <c r="J209" s="76">
        <v>112.993336</v>
      </c>
      <c r="K209" s="76">
        <v>71.506209999999996</v>
      </c>
      <c r="L209" s="76">
        <v>0</v>
      </c>
      <c r="M209" s="76">
        <v>17.04372</v>
      </c>
      <c r="N209" s="76">
        <v>97.259000000000015</v>
      </c>
    </row>
    <row r="210" spans="1:14" x14ac:dyDescent="0.35">
      <c r="A210" s="61">
        <v>42856</v>
      </c>
      <c r="B210" s="74">
        <v>1086.7745920500001</v>
      </c>
      <c r="C210" s="76">
        <v>554.42399999999998</v>
      </c>
      <c r="D210" s="76">
        <v>480.86099999999999</v>
      </c>
      <c r="E210" s="76">
        <v>73.563000000000002</v>
      </c>
      <c r="F210" s="76">
        <v>235.29900000000001</v>
      </c>
      <c r="G210" s="147">
        <v>8936.9621000000043</v>
      </c>
      <c r="H210" s="147">
        <v>27562.009530000007</v>
      </c>
      <c r="I210" s="76">
        <v>178.09459205000002</v>
      </c>
      <c r="J210" s="76">
        <v>111.68259205000001</v>
      </c>
      <c r="K210" s="76">
        <v>66.412000000000006</v>
      </c>
      <c r="L210" s="76">
        <v>0</v>
      </c>
      <c r="M210" s="76">
        <v>18.663</v>
      </c>
      <c r="N210" s="76">
        <v>100.294</v>
      </c>
    </row>
    <row r="211" spans="1:14" x14ac:dyDescent="0.35">
      <c r="A211" s="61">
        <v>42887</v>
      </c>
      <c r="B211" s="74">
        <v>1107.9284378200002</v>
      </c>
      <c r="C211" s="76">
        <v>567.31564000000003</v>
      </c>
      <c r="D211" s="76">
        <v>487.95400000000006</v>
      </c>
      <c r="E211" s="76">
        <v>79.361639999999994</v>
      </c>
      <c r="F211" s="76">
        <v>232.77600000000001</v>
      </c>
      <c r="G211" s="147">
        <v>7179.6238200000053</v>
      </c>
      <c r="H211" s="147">
        <v>21643.970049999996</v>
      </c>
      <c r="I211" s="76">
        <v>197.96383781999998</v>
      </c>
      <c r="J211" s="76">
        <v>115.94683782</v>
      </c>
      <c r="K211" s="76">
        <v>82.016999999999996</v>
      </c>
      <c r="L211" s="76">
        <v>0</v>
      </c>
      <c r="M211" s="76">
        <v>17.486560000000001</v>
      </c>
      <c r="N211" s="76">
        <v>92.386399999999995</v>
      </c>
    </row>
    <row r="212" spans="1:14" x14ac:dyDescent="0.35">
      <c r="A212" s="61">
        <v>42917</v>
      </c>
      <c r="B212" s="74">
        <v>1145.85661579</v>
      </c>
      <c r="C212" s="76">
        <v>577.75300000000004</v>
      </c>
      <c r="D212" s="76">
        <v>495.892</v>
      </c>
      <c r="E212" s="76">
        <v>81.861000000000004</v>
      </c>
      <c r="F212" s="76">
        <v>321.51600000000002</v>
      </c>
      <c r="G212" s="147">
        <v>5991.8054899999961</v>
      </c>
      <c r="H212" s="147">
        <v>14680.292140000003</v>
      </c>
      <c r="I212" s="76">
        <v>199.92487578999999</v>
      </c>
      <c r="J212" s="76">
        <v>114.61887579</v>
      </c>
      <c r="K212" s="76">
        <v>85.305999999999997</v>
      </c>
      <c r="L212" s="76">
        <v>0</v>
      </c>
      <c r="M212" s="76">
        <v>16.440999999999999</v>
      </c>
      <c r="N212" s="76">
        <v>30.22174</v>
      </c>
    </row>
    <row r="213" spans="1:14" x14ac:dyDescent="0.35">
      <c r="A213" s="61">
        <v>42948</v>
      </c>
      <c r="B213" s="74">
        <v>1048.8194349999999</v>
      </c>
      <c r="C213" s="76">
        <v>580.54530999999997</v>
      </c>
      <c r="D213" s="76">
        <v>501.303</v>
      </c>
      <c r="E213" s="76">
        <v>79.242310000000003</v>
      </c>
      <c r="F213" s="76">
        <v>222.88067000000001</v>
      </c>
      <c r="G213" s="147">
        <v>5254.3955900000019</v>
      </c>
      <c r="H213" s="147">
        <v>17129.183160000004</v>
      </c>
      <c r="I213" s="76">
        <v>199.48389499999999</v>
      </c>
      <c r="J213" s="76">
        <v>124.22265499999999</v>
      </c>
      <c r="K213" s="76">
        <v>75.261240000000001</v>
      </c>
      <c r="L213" s="76">
        <v>0</v>
      </c>
      <c r="M213" s="76">
        <v>16.336449999999999</v>
      </c>
      <c r="N213" s="76">
        <v>29.57311</v>
      </c>
    </row>
    <row r="214" spans="1:14" x14ac:dyDescent="0.35">
      <c r="A214" s="61">
        <v>42979</v>
      </c>
      <c r="B214" s="74">
        <v>1150.9685872899997</v>
      </c>
      <c r="C214" s="76">
        <v>559.94260999999995</v>
      </c>
      <c r="D214" s="76">
        <v>479.42099999999999</v>
      </c>
      <c r="E214" s="76">
        <v>80.521609999999995</v>
      </c>
      <c r="F214" s="76">
        <v>342.41651000000002</v>
      </c>
      <c r="G214" s="147">
        <v>4917.7637999999997</v>
      </c>
      <c r="H214" s="147">
        <v>17599.218119999998</v>
      </c>
      <c r="I214" s="76">
        <v>200.87750728999998</v>
      </c>
      <c r="J214" s="76">
        <v>116.34654729</v>
      </c>
      <c r="K214" s="76">
        <v>84.530959999999993</v>
      </c>
      <c r="L214" s="76">
        <v>0</v>
      </c>
      <c r="M214" s="76">
        <v>13.82981</v>
      </c>
      <c r="N214" s="76">
        <v>33.902149999999999</v>
      </c>
    </row>
    <row r="215" spans="1:14" x14ac:dyDescent="0.35">
      <c r="A215" s="61">
        <v>43009</v>
      </c>
      <c r="B215" s="74">
        <v>1063.804022286</v>
      </c>
      <c r="C215" s="76">
        <v>571.5382803</v>
      </c>
      <c r="D215" s="76">
        <v>494.66500000000002</v>
      </c>
      <c r="E215" s="76">
        <v>76.873280300000005</v>
      </c>
      <c r="F215" s="76">
        <v>241.63200000000001</v>
      </c>
      <c r="G215" s="147">
        <v>5822.7507599999999</v>
      </c>
      <c r="H215" s="147">
        <v>31874.9859</v>
      </c>
      <c r="I215" s="76">
        <v>210.37447423</v>
      </c>
      <c r="J215" s="76">
        <v>121.38547423</v>
      </c>
      <c r="K215" s="76">
        <v>88.989000000000004</v>
      </c>
      <c r="L215" s="76">
        <v>0</v>
      </c>
      <c r="M215" s="76">
        <v>13.76392285</v>
      </c>
      <c r="N215" s="76">
        <v>26.495344906</v>
      </c>
    </row>
    <row r="216" spans="1:14" x14ac:dyDescent="0.35">
      <c r="A216" s="61">
        <v>43040</v>
      </c>
      <c r="B216" s="74">
        <v>1112.5760451499998</v>
      </c>
      <c r="C216" s="76">
        <v>611.66696999999999</v>
      </c>
      <c r="D216" s="76">
        <v>519.77099999999996</v>
      </c>
      <c r="E216" s="76">
        <v>91.895970000000005</v>
      </c>
      <c r="F216" s="76">
        <v>234.77799999999999</v>
      </c>
      <c r="G216" s="147">
        <v>6176.1659000000009</v>
      </c>
      <c r="H216" s="147">
        <v>21768.231689999997</v>
      </c>
      <c r="I216" s="76">
        <v>227.23834515000004</v>
      </c>
      <c r="J216" s="76">
        <v>141.94834515000002</v>
      </c>
      <c r="K216" s="76">
        <v>85.29</v>
      </c>
      <c r="L216" s="76">
        <v>0</v>
      </c>
      <c r="M216" s="76">
        <v>12.696730000000001</v>
      </c>
      <c r="N216" s="76">
        <v>26.196000000000002</v>
      </c>
    </row>
    <row r="217" spans="1:14" x14ac:dyDescent="0.35">
      <c r="A217" s="61">
        <v>43070</v>
      </c>
      <c r="B217" s="74">
        <v>1110.8398895764601</v>
      </c>
      <c r="C217" s="76">
        <v>596.00277907646</v>
      </c>
      <c r="D217" s="76">
        <v>514.70877907646002</v>
      </c>
      <c r="E217" s="76">
        <v>81.293999999999997</v>
      </c>
      <c r="F217" s="76">
        <v>251.25700000000001</v>
      </c>
      <c r="G217" s="147">
        <v>5598.6408699999984</v>
      </c>
      <c r="H217" s="147">
        <v>17504.401569999995</v>
      </c>
      <c r="I217" s="76">
        <v>203.16490049999999</v>
      </c>
      <c r="J217" s="76">
        <v>117.69590050000001</v>
      </c>
      <c r="K217" s="76">
        <v>85.468999999999994</v>
      </c>
      <c r="L217" s="76">
        <v>0</v>
      </c>
      <c r="M217" s="76">
        <v>12.412000000000001</v>
      </c>
      <c r="N217" s="76">
        <v>48.003210000000003</v>
      </c>
    </row>
    <row r="218" spans="1:14" x14ac:dyDescent="0.35">
      <c r="A218" s="61">
        <v>43101</v>
      </c>
      <c r="B218" s="74">
        <v>1396.0818828264937</v>
      </c>
      <c r="C218" s="76">
        <v>741.9672351314581</v>
      </c>
      <c r="D218" s="76">
        <v>645.4707246314581</v>
      </c>
      <c r="E218" s="76">
        <v>96.496510499999985</v>
      </c>
      <c r="F218" s="76">
        <v>385.91699999999997</v>
      </c>
      <c r="G218" s="147">
        <v>4557.2042500000016</v>
      </c>
      <c r="H218" s="147">
        <v>16499.358530000001</v>
      </c>
      <c r="I218" s="76">
        <v>216.54109419</v>
      </c>
      <c r="J218" s="76">
        <v>125.30666418999999</v>
      </c>
      <c r="K218" s="76">
        <v>91.234430000000003</v>
      </c>
      <c r="L218" s="76">
        <v>0</v>
      </c>
      <c r="M218" s="76">
        <v>20.5016</v>
      </c>
      <c r="N218" s="76">
        <v>31.154953505035561</v>
      </c>
    </row>
    <row r="219" spans="1:14" x14ac:dyDescent="0.35">
      <c r="A219" s="61">
        <v>43132</v>
      </c>
      <c r="B219" s="74">
        <v>986.38571255619388</v>
      </c>
      <c r="C219" s="76">
        <v>542.62225792286051</v>
      </c>
      <c r="D219" s="76">
        <v>464.49635792286051</v>
      </c>
      <c r="E219" s="76">
        <v>78.125900000000001</v>
      </c>
      <c r="F219" s="76">
        <v>196.27600000000001</v>
      </c>
      <c r="G219" s="147">
        <v>6915.100290000003</v>
      </c>
      <c r="H219" s="147">
        <v>16830.682819999998</v>
      </c>
      <c r="I219" s="76">
        <v>197.24063481000002</v>
      </c>
      <c r="J219" s="76">
        <v>105.92174481000001</v>
      </c>
      <c r="K219" s="76">
        <v>91.318889999999996</v>
      </c>
      <c r="L219" s="76">
        <v>0</v>
      </c>
      <c r="M219" s="76">
        <v>21.533449999999998</v>
      </c>
      <c r="N219" s="76">
        <v>28.713369823333331</v>
      </c>
    </row>
    <row r="220" spans="1:14" x14ac:dyDescent="0.35">
      <c r="A220" s="61">
        <v>43160</v>
      </c>
      <c r="B220" s="74">
        <v>1168.12561624964</v>
      </c>
      <c r="C220" s="76">
        <v>566.3710821694649</v>
      </c>
      <c r="D220" s="76">
        <v>485.33508216946495</v>
      </c>
      <c r="E220" s="76">
        <v>81.036000000000001</v>
      </c>
      <c r="F220" s="76">
        <v>315.48898400000058</v>
      </c>
      <c r="G220" s="147">
        <v>107338.15539000001</v>
      </c>
      <c r="H220" s="147">
        <v>33977.51013000001</v>
      </c>
      <c r="I220" s="76">
        <v>210.60022430000001</v>
      </c>
      <c r="J220" s="76">
        <v>132.1686243</v>
      </c>
      <c r="K220" s="76">
        <v>78.431600000000003</v>
      </c>
      <c r="L220" s="76">
        <v>0</v>
      </c>
      <c r="M220" s="76">
        <v>21.991199999999999</v>
      </c>
      <c r="N220" s="76">
        <v>53.674125780174613</v>
      </c>
    </row>
    <row r="221" spans="1:14" x14ac:dyDescent="0.35">
      <c r="A221" s="61">
        <v>43191</v>
      </c>
      <c r="B221" s="74">
        <v>1773.2162544138671</v>
      </c>
      <c r="C221" s="76">
        <v>569.41589964106186</v>
      </c>
      <c r="D221" s="76">
        <v>493.6928996410619</v>
      </c>
      <c r="E221" s="76">
        <v>75.722999999999999</v>
      </c>
      <c r="F221" s="76">
        <v>935.14300000000003</v>
      </c>
      <c r="G221" s="147">
        <v>15901.828339999996</v>
      </c>
      <c r="H221" s="147">
        <v>766179.40464999934</v>
      </c>
      <c r="I221" s="76">
        <v>213.68472614000001</v>
      </c>
      <c r="J221" s="76">
        <v>125.54472613999999</v>
      </c>
      <c r="K221" s="76">
        <v>88.14</v>
      </c>
      <c r="L221" s="76">
        <v>0</v>
      </c>
      <c r="M221" s="76">
        <v>20.652000000000001</v>
      </c>
      <c r="N221" s="76">
        <v>34.320628632805025</v>
      </c>
    </row>
    <row r="222" spans="1:14" x14ac:dyDescent="0.35">
      <c r="A222" s="61">
        <v>43221</v>
      </c>
      <c r="B222" s="74">
        <v>1173.2936679477973</v>
      </c>
      <c r="C222" s="76">
        <v>596.6963633432099</v>
      </c>
      <c r="D222" s="76">
        <v>512.04136334320992</v>
      </c>
      <c r="E222" s="76">
        <v>84.655000000000001</v>
      </c>
      <c r="F222" s="76">
        <v>307.87218667000002</v>
      </c>
      <c r="G222" s="147">
        <v>9519.2930800000067</v>
      </c>
      <c r="H222" s="147">
        <v>81108.180280000044</v>
      </c>
      <c r="I222" s="76">
        <v>201.00845766999998</v>
      </c>
      <c r="J222" s="76">
        <v>123.14945766999999</v>
      </c>
      <c r="K222" s="76">
        <v>77.858999999999995</v>
      </c>
      <c r="L222" s="76">
        <v>0</v>
      </c>
      <c r="M222" s="76">
        <v>20.31819531</v>
      </c>
      <c r="N222" s="76">
        <v>47.398464954587283</v>
      </c>
    </row>
    <row r="223" spans="1:14" x14ac:dyDescent="0.35">
      <c r="A223" s="61">
        <v>43252</v>
      </c>
      <c r="B223" s="74">
        <v>1085.9197978819068</v>
      </c>
      <c r="C223" s="76">
        <v>586.85889471857354</v>
      </c>
      <c r="D223" s="76">
        <v>504.40390579857359</v>
      </c>
      <c r="E223" s="76">
        <v>82.454988920000005</v>
      </c>
      <c r="F223" s="76">
        <v>234.87578049000004</v>
      </c>
      <c r="G223" s="147">
        <v>6024.0612900000051</v>
      </c>
      <c r="H223" s="147">
        <v>19093.892519999998</v>
      </c>
      <c r="I223" s="76">
        <v>215.58591817999999</v>
      </c>
      <c r="J223" s="76">
        <v>129.82642084</v>
      </c>
      <c r="K223" s="76">
        <v>85.759497339999996</v>
      </c>
      <c r="L223" s="76">
        <v>0</v>
      </c>
      <c r="M223" s="76">
        <v>18.810921160000003</v>
      </c>
      <c r="N223" s="76">
        <v>29.788283333333336</v>
      </c>
    </row>
    <row r="224" spans="1:14" x14ac:dyDescent="0.35">
      <c r="A224" s="61">
        <v>43282</v>
      </c>
      <c r="B224" s="74">
        <v>1252.990639984765</v>
      </c>
      <c r="C224" s="76">
        <v>624.00469153143172</v>
      </c>
      <c r="D224" s="76">
        <v>536.16535065143171</v>
      </c>
      <c r="E224" s="76">
        <v>87.839340880000009</v>
      </c>
      <c r="F224" s="76">
        <v>352.50099999999998</v>
      </c>
      <c r="G224" s="147">
        <v>6139.5771400000003</v>
      </c>
      <c r="H224" s="147">
        <v>16784.029959999996</v>
      </c>
      <c r="I224" s="76">
        <v>228.97196948999999</v>
      </c>
      <c r="J224" s="76">
        <v>132.85510292999999</v>
      </c>
      <c r="K224" s="76">
        <v>96.116866560000005</v>
      </c>
      <c r="L224" s="76">
        <v>0</v>
      </c>
      <c r="M224" s="76">
        <v>18.012670100000001</v>
      </c>
      <c r="N224" s="76">
        <v>29.500308863333331</v>
      </c>
    </row>
    <row r="225" spans="1:14" x14ac:dyDescent="0.35">
      <c r="A225" s="61">
        <v>43313</v>
      </c>
      <c r="B225" s="74">
        <v>1149.517362426612</v>
      </c>
      <c r="C225" s="76">
        <v>638.86210859142932</v>
      </c>
      <c r="D225" s="76">
        <v>560.43882296544894</v>
      </c>
      <c r="E225" s="76">
        <v>78.423285625980412</v>
      </c>
      <c r="F225" s="76">
        <v>238.08627183000056</v>
      </c>
      <c r="G225" s="147">
        <v>5607.7910499999989</v>
      </c>
      <c r="H225" s="147">
        <v>24375.695980000008</v>
      </c>
      <c r="I225" s="76">
        <v>227.69297872999999</v>
      </c>
      <c r="J225" s="76">
        <v>145.437095</v>
      </c>
      <c r="K225" s="76">
        <v>82.255883730000008</v>
      </c>
      <c r="L225" s="76">
        <v>0</v>
      </c>
      <c r="M225" s="76">
        <v>17.197681300000148</v>
      </c>
      <c r="N225" s="76">
        <v>27.678321975181941</v>
      </c>
    </row>
    <row r="226" spans="1:14" x14ac:dyDescent="0.35">
      <c r="A226" s="61">
        <v>43344</v>
      </c>
      <c r="B226" s="74">
        <v>1216.618307563336</v>
      </c>
      <c r="C226" s="76">
        <v>585.03001724000137</v>
      </c>
      <c r="D226" s="76">
        <v>506.32601724000142</v>
      </c>
      <c r="E226" s="76">
        <v>78.703999999999994</v>
      </c>
      <c r="F226" s="76">
        <v>372.24159453000101</v>
      </c>
      <c r="G226" s="147">
        <v>6081.511819999997</v>
      </c>
      <c r="H226" s="147">
        <v>22073.366719999991</v>
      </c>
      <c r="I226" s="76">
        <v>213.77592276999999</v>
      </c>
      <c r="J226" s="76">
        <v>125.76492277</v>
      </c>
      <c r="K226" s="76">
        <v>88.010999999999996</v>
      </c>
      <c r="L226" s="76">
        <v>0</v>
      </c>
      <c r="M226" s="76">
        <v>14.218999999999999</v>
      </c>
      <c r="N226" s="76">
        <v>31.35177302333334</v>
      </c>
    </row>
    <row r="227" spans="1:14" x14ac:dyDescent="0.35">
      <c r="A227" s="61">
        <v>43374</v>
      </c>
      <c r="B227" s="74">
        <v>1165.5774959693331</v>
      </c>
      <c r="C227" s="76">
        <v>640.41032965999966</v>
      </c>
      <c r="D227" s="76">
        <v>558.0961141199997</v>
      </c>
      <c r="E227" s="76">
        <v>82.314215539999921</v>
      </c>
      <c r="F227" s="76">
        <v>257.16584084000016</v>
      </c>
      <c r="G227" s="147">
        <v>6127.0303900000026</v>
      </c>
      <c r="H227" s="147">
        <v>28238.908070000016</v>
      </c>
      <c r="I227" s="76">
        <v>225.74436348</v>
      </c>
      <c r="J227" s="76">
        <v>148.54720288999999</v>
      </c>
      <c r="K227" s="76">
        <v>77.197160589999996</v>
      </c>
      <c r="L227" s="76">
        <v>0</v>
      </c>
      <c r="M227" s="76">
        <v>14.972872009999993</v>
      </c>
      <c r="N227" s="76">
        <v>27.284089979333366</v>
      </c>
    </row>
    <row r="228" spans="1:14" x14ac:dyDescent="0.35">
      <c r="A228" s="61">
        <v>43405</v>
      </c>
      <c r="B228" s="74">
        <v>1142.2229646333362</v>
      </c>
      <c r="C228" s="76">
        <v>609.32101141000282</v>
      </c>
      <c r="D228" s="76">
        <v>529.71503231000281</v>
      </c>
      <c r="E228" s="76">
        <v>79.605979100000027</v>
      </c>
      <c r="F228" s="76">
        <v>262.72411712000019</v>
      </c>
      <c r="G228" s="147">
        <v>7900.3144700000084</v>
      </c>
      <c r="H228" s="147">
        <v>31843.506320000008</v>
      </c>
      <c r="I228" s="76">
        <v>230.35236939999999</v>
      </c>
      <c r="J228" s="76">
        <v>144.38703321</v>
      </c>
      <c r="K228" s="76">
        <v>85.965336190000002</v>
      </c>
      <c r="L228" s="76">
        <v>0</v>
      </c>
      <c r="M228" s="76">
        <v>13.283902969999865</v>
      </c>
      <c r="N228" s="76">
        <v>26.541563733333266</v>
      </c>
    </row>
    <row r="229" spans="1:14" x14ac:dyDescent="0.35">
      <c r="A229" s="61">
        <v>43435</v>
      </c>
      <c r="B229" s="74">
        <v>1941.1704303093375</v>
      </c>
      <c r="C229" s="76">
        <v>660.59390744000393</v>
      </c>
      <c r="D229" s="76">
        <v>587.75790755000389</v>
      </c>
      <c r="E229" s="76">
        <v>72.835999889999997</v>
      </c>
      <c r="F229" s="76">
        <v>944.43569370000012</v>
      </c>
      <c r="G229" s="147">
        <v>10772.990930000014</v>
      </c>
      <c r="H229" s="147">
        <v>751323.49668999983</v>
      </c>
      <c r="I229" s="76">
        <v>221.23785668000011</v>
      </c>
      <c r="J229" s="76">
        <v>121.93763288</v>
      </c>
      <c r="K229" s="76">
        <v>99.300223800000097</v>
      </c>
      <c r="L229" s="76">
        <v>0</v>
      </c>
      <c r="M229" s="76">
        <v>13.125627610000118</v>
      </c>
      <c r="N229" s="76">
        <v>101.77734487933326</v>
      </c>
    </row>
    <row r="230" spans="1:14" x14ac:dyDescent="0.35">
      <c r="A230" s="61">
        <v>43466</v>
      </c>
      <c r="B230" s="74">
        <v>1393.331390371995</v>
      </c>
      <c r="C230" s="76">
        <v>743.48946721999391</v>
      </c>
      <c r="D230" s="76">
        <v>656.06268956999395</v>
      </c>
      <c r="E230" s="76">
        <v>87.42677765000002</v>
      </c>
      <c r="F230" s="76">
        <v>372.56093718000085</v>
      </c>
      <c r="G230" s="147">
        <v>5620.6214700000019</v>
      </c>
      <c r="H230" s="147">
        <v>13125.008109999999</v>
      </c>
      <c r="I230" s="76">
        <v>218.05430620999999</v>
      </c>
      <c r="J230" s="76">
        <v>137.94334655</v>
      </c>
      <c r="K230" s="76">
        <v>80.110959659999992</v>
      </c>
      <c r="L230" s="76">
        <v>0</v>
      </c>
      <c r="M230" s="76">
        <v>15.83936210000034</v>
      </c>
      <c r="N230" s="76">
        <v>43.387317662000022</v>
      </c>
    </row>
    <row r="231" spans="1:14" x14ac:dyDescent="0.35">
      <c r="A231" s="61">
        <v>43497</v>
      </c>
      <c r="B231" s="74">
        <v>1009.2525991580068</v>
      </c>
      <c r="C231" s="76">
        <v>567.409528800006</v>
      </c>
      <c r="D231" s="76">
        <v>498.92406292000601</v>
      </c>
      <c r="E231" s="76">
        <v>68.485465879999978</v>
      </c>
      <c r="F231" s="76">
        <v>196.12657967000035</v>
      </c>
      <c r="G231" s="147">
        <v>7944.4988300000023</v>
      </c>
      <c r="H231" s="147">
        <v>7653.6314300000013</v>
      </c>
      <c r="I231" s="76">
        <v>189.17774448</v>
      </c>
      <c r="J231" s="76">
        <v>104.94745614999999</v>
      </c>
      <c r="K231" s="76">
        <v>84.230288329999993</v>
      </c>
      <c r="L231" s="76">
        <v>0</v>
      </c>
      <c r="M231" s="76">
        <v>24.668113910000809</v>
      </c>
      <c r="N231" s="76">
        <v>31.870632297999567</v>
      </c>
    </row>
    <row r="232" spans="1:14" x14ac:dyDescent="0.35">
      <c r="A232" s="61">
        <v>43525</v>
      </c>
      <c r="B232" s="74">
        <v>1095.7630867880048</v>
      </c>
      <c r="C232" s="76">
        <v>538.78798655000367</v>
      </c>
      <c r="D232" s="76">
        <v>468.11021841000365</v>
      </c>
      <c r="E232" s="76">
        <v>70.677768139999998</v>
      </c>
      <c r="F232" s="76">
        <v>303.94822232000081</v>
      </c>
      <c r="G232" s="147">
        <v>106075.65661000005</v>
      </c>
      <c r="H232" s="147">
        <v>35953.830959999992</v>
      </c>
      <c r="I232" s="76">
        <v>178.49379225000001</v>
      </c>
      <c r="J232" s="76">
        <v>112.4193551</v>
      </c>
      <c r="K232" s="76">
        <v>66.074437149999994</v>
      </c>
      <c r="L232" s="76">
        <v>0</v>
      </c>
      <c r="M232" s="76">
        <v>21.089591380000527</v>
      </c>
      <c r="N232" s="76">
        <v>53.443494287999712</v>
      </c>
    </row>
    <row r="233" spans="1:14" x14ac:dyDescent="0.35">
      <c r="A233" s="61">
        <v>43556</v>
      </c>
      <c r="B233" s="74">
        <v>2007.0127651560042</v>
      </c>
      <c r="C233" s="76">
        <v>580.23660495000297</v>
      </c>
      <c r="D233" s="76">
        <v>508.98726941000297</v>
      </c>
      <c r="E233" s="76">
        <v>71.249335540000004</v>
      </c>
      <c r="F233" s="76">
        <v>1180.0451213800009</v>
      </c>
      <c r="G233" s="147">
        <v>20769.183209999963</v>
      </c>
      <c r="H233" s="147">
        <v>1027388.4158200008</v>
      </c>
      <c r="I233" s="76">
        <v>186.06028564000002</v>
      </c>
      <c r="J233" s="76">
        <v>113.45392127</v>
      </c>
      <c r="K233" s="76">
        <v>72.606364370000023</v>
      </c>
      <c r="L233" s="76">
        <v>0</v>
      </c>
      <c r="M233" s="76">
        <v>23.458764640000503</v>
      </c>
      <c r="N233" s="76">
        <v>37.21198854599961</v>
      </c>
    </row>
    <row r="234" spans="1:14" x14ac:dyDescent="0.35">
      <c r="A234" s="61">
        <v>43586</v>
      </c>
      <c r="B234" s="74">
        <v>1163.8217137100048</v>
      </c>
      <c r="C234" s="76">
        <v>631.47712605000447</v>
      </c>
      <c r="D234" s="76">
        <v>554.2119168300045</v>
      </c>
      <c r="E234" s="76">
        <v>77.265209220000031</v>
      </c>
      <c r="F234" s="76">
        <v>275.68800598000064</v>
      </c>
      <c r="G234" s="147">
        <v>9203.0872700000054</v>
      </c>
      <c r="H234" s="147">
        <v>42661.518820000005</v>
      </c>
      <c r="I234" s="76">
        <v>201.83568984999999</v>
      </c>
      <c r="J234" s="76">
        <v>122.80845431</v>
      </c>
      <c r="K234" s="76">
        <v>79.027235539999992</v>
      </c>
      <c r="L234" s="76">
        <v>0</v>
      </c>
      <c r="M234" s="76">
        <v>21.373363940000086</v>
      </c>
      <c r="N234" s="76">
        <v>33.447527889999812</v>
      </c>
    </row>
    <row r="235" spans="1:14" x14ac:dyDescent="0.35">
      <c r="A235" s="61">
        <v>43617</v>
      </c>
      <c r="B235" s="74">
        <v>1066.1642433680058</v>
      </c>
      <c r="C235" s="76">
        <v>574.34524225000473</v>
      </c>
      <c r="D235" s="76">
        <v>497.59225542000479</v>
      </c>
      <c r="E235" s="76">
        <v>76.752986829999955</v>
      </c>
      <c r="F235" s="76">
        <v>238.94437011000079</v>
      </c>
      <c r="G235" s="147">
        <v>6993.8870599999991</v>
      </c>
      <c r="H235" s="147">
        <v>17237.422490000001</v>
      </c>
      <c r="I235" s="76">
        <v>203.57663467999998</v>
      </c>
      <c r="J235" s="76">
        <v>116.17282752</v>
      </c>
      <c r="K235" s="76">
        <v>87.403807159999999</v>
      </c>
      <c r="L235" s="76">
        <v>0</v>
      </c>
      <c r="M235" s="76">
        <v>18.619639150000477</v>
      </c>
      <c r="N235" s="76">
        <v>30.678357177999825</v>
      </c>
    </row>
    <row r="236" spans="1:14" x14ac:dyDescent="0.35">
      <c r="A236" s="61">
        <v>43647</v>
      </c>
      <c r="B236" s="74">
        <v>1173.5543904040098</v>
      </c>
      <c r="C236" s="76">
        <v>608.82682987000749</v>
      </c>
      <c r="D236" s="76">
        <v>529.91521868000746</v>
      </c>
      <c r="E236" s="76">
        <v>78.911611190000002</v>
      </c>
      <c r="F236" s="76">
        <v>294.84654059000246</v>
      </c>
      <c r="G236" s="147">
        <v>7470.635409999998</v>
      </c>
      <c r="H236" s="147">
        <v>13862.162420000002</v>
      </c>
      <c r="I236" s="76">
        <v>208.79799116999999</v>
      </c>
      <c r="J236" s="76">
        <v>129.42490796999999</v>
      </c>
      <c r="K236" s="76">
        <v>79.373083199999996</v>
      </c>
      <c r="L236" s="76">
        <v>0</v>
      </c>
      <c r="M236" s="76">
        <v>20.316757910000117</v>
      </c>
      <c r="N236" s="76">
        <v>40.766270863999836</v>
      </c>
    </row>
    <row r="237" spans="1:14" x14ac:dyDescent="0.35">
      <c r="A237" s="61">
        <v>43678</v>
      </c>
      <c r="B237" s="74">
        <v>1197.1251865520094</v>
      </c>
      <c r="C237" s="76">
        <v>618.88165437000953</v>
      </c>
      <c r="D237" s="76">
        <v>544.13122052000949</v>
      </c>
      <c r="E237" s="76">
        <v>74.75043385000005</v>
      </c>
      <c r="F237" s="76">
        <v>320.77289945999985</v>
      </c>
      <c r="G237" s="147">
        <v>6381.1699200000003</v>
      </c>
      <c r="H237" s="147">
        <v>16751.898239999999</v>
      </c>
      <c r="I237" s="76">
        <v>211.35416298000001</v>
      </c>
      <c r="J237" s="76">
        <v>123.85618501</v>
      </c>
      <c r="K237" s="76">
        <v>87.497977970000022</v>
      </c>
      <c r="L237" s="76">
        <v>0</v>
      </c>
      <c r="M237" s="76">
        <v>17.444926440000113</v>
      </c>
      <c r="N237" s="76">
        <v>28.671543301999925</v>
      </c>
    </row>
    <row r="238" spans="1:14" x14ac:dyDescent="0.35">
      <c r="A238" s="61">
        <v>43709</v>
      </c>
      <c r="B238" s="74">
        <v>1131.7560608215042</v>
      </c>
      <c r="C238" s="76">
        <v>577.80067340000301</v>
      </c>
      <c r="D238" s="76">
        <v>504.02817457000299</v>
      </c>
      <c r="E238" s="76">
        <v>73.772498830000004</v>
      </c>
      <c r="F238" s="76">
        <v>298.12025309000114</v>
      </c>
      <c r="G238" s="147">
        <v>6573.3111700000036</v>
      </c>
      <c r="H238" s="147">
        <v>15733.327669999995</v>
      </c>
      <c r="I238" s="76">
        <v>201.51009337949998</v>
      </c>
      <c r="J238" s="76">
        <v>117.35799867</v>
      </c>
      <c r="K238" s="76">
        <v>84.152094709499977</v>
      </c>
      <c r="L238" s="76">
        <v>0</v>
      </c>
      <c r="M238" s="76">
        <v>16.884480340000138</v>
      </c>
      <c r="N238" s="76">
        <v>37.440560611999928</v>
      </c>
    </row>
    <row r="239" spans="1:14" x14ac:dyDescent="0.35">
      <c r="A239" s="61">
        <v>43739</v>
      </c>
      <c r="B239" s="74">
        <v>1147.277673276003</v>
      </c>
      <c r="C239" s="76">
        <v>610.72409783000228</v>
      </c>
      <c r="D239" s="76">
        <v>532.98843615000226</v>
      </c>
      <c r="E239" s="76">
        <v>77.735661680000021</v>
      </c>
      <c r="F239" s="76">
        <v>286.10375353000086</v>
      </c>
      <c r="G239" s="147">
        <v>5586.2509800000007</v>
      </c>
      <c r="H239" s="147">
        <v>15451.67916999999</v>
      </c>
      <c r="I239" s="76">
        <v>206.59214386000002</v>
      </c>
      <c r="J239" s="76">
        <v>124.02365967999999</v>
      </c>
      <c r="K239" s="76">
        <v>82.568484180000027</v>
      </c>
      <c r="L239" s="76">
        <v>0</v>
      </c>
      <c r="M239" s="76">
        <v>14.717336359999969</v>
      </c>
      <c r="N239" s="76">
        <v>29.140341695999982</v>
      </c>
    </row>
    <row r="240" spans="1:14" x14ac:dyDescent="0.35">
      <c r="A240" s="61">
        <v>43770</v>
      </c>
      <c r="B240" s="74">
        <v>1081.8172248650048</v>
      </c>
      <c r="C240" s="76">
        <v>555.88696323000363</v>
      </c>
      <c r="D240" s="76">
        <v>486.85214306000364</v>
      </c>
      <c r="E240" s="76">
        <v>69.034820170000046</v>
      </c>
      <c r="F240" s="76">
        <v>290.82498235000128</v>
      </c>
      <c r="G240" s="147">
        <v>5089.1575999999986</v>
      </c>
      <c r="H240" s="147">
        <v>15434.964139999995</v>
      </c>
      <c r="I240" s="76">
        <v>192.88588099000003</v>
      </c>
      <c r="J240" s="76">
        <v>113.15155144000001</v>
      </c>
      <c r="K240" s="76">
        <v>79.734329550000012</v>
      </c>
      <c r="L240" s="76">
        <v>0</v>
      </c>
      <c r="M240" s="76">
        <v>14.487674489999963</v>
      </c>
      <c r="N240" s="76">
        <v>27.731723804999877</v>
      </c>
    </row>
    <row r="241" spans="1:14" x14ac:dyDescent="0.35">
      <c r="A241" s="61">
        <v>43800</v>
      </c>
      <c r="B241" s="74">
        <v>1049.3085618700059</v>
      </c>
      <c r="C241" s="76">
        <v>560.59832323000489</v>
      </c>
      <c r="D241" s="76">
        <v>488.16628604000493</v>
      </c>
      <c r="E241" s="76">
        <v>72.432037190000003</v>
      </c>
      <c r="F241" s="76">
        <v>252.67935583000082</v>
      </c>
      <c r="G241" s="147">
        <v>9510.1015800000041</v>
      </c>
      <c r="H241" s="147">
        <v>10909.769710000002</v>
      </c>
      <c r="I241" s="76">
        <v>176.31863885000001</v>
      </c>
      <c r="J241" s="76">
        <v>102.53845990000001</v>
      </c>
      <c r="K241" s="76">
        <v>73.780178950000021</v>
      </c>
      <c r="L241" s="76">
        <v>0</v>
      </c>
      <c r="M241" s="76">
        <v>14.134785000000171</v>
      </c>
      <c r="N241" s="76">
        <v>45.577458959999845</v>
      </c>
    </row>
  </sheetData>
  <pageMargins left="0.7" right="0.7" top="0.75" bottom="0.75" header="0.3" footer="0.3"/>
  <pageSetup orientation="portrait" r:id="rId1"/>
  <headerFooter>
    <oddHeader>&amp;L&amp;"Calibri"&amp;11&amp;K000000NONCONFIDENTIAL // FRSONLY&amp;1#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0"/>
  <sheetViews>
    <sheetView topLeftCell="A8" workbookViewId="0">
      <selection activeCell="AF24" sqref="AF24"/>
    </sheetView>
  </sheetViews>
  <sheetFormatPr defaultColWidth="8.6328125" defaultRowHeight="14.5" x14ac:dyDescent="0.35"/>
  <cols>
    <col min="18" max="18" width="9.54296875" bestFit="1" customWidth="1"/>
    <col min="19" max="19" width="10.54296875" bestFit="1" customWidth="1"/>
    <col min="20" max="20" width="9.54296875" bestFit="1" customWidth="1"/>
    <col min="21" max="21" width="10.54296875" bestFit="1" customWidth="1"/>
    <col min="32" max="32" width="20.08984375" bestFit="1" customWidth="1"/>
    <col min="34" max="34" width="11.90625" bestFit="1" customWidth="1"/>
  </cols>
  <sheetData>
    <row r="1" spans="1:36" x14ac:dyDescent="0.35">
      <c r="A1" t="s">
        <v>0</v>
      </c>
    </row>
    <row r="4" spans="1:36" x14ac:dyDescent="0.35">
      <c r="A4" t="s">
        <v>96</v>
      </c>
    </row>
    <row r="5" spans="1:36" x14ac:dyDescent="0.35">
      <c r="A5" t="s">
        <v>506</v>
      </c>
    </row>
    <row r="6" spans="1:36" x14ac:dyDescent="0.35">
      <c r="Y6" s="258" t="s">
        <v>511</v>
      </c>
      <c r="Z6" s="259" t="s">
        <v>512</v>
      </c>
      <c r="AA6" s="261" t="s">
        <v>513</v>
      </c>
      <c r="AB6" s="262"/>
    </row>
    <row r="7" spans="1:36" x14ac:dyDescent="0.35">
      <c r="B7" t="s">
        <v>9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M7" t="s">
        <v>507</v>
      </c>
      <c r="N7" t="s">
        <v>508</v>
      </c>
      <c r="O7" t="s">
        <v>509</v>
      </c>
      <c r="Y7" s="258"/>
      <c r="Z7" s="259"/>
      <c r="AA7" s="259" t="s">
        <v>515</v>
      </c>
      <c r="AB7" s="260" t="s">
        <v>514</v>
      </c>
    </row>
    <row r="8" spans="1:36" s="113" customFormat="1" ht="65" x14ac:dyDescent="0.3">
      <c r="A8" s="113" t="s">
        <v>11</v>
      </c>
      <c r="R8" s="114" t="s">
        <v>6</v>
      </c>
      <c r="S8" s="114" t="s">
        <v>7</v>
      </c>
      <c r="T8" s="114" t="s">
        <v>8</v>
      </c>
      <c r="U8" s="115" t="s">
        <v>9</v>
      </c>
      <c r="V8" s="116" t="s">
        <v>518</v>
      </c>
      <c r="Y8" s="258"/>
      <c r="Z8" s="259" t="s">
        <v>516</v>
      </c>
      <c r="AA8" s="259" t="s">
        <v>517</v>
      </c>
      <c r="AB8" s="260" t="s">
        <v>514</v>
      </c>
      <c r="AC8" s="113" t="s">
        <v>519</v>
      </c>
      <c r="AF8" s="113" t="s">
        <v>541</v>
      </c>
      <c r="AH8" s="113" t="s">
        <v>542</v>
      </c>
      <c r="AI8" s="113" t="s">
        <v>543</v>
      </c>
      <c r="AJ8" s="113" t="s">
        <v>544</v>
      </c>
    </row>
    <row r="9" spans="1:36" ht="15.65" customHeight="1" x14ac:dyDescent="0.35">
      <c r="A9">
        <v>2000</v>
      </c>
      <c r="B9">
        <v>18318601</v>
      </c>
      <c r="C9">
        <v>5007786</v>
      </c>
      <c r="D9">
        <v>23326387</v>
      </c>
      <c r="E9">
        <v>17441072</v>
      </c>
      <c r="F9">
        <v>11830246</v>
      </c>
      <c r="G9">
        <v>1712862</v>
      </c>
      <c r="H9">
        <v>3483242</v>
      </c>
      <c r="I9">
        <v>414722</v>
      </c>
      <c r="J9">
        <v>5885315</v>
      </c>
      <c r="K9">
        <v>23326387</v>
      </c>
      <c r="M9">
        <f>C9/E9</f>
        <v>0.28712604362851091</v>
      </c>
      <c r="N9">
        <f>(J9-C9)/B9</f>
        <v>4.7903712734394949E-2</v>
      </c>
      <c r="O9">
        <f>G9/B9</f>
        <v>9.3503974457438105E-2</v>
      </c>
      <c r="Q9" s="23">
        <v>2000</v>
      </c>
      <c r="R9" s="82">
        <v>1625055</v>
      </c>
      <c r="S9" s="82">
        <v>15647572</v>
      </c>
      <c r="T9" s="82">
        <v>1045974</v>
      </c>
      <c r="U9" s="82">
        <v>18318601</v>
      </c>
      <c r="V9">
        <f>R9/U9</f>
        <v>8.8710649901703742E-2</v>
      </c>
      <c r="X9" s="90">
        <v>2000</v>
      </c>
      <c r="Y9" s="88">
        <v>146209.12199999997</v>
      </c>
      <c r="Z9" s="87">
        <v>399.94333333333333</v>
      </c>
      <c r="AA9" s="87">
        <v>85046.674999999988</v>
      </c>
      <c r="AB9" s="87">
        <v>61162.447</v>
      </c>
      <c r="AC9">
        <f>AA9/Y9</f>
        <v>0.58167831005783621</v>
      </c>
      <c r="AF9">
        <v>1458</v>
      </c>
      <c r="AG9" s="90">
        <v>2000</v>
      </c>
      <c r="AH9" s="121">
        <f>1000*AF9/B9</f>
        <v>7.9591230793224874E-2</v>
      </c>
      <c r="AI9" s="122">
        <f t="shared" ref="AI9:AI15" si="0">AVERAGE($AH$9:$AH$16)</f>
        <v>1.3554590809098817E-2</v>
      </c>
    </row>
    <row r="10" spans="1:36" ht="15.65" customHeight="1" x14ac:dyDescent="0.35">
      <c r="A10">
        <v>2001</v>
      </c>
      <c r="B10">
        <v>24468324</v>
      </c>
      <c r="C10">
        <v>6734248</v>
      </c>
      <c r="D10">
        <v>31202572</v>
      </c>
      <c r="E10">
        <v>25520355</v>
      </c>
      <c r="F10">
        <v>17739886</v>
      </c>
      <c r="G10">
        <v>2311996</v>
      </c>
      <c r="H10">
        <v>4661579</v>
      </c>
      <c r="I10">
        <v>806894</v>
      </c>
      <c r="J10">
        <v>5682217</v>
      </c>
      <c r="K10">
        <v>31202572</v>
      </c>
      <c r="M10">
        <f t="shared" ref="M10:M28" si="1">C10/E10</f>
        <v>0.2638775205125477</v>
      </c>
      <c r="N10">
        <f t="shared" ref="N10:N28" si="2">(J10-C10)/B10</f>
        <v>-4.2995629778320742E-2</v>
      </c>
      <c r="O10">
        <f t="shared" ref="O10:O28" si="3">G10/B10</f>
        <v>9.4489348759645334E-2</v>
      </c>
      <c r="Q10" s="23">
        <v>2001</v>
      </c>
      <c r="R10" s="82">
        <v>1272521</v>
      </c>
      <c r="S10" s="82">
        <v>21259678</v>
      </c>
      <c r="T10" s="82">
        <v>1936125</v>
      </c>
      <c r="U10" s="82">
        <v>24468324</v>
      </c>
      <c r="V10">
        <f t="shared" ref="V10:V28" si="4">R10/U10</f>
        <v>5.2006872232033548E-2</v>
      </c>
      <c r="X10" s="90">
        <v>2001</v>
      </c>
      <c r="Y10" s="88">
        <v>148746.39500000002</v>
      </c>
      <c r="Z10" s="87">
        <v>407.45041666666663</v>
      </c>
      <c r="AA10" s="87">
        <v>82929.339000000007</v>
      </c>
      <c r="AB10" s="87">
        <v>65817.055999999997</v>
      </c>
      <c r="AC10">
        <f t="shared" ref="AC10:AC28" si="5">AA10/Y10</f>
        <v>0.55752167304626099</v>
      </c>
      <c r="AF10">
        <v>-302.12</v>
      </c>
      <c r="AG10" s="90">
        <v>2001</v>
      </c>
      <c r="AH10" s="121">
        <f t="shared" ref="AH10:AH28" si="6">1000*AF10/B10</f>
        <v>-1.2347392489980107E-2</v>
      </c>
      <c r="AI10" s="122">
        <f t="shared" si="0"/>
        <v>1.3554590809098817E-2</v>
      </c>
    </row>
    <row r="11" spans="1:36" ht="15.5" x14ac:dyDescent="0.35">
      <c r="A11">
        <v>2002</v>
      </c>
      <c r="B11">
        <v>28548945</v>
      </c>
      <c r="C11">
        <v>7960638</v>
      </c>
      <c r="D11">
        <v>36509583</v>
      </c>
      <c r="E11">
        <v>30373737</v>
      </c>
      <c r="F11">
        <v>20799900</v>
      </c>
      <c r="G11">
        <v>2807058</v>
      </c>
      <c r="H11">
        <v>5906605</v>
      </c>
      <c r="I11">
        <v>860174</v>
      </c>
      <c r="J11">
        <v>6135846</v>
      </c>
      <c r="K11">
        <v>36509583</v>
      </c>
      <c r="M11">
        <f t="shared" si="1"/>
        <v>0.26208951503069905</v>
      </c>
      <c r="N11">
        <f t="shared" si="2"/>
        <v>-6.3918018686855149E-2</v>
      </c>
      <c r="O11">
        <f t="shared" si="3"/>
        <v>9.8324403931563845E-2</v>
      </c>
      <c r="Q11" s="23">
        <v>2002</v>
      </c>
      <c r="R11" s="82">
        <v>1550892</v>
      </c>
      <c r="S11" s="82">
        <v>24688950</v>
      </c>
      <c r="T11" s="82">
        <v>2309103</v>
      </c>
      <c r="U11" s="82">
        <v>28548945</v>
      </c>
      <c r="V11">
        <f t="shared" si="4"/>
        <v>5.4323968889218151E-2</v>
      </c>
      <c r="X11" s="90">
        <v>2002</v>
      </c>
      <c r="Y11" s="88">
        <v>143759.13099999999</v>
      </c>
      <c r="Z11" s="87">
        <v>392.47074999999995</v>
      </c>
      <c r="AA11" s="87">
        <v>80774.769</v>
      </c>
      <c r="AB11" s="87">
        <v>62984.361999999994</v>
      </c>
      <c r="AC11">
        <f t="shared" si="5"/>
        <v>0.56187574617434222</v>
      </c>
      <c r="AF11">
        <v>-975.84</v>
      </c>
      <c r="AG11" s="90">
        <v>2002</v>
      </c>
      <c r="AH11" s="121">
        <f t="shared" si="6"/>
        <v>-3.4181298118021522E-2</v>
      </c>
      <c r="AI11" s="122">
        <f t="shared" si="0"/>
        <v>1.3554590809098817E-2</v>
      </c>
    </row>
    <row r="12" spans="1:36" ht="15.5" x14ac:dyDescent="0.35">
      <c r="A12">
        <v>2003</v>
      </c>
      <c r="B12">
        <v>32432858</v>
      </c>
      <c r="C12">
        <v>7992504</v>
      </c>
      <c r="D12">
        <v>40425362</v>
      </c>
      <c r="E12">
        <v>33096055</v>
      </c>
      <c r="F12">
        <v>23267775</v>
      </c>
      <c r="G12">
        <v>3474828</v>
      </c>
      <c r="H12">
        <v>6240683</v>
      </c>
      <c r="I12">
        <v>112769</v>
      </c>
      <c r="J12">
        <v>7329307</v>
      </c>
      <c r="K12">
        <v>40425362</v>
      </c>
      <c r="M12">
        <f t="shared" si="1"/>
        <v>0.24149415995350504</v>
      </c>
      <c r="N12">
        <f t="shared" si="2"/>
        <v>-2.0448305850813395E-2</v>
      </c>
      <c r="O12">
        <f t="shared" si="3"/>
        <v>0.10713912415612586</v>
      </c>
      <c r="Q12" s="23">
        <v>2003</v>
      </c>
      <c r="R12" s="82">
        <v>2076750</v>
      </c>
      <c r="S12" s="82">
        <v>28094503</v>
      </c>
      <c r="T12" s="82">
        <v>2261605</v>
      </c>
      <c r="U12" s="82">
        <v>32432858</v>
      </c>
      <c r="V12">
        <f t="shared" si="4"/>
        <v>6.4032284789703089E-2</v>
      </c>
      <c r="X12" s="90">
        <v>2003</v>
      </c>
      <c r="Y12" s="88">
        <v>153518.29080000002</v>
      </c>
      <c r="Z12" s="87">
        <v>417.80099999999999</v>
      </c>
      <c r="AA12" s="88">
        <v>74514.232999999993</v>
      </c>
      <c r="AB12" s="88">
        <v>79004.05780000001</v>
      </c>
      <c r="AC12">
        <f t="shared" si="5"/>
        <v>0.48537690598102973</v>
      </c>
      <c r="AF12" s="120">
        <v>-31.547810000000027</v>
      </c>
      <c r="AG12" s="90">
        <v>2003</v>
      </c>
      <c r="AH12" s="121">
        <f t="shared" si="6"/>
        <v>-9.727113780722016E-4</v>
      </c>
      <c r="AI12" s="122">
        <f t="shared" si="0"/>
        <v>1.3554590809098817E-2</v>
      </c>
    </row>
    <row r="13" spans="1:36" ht="15.5" x14ac:dyDescent="0.35">
      <c r="A13">
        <v>2004</v>
      </c>
      <c r="B13">
        <v>36591661</v>
      </c>
      <c r="C13">
        <v>9554409</v>
      </c>
      <c r="D13">
        <v>46146070</v>
      </c>
      <c r="E13">
        <v>37161226</v>
      </c>
      <c r="F13">
        <v>25787308</v>
      </c>
      <c r="G13">
        <v>3982766</v>
      </c>
      <c r="H13">
        <v>7209125</v>
      </c>
      <c r="I13">
        <v>182027</v>
      </c>
      <c r="J13">
        <v>8984844</v>
      </c>
      <c r="K13">
        <v>46146070</v>
      </c>
      <c r="M13">
        <f t="shared" si="1"/>
        <v>0.25710693721461181</v>
      </c>
      <c r="N13">
        <f t="shared" si="2"/>
        <v>-1.5565431697675599E-2</v>
      </c>
      <c r="O13">
        <f t="shared" si="3"/>
        <v>0.10884354224860139</v>
      </c>
      <c r="Q13" s="23">
        <v>2004</v>
      </c>
      <c r="R13" s="82">
        <v>3136957</v>
      </c>
      <c r="S13" s="82">
        <v>31061208</v>
      </c>
      <c r="T13" s="82">
        <v>2393496</v>
      </c>
      <c r="U13" s="82">
        <v>36591661</v>
      </c>
      <c r="V13">
        <f t="shared" si="4"/>
        <v>8.5728740217614063E-2</v>
      </c>
      <c r="X13" s="90">
        <v>2004</v>
      </c>
      <c r="Y13" s="88">
        <v>192315.13374999998</v>
      </c>
      <c r="Z13" s="87">
        <v>525.50225434498202</v>
      </c>
      <c r="AA13" s="88">
        <v>71947.52816999999</v>
      </c>
      <c r="AB13" s="88">
        <v>120367.60557999999</v>
      </c>
      <c r="AC13">
        <f t="shared" si="5"/>
        <v>0.37411267000717774</v>
      </c>
      <c r="AF13" s="120">
        <v>177.72471730000052</v>
      </c>
      <c r="AG13" s="90">
        <v>2004</v>
      </c>
      <c r="AH13" s="121">
        <f t="shared" si="6"/>
        <v>4.8569732131044973E-3</v>
      </c>
      <c r="AI13" s="122">
        <f t="shared" si="0"/>
        <v>1.3554590809098817E-2</v>
      </c>
    </row>
    <row r="14" spans="1:36" ht="15.5" x14ac:dyDescent="0.35">
      <c r="A14">
        <v>2005</v>
      </c>
      <c r="B14">
        <v>41507085</v>
      </c>
      <c r="C14">
        <v>11821905</v>
      </c>
      <c r="D14">
        <v>53328990</v>
      </c>
      <c r="E14">
        <v>41865491</v>
      </c>
      <c r="F14">
        <v>28435896</v>
      </c>
      <c r="G14">
        <v>4448665</v>
      </c>
      <c r="H14">
        <v>8476753</v>
      </c>
      <c r="I14">
        <v>504177</v>
      </c>
      <c r="J14">
        <v>11463499</v>
      </c>
      <c r="K14">
        <v>53328990</v>
      </c>
      <c r="M14">
        <f t="shared" si="1"/>
        <v>0.28237827188029396</v>
      </c>
      <c r="N14">
        <f t="shared" si="2"/>
        <v>-8.6348149960422411E-3</v>
      </c>
      <c r="O14">
        <f t="shared" si="3"/>
        <v>0.10717844917319537</v>
      </c>
      <c r="Q14" s="23">
        <v>2005</v>
      </c>
      <c r="R14" s="82">
        <v>4380569</v>
      </c>
      <c r="S14" s="82">
        <v>34824575</v>
      </c>
      <c r="T14" s="82">
        <v>2301941</v>
      </c>
      <c r="U14" s="82">
        <v>41507085</v>
      </c>
      <c r="V14">
        <f t="shared" si="4"/>
        <v>0.10553786178913793</v>
      </c>
      <c r="X14" s="90">
        <v>2005</v>
      </c>
      <c r="Y14" s="88">
        <v>194171.69752124001</v>
      </c>
      <c r="Z14" s="87">
        <v>531.97725348284939</v>
      </c>
      <c r="AA14" s="87">
        <v>70971.906101240005</v>
      </c>
      <c r="AB14" s="87">
        <v>123199.79142000002</v>
      </c>
      <c r="AC14">
        <f t="shared" si="5"/>
        <v>0.36551107605925187</v>
      </c>
      <c r="AF14" s="120">
        <v>531.66605676999825</v>
      </c>
      <c r="AG14" s="90">
        <v>2005</v>
      </c>
      <c r="AH14" s="121">
        <f t="shared" si="6"/>
        <v>1.2809043486672174E-2</v>
      </c>
      <c r="AI14" s="122">
        <f t="shared" si="0"/>
        <v>1.3554590809098817E-2</v>
      </c>
    </row>
    <row r="15" spans="1:36" ht="15.5" x14ac:dyDescent="0.35">
      <c r="A15">
        <v>2006</v>
      </c>
      <c r="B15">
        <v>46802044</v>
      </c>
      <c r="C15">
        <v>13748900</v>
      </c>
      <c r="D15">
        <v>60550944</v>
      </c>
      <c r="E15">
        <v>46354445</v>
      </c>
      <c r="F15">
        <v>30880890</v>
      </c>
      <c r="G15">
        <v>4961903</v>
      </c>
      <c r="H15">
        <v>9759712</v>
      </c>
      <c r="I15">
        <v>751940</v>
      </c>
      <c r="J15">
        <v>14196499</v>
      </c>
      <c r="K15">
        <v>60550944</v>
      </c>
      <c r="M15">
        <f t="shared" si="1"/>
        <v>0.2966037021908039</v>
      </c>
      <c r="N15">
        <f t="shared" si="2"/>
        <v>9.5636635015342499E-3</v>
      </c>
      <c r="O15">
        <f t="shared" si="3"/>
        <v>0.10601893797629865</v>
      </c>
      <c r="Q15" s="23">
        <v>2006</v>
      </c>
      <c r="R15" s="82">
        <v>5819360</v>
      </c>
      <c r="S15" s="82">
        <v>38677787</v>
      </c>
      <c r="T15" s="82">
        <v>2304897</v>
      </c>
      <c r="U15" s="82">
        <v>46802044</v>
      </c>
      <c r="V15">
        <f t="shared" si="4"/>
        <v>0.12433986857497079</v>
      </c>
      <c r="X15" s="90">
        <v>2006</v>
      </c>
      <c r="Y15" s="88">
        <v>195651.90536999999</v>
      </c>
      <c r="Z15" s="87">
        <v>536.03261745205475</v>
      </c>
      <c r="AA15" s="88">
        <v>90438.21259000001</v>
      </c>
      <c r="AB15" s="88">
        <v>105213.69278</v>
      </c>
      <c r="AC15">
        <f t="shared" si="5"/>
        <v>0.46224038768736275</v>
      </c>
      <c r="AF15" s="120">
        <v>1448.7855080999998</v>
      </c>
      <c r="AG15" s="90">
        <v>2006</v>
      </c>
      <c r="AH15" s="121">
        <f t="shared" si="6"/>
        <v>3.0955603308693094E-2</v>
      </c>
      <c r="AI15" s="122">
        <f t="shared" si="0"/>
        <v>1.3554590809098817E-2</v>
      </c>
    </row>
    <row r="16" spans="1:36" ht="15.5" x14ac:dyDescent="0.35">
      <c r="A16">
        <v>2007</v>
      </c>
      <c r="B16">
        <v>51007777</v>
      </c>
      <c r="C16">
        <v>15636623</v>
      </c>
      <c r="D16">
        <v>66644400</v>
      </c>
      <c r="E16">
        <v>50356715</v>
      </c>
      <c r="F16">
        <v>33201278</v>
      </c>
      <c r="G16">
        <v>5574209</v>
      </c>
      <c r="H16">
        <v>10593947</v>
      </c>
      <c r="I16">
        <v>987281</v>
      </c>
      <c r="J16">
        <v>16287685</v>
      </c>
      <c r="K16">
        <v>66644400</v>
      </c>
      <c r="M16">
        <f t="shared" si="1"/>
        <v>0.31051713758532501</v>
      </c>
      <c r="N16">
        <f t="shared" si="2"/>
        <v>1.2763975187548361E-2</v>
      </c>
      <c r="O16">
        <f t="shared" si="3"/>
        <v>0.1092815513210858</v>
      </c>
      <c r="Q16" s="23">
        <v>2007</v>
      </c>
      <c r="R16" s="82">
        <v>6751274</v>
      </c>
      <c r="S16" s="82">
        <v>41759629</v>
      </c>
      <c r="T16" s="82">
        <v>2496874</v>
      </c>
      <c r="U16" s="82">
        <v>51007777</v>
      </c>
      <c r="V16">
        <f t="shared" si="4"/>
        <v>0.13235773831115988</v>
      </c>
      <c r="X16" s="89">
        <v>2007</v>
      </c>
      <c r="Y16" s="88">
        <v>186547.14519999997</v>
      </c>
      <c r="Z16" s="87">
        <v>511.08806904109582</v>
      </c>
      <c r="AA16" s="88">
        <v>94334.452079999988</v>
      </c>
      <c r="AB16" s="88">
        <v>92212.693119999996</v>
      </c>
      <c r="AC16">
        <f t="shared" si="5"/>
        <v>0.50568692422959682</v>
      </c>
      <c r="AF16" s="120">
        <v>1414.2047799999964</v>
      </c>
      <c r="AG16" s="89">
        <v>2007</v>
      </c>
      <c r="AH16" s="121">
        <f t="shared" si="6"/>
        <v>2.7725277657169735E-2</v>
      </c>
      <c r="AI16" s="122">
        <f>AVERAGE($AH$9:$AH$16)</f>
        <v>1.3554590809098817E-2</v>
      </c>
    </row>
    <row r="17" spans="1:36" ht="15.5" x14ac:dyDescent="0.35">
      <c r="A17">
        <v>2008</v>
      </c>
      <c r="B17">
        <v>61762635</v>
      </c>
      <c r="C17">
        <v>20933400</v>
      </c>
      <c r="D17">
        <v>82696035</v>
      </c>
      <c r="E17">
        <v>61595671</v>
      </c>
      <c r="F17">
        <v>37991263</v>
      </c>
      <c r="G17">
        <v>7306788</v>
      </c>
      <c r="H17">
        <v>13818514</v>
      </c>
      <c r="I17">
        <v>2479106</v>
      </c>
      <c r="J17">
        <v>21100364</v>
      </c>
      <c r="K17">
        <v>82696035</v>
      </c>
      <c r="M17">
        <f t="shared" si="1"/>
        <v>0.33985180549457772</v>
      </c>
      <c r="N17">
        <f t="shared" si="2"/>
        <v>2.7033173050340226E-3</v>
      </c>
      <c r="O17">
        <f t="shared" si="3"/>
        <v>0.11830434371849582</v>
      </c>
      <c r="Q17" s="23">
        <v>2008</v>
      </c>
      <c r="R17" s="82">
        <v>9773162</v>
      </c>
      <c r="S17" s="82">
        <v>49777740</v>
      </c>
      <c r="T17" s="82">
        <v>2211733</v>
      </c>
      <c r="U17" s="82">
        <v>61762635</v>
      </c>
      <c r="V17">
        <f t="shared" si="4"/>
        <v>0.15823745214238349</v>
      </c>
      <c r="X17" s="89">
        <v>2008</v>
      </c>
      <c r="Y17" s="88">
        <v>184727.88086600002</v>
      </c>
      <c r="Z17" s="87">
        <v>504.72098597267768</v>
      </c>
      <c r="AA17" s="88">
        <v>97571.144402999984</v>
      </c>
      <c r="AB17" s="88">
        <v>87156.736463000008</v>
      </c>
      <c r="AC17">
        <f t="shared" si="5"/>
        <v>0.52818851136920275</v>
      </c>
      <c r="AF17" s="120">
        <v>910.2961899999973</v>
      </c>
      <c r="AG17" s="89">
        <v>2008</v>
      </c>
      <c r="AH17" s="121">
        <f t="shared" si="6"/>
        <v>1.4738622955448666E-2</v>
      </c>
      <c r="AI17" s="123"/>
      <c r="AJ17" s="122">
        <f t="shared" ref="AJ17:AJ25" si="7">AVERAGE($AH$17:$AH$26)</f>
        <v>-6.024631648353501E-3</v>
      </c>
    </row>
    <row r="18" spans="1:36" ht="15.5" x14ac:dyDescent="0.35">
      <c r="A18">
        <v>2009</v>
      </c>
      <c r="B18">
        <v>62519686</v>
      </c>
      <c r="C18">
        <v>16790125</v>
      </c>
      <c r="D18">
        <v>79309811</v>
      </c>
      <c r="E18">
        <v>63524148</v>
      </c>
      <c r="F18">
        <v>38913285</v>
      </c>
      <c r="G18">
        <v>8581275</v>
      </c>
      <c r="H18">
        <v>14257689</v>
      </c>
      <c r="I18">
        <v>1771899</v>
      </c>
      <c r="J18">
        <v>15785663</v>
      </c>
      <c r="K18">
        <v>79309811</v>
      </c>
      <c r="M18">
        <f t="shared" si="1"/>
        <v>0.26431090425644121</v>
      </c>
      <c r="N18">
        <f t="shared" si="2"/>
        <v>-1.6066331491172238E-2</v>
      </c>
      <c r="O18">
        <f t="shared" si="3"/>
        <v>0.13725716728647677</v>
      </c>
      <c r="Q18" s="23">
        <v>2009</v>
      </c>
      <c r="R18" s="82">
        <v>5894526</v>
      </c>
      <c r="S18" s="82">
        <v>53118749</v>
      </c>
      <c r="T18" s="82">
        <v>3506411</v>
      </c>
      <c r="U18" s="82">
        <v>62519686</v>
      </c>
      <c r="V18">
        <f t="shared" si="4"/>
        <v>9.4282719206235294E-2</v>
      </c>
      <c r="X18" s="89">
        <v>2009</v>
      </c>
      <c r="Y18" s="88">
        <v>177414.40479633331</v>
      </c>
      <c r="Z18" s="87">
        <v>486.06686245570774</v>
      </c>
      <c r="AA18" s="88">
        <v>102767.88369799999</v>
      </c>
      <c r="AB18" s="88">
        <v>74646.521098333324</v>
      </c>
      <c r="AC18">
        <f t="shared" si="5"/>
        <v>0.57925332396754703</v>
      </c>
      <c r="AF18" s="120">
        <v>-300.88950242999817</v>
      </c>
      <c r="AG18" s="89">
        <v>2009</v>
      </c>
      <c r="AH18" s="121">
        <f t="shared" si="6"/>
        <v>-4.8127161487982869E-3</v>
      </c>
      <c r="AJ18" s="122">
        <f t="shared" si="7"/>
        <v>-6.024631648353501E-3</v>
      </c>
    </row>
    <row r="19" spans="1:36" ht="15.5" x14ac:dyDescent="0.35">
      <c r="A19">
        <v>2010</v>
      </c>
      <c r="B19">
        <v>69555367</v>
      </c>
      <c r="C19">
        <v>22541700</v>
      </c>
      <c r="D19">
        <v>92097067</v>
      </c>
      <c r="E19">
        <v>72694628</v>
      </c>
      <c r="F19">
        <v>44012105</v>
      </c>
      <c r="G19">
        <v>9181067</v>
      </c>
      <c r="H19">
        <v>17127889</v>
      </c>
      <c r="I19">
        <v>2373567</v>
      </c>
      <c r="J19">
        <v>19402439</v>
      </c>
      <c r="K19">
        <v>92097067</v>
      </c>
      <c r="M19">
        <f t="shared" si="1"/>
        <v>0.31008756245372077</v>
      </c>
      <c r="N19">
        <f t="shared" si="2"/>
        <v>-4.5133267717500508E-2</v>
      </c>
      <c r="O19">
        <f t="shared" si="3"/>
        <v>0.13199652875097331</v>
      </c>
      <c r="Q19" s="23">
        <v>2010</v>
      </c>
      <c r="R19" s="82">
        <v>8126685</v>
      </c>
      <c r="S19" s="82">
        <v>58372775</v>
      </c>
      <c r="T19" s="82">
        <v>3055907</v>
      </c>
      <c r="U19" s="82">
        <v>69555367</v>
      </c>
      <c r="V19">
        <f t="shared" si="4"/>
        <v>0.11683764101194377</v>
      </c>
      <c r="X19" s="89">
        <v>2010</v>
      </c>
      <c r="Y19" s="88">
        <v>177421.75870200002</v>
      </c>
      <c r="Z19" s="88">
        <v>486.08701014246583</v>
      </c>
      <c r="AA19" s="88">
        <v>109944.02234900001</v>
      </c>
      <c r="AB19" s="88">
        <v>67477.736353</v>
      </c>
      <c r="AC19">
        <f t="shared" si="5"/>
        <v>0.6196760935825435</v>
      </c>
      <c r="AF19" s="119">
        <v>-1978.7270264099971</v>
      </c>
      <c r="AG19" s="89">
        <v>2010</v>
      </c>
      <c r="AH19" s="121">
        <f t="shared" si="6"/>
        <v>-2.8448229256126233E-2</v>
      </c>
      <c r="AJ19" s="122">
        <f t="shared" si="7"/>
        <v>-6.024631648353501E-3</v>
      </c>
    </row>
    <row r="20" spans="1:36" ht="15.5" x14ac:dyDescent="0.35">
      <c r="A20">
        <v>2011</v>
      </c>
      <c r="B20">
        <v>79276664</v>
      </c>
      <c r="C20">
        <v>26453861</v>
      </c>
      <c r="D20">
        <v>105730525</v>
      </c>
      <c r="E20">
        <v>81058676</v>
      </c>
      <c r="F20">
        <v>48657155</v>
      </c>
      <c r="G20">
        <v>10091166</v>
      </c>
      <c r="H20">
        <v>20470786</v>
      </c>
      <c r="I20">
        <v>1839569</v>
      </c>
      <c r="J20">
        <v>24671849</v>
      </c>
      <c r="K20">
        <v>105730525</v>
      </c>
      <c r="M20">
        <f t="shared" si="1"/>
        <v>0.32635446697895731</v>
      </c>
      <c r="N20">
        <f t="shared" si="2"/>
        <v>-2.2478392884947834E-2</v>
      </c>
      <c r="O20">
        <f t="shared" si="3"/>
        <v>0.12729049749116589</v>
      </c>
      <c r="Q20" s="23">
        <v>2011</v>
      </c>
      <c r="R20" s="82">
        <v>10902229</v>
      </c>
      <c r="S20" s="82">
        <v>65633986</v>
      </c>
      <c r="T20" s="82">
        <v>2740449</v>
      </c>
      <c r="U20" s="82">
        <v>79276664</v>
      </c>
      <c r="V20">
        <f t="shared" si="4"/>
        <v>0.13752128873636763</v>
      </c>
      <c r="X20" s="89">
        <v>2011</v>
      </c>
      <c r="Y20" s="88">
        <v>182356.92706000002</v>
      </c>
      <c r="Z20" s="88">
        <v>499.60801934246581</v>
      </c>
      <c r="AA20" s="88">
        <v>130527.75415000001</v>
      </c>
      <c r="AB20" s="88">
        <v>51829.172910000001</v>
      </c>
      <c r="AC20">
        <f t="shared" si="5"/>
        <v>0.71578171586019923</v>
      </c>
      <c r="AF20" s="119">
        <v>-829.50428296000246</v>
      </c>
      <c r="AG20" s="89">
        <v>2011</v>
      </c>
      <c r="AH20" s="121">
        <f t="shared" si="6"/>
        <v>-1.0463410556226261E-2</v>
      </c>
      <c r="AJ20" s="122">
        <f t="shared" si="7"/>
        <v>-6.024631648353501E-3</v>
      </c>
    </row>
    <row r="21" spans="1:36" ht="15.5" x14ac:dyDescent="0.35">
      <c r="A21">
        <v>2012</v>
      </c>
      <c r="B21">
        <v>87924544</v>
      </c>
      <c r="C21">
        <v>27772113</v>
      </c>
      <c r="D21">
        <v>115696657</v>
      </c>
      <c r="E21">
        <v>89174386</v>
      </c>
      <c r="F21">
        <v>53008272</v>
      </c>
      <c r="G21">
        <v>11726752</v>
      </c>
      <c r="H21">
        <v>23707838</v>
      </c>
      <c r="I21">
        <v>731524</v>
      </c>
      <c r="J21">
        <v>26522271</v>
      </c>
      <c r="K21">
        <v>115696657</v>
      </c>
      <c r="M21">
        <f t="shared" si="1"/>
        <v>0.31143598790800758</v>
      </c>
      <c r="N21">
        <f t="shared" si="2"/>
        <v>-1.4214938663770608E-2</v>
      </c>
      <c r="O21">
        <f t="shared" si="3"/>
        <v>0.13337290665960122</v>
      </c>
      <c r="Q21" s="23">
        <v>2012</v>
      </c>
      <c r="R21" s="82">
        <v>11742367</v>
      </c>
      <c r="S21" s="82">
        <v>72113804</v>
      </c>
      <c r="T21" s="82">
        <v>4068373</v>
      </c>
      <c r="U21" s="82">
        <v>87924544</v>
      </c>
      <c r="V21">
        <f t="shared" si="4"/>
        <v>0.13355050212145542</v>
      </c>
      <c r="X21" s="89">
        <v>2012</v>
      </c>
      <c r="Y21" s="88">
        <v>184323.28602699999</v>
      </c>
      <c r="Z21" s="88">
        <v>503.61553559289615</v>
      </c>
      <c r="AA21" s="88">
        <v>133656.08213699999</v>
      </c>
      <c r="AB21" s="88">
        <v>50667.20388999999</v>
      </c>
      <c r="AC21">
        <f t="shared" si="5"/>
        <v>0.72511772667411001</v>
      </c>
      <c r="AF21" s="119">
        <v>-440.6054739550018</v>
      </c>
      <c r="AG21" s="89">
        <v>2012</v>
      </c>
      <c r="AH21" s="121">
        <f t="shared" si="6"/>
        <v>-5.0111772425570017E-3</v>
      </c>
      <c r="AJ21" s="122">
        <f t="shared" si="7"/>
        <v>-6.024631648353501E-3</v>
      </c>
    </row>
    <row r="22" spans="1:36" ht="15.5" x14ac:dyDescent="0.35">
      <c r="A22">
        <v>2013</v>
      </c>
      <c r="B22">
        <v>95129659</v>
      </c>
      <c r="C22">
        <v>29459627</v>
      </c>
      <c r="D22">
        <v>124589286</v>
      </c>
      <c r="E22">
        <v>97345780</v>
      </c>
      <c r="F22">
        <v>56941887</v>
      </c>
      <c r="G22">
        <v>13323278</v>
      </c>
      <c r="H22">
        <v>26211660</v>
      </c>
      <c r="I22">
        <v>868955</v>
      </c>
      <c r="J22">
        <v>27243506</v>
      </c>
      <c r="K22">
        <v>124589286</v>
      </c>
      <c r="M22">
        <f t="shared" si="1"/>
        <v>0.3026287015215246</v>
      </c>
      <c r="N22">
        <f t="shared" si="2"/>
        <v>-2.3295794637506268E-2</v>
      </c>
      <c r="O22">
        <f t="shared" si="3"/>
        <v>0.14005388161856019</v>
      </c>
      <c r="Q22" s="23">
        <v>2013</v>
      </c>
      <c r="R22" s="82">
        <v>11979019</v>
      </c>
      <c r="S22" s="82">
        <v>78554843</v>
      </c>
      <c r="T22" s="82">
        <v>4595797</v>
      </c>
      <c r="U22" s="82">
        <v>95129659</v>
      </c>
      <c r="V22">
        <f t="shared" si="4"/>
        <v>0.12592307305548103</v>
      </c>
      <c r="X22" s="89">
        <v>2013</v>
      </c>
      <c r="Y22" s="88">
        <v>192119.04959000001</v>
      </c>
      <c r="Z22" s="88">
        <v>526.35356052054794</v>
      </c>
      <c r="AA22" s="88">
        <v>144921.43548000001</v>
      </c>
      <c r="AB22" s="88">
        <v>47197.61411000001</v>
      </c>
      <c r="AC22">
        <f t="shared" si="5"/>
        <v>0.75433141996733744</v>
      </c>
      <c r="AF22" s="119">
        <v>-1040.9907726580022</v>
      </c>
      <c r="AG22" s="89">
        <v>2013</v>
      </c>
      <c r="AH22" s="121">
        <f t="shared" si="6"/>
        <v>-1.0942862442700464E-2</v>
      </c>
      <c r="AJ22" s="122">
        <f t="shared" si="7"/>
        <v>-6.024631648353501E-3</v>
      </c>
    </row>
    <row r="23" spans="1:36" ht="15.5" x14ac:dyDescent="0.35">
      <c r="A23">
        <v>2014</v>
      </c>
      <c r="B23">
        <v>101726331</v>
      </c>
      <c r="C23">
        <v>30168281</v>
      </c>
      <c r="D23">
        <v>131894612</v>
      </c>
      <c r="E23">
        <v>103358490</v>
      </c>
      <c r="F23">
        <v>60012296</v>
      </c>
      <c r="G23">
        <v>14542955</v>
      </c>
      <c r="H23">
        <v>27684231</v>
      </c>
      <c r="I23">
        <v>1119008</v>
      </c>
      <c r="J23">
        <v>28536122</v>
      </c>
      <c r="K23">
        <v>131894612</v>
      </c>
      <c r="M23">
        <f t="shared" si="1"/>
        <v>0.29188004778320581</v>
      </c>
      <c r="N23">
        <f t="shared" si="2"/>
        <v>-1.604460697594608E-2</v>
      </c>
      <c r="O23">
        <f t="shared" si="3"/>
        <v>0.14296156026702664</v>
      </c>
      <c r="Q23" s="23">
        <v>2014</v>
      </c>
      <c r="R23" s="82">
        <v>11198789</v>
      </c>
      <c r="S23" s="82">
        <v>85695952</v>
      </c>
      <c r="T23" s="82">
        <v>4831590</v>
      </c>
      <c r="U23" s="82">
        <v>101726331</v>
      </c>
      <c r="V23">
        <f t="shared" si="4"/>
        <v>0.1100874167967387</v>
      </c>
      <c r="X23" s="89">
        <v>2014</v>
      </c>
      <c r="Y23" s="88">
        <v>203142.17454800001</v>
      </c>
      <c r="Z23" s="88">
        <v>556.55390287123294</v>
      </c>
      <c r="AA23" s="88">
        <v>157975.942928</v>
      </c>
      <c r="AB23" s="88">
        <v>45166.231619999999</v>
      </c>
      <c r="AC23">
        <f t="shared" si="5"/>
        <v>0.77766196645036023</v>
      </c>
      <c r="AF23" s="119">
        <v>-712.48576044299989</v>
      </c>
      <c r="AG23" s="89">
        <v>2014</v>
      </c>
      <c r="AH23" s="121">
        <f t="shared" si="6"/>
        <v>-7.0039463080900843E-3</v>
      </c>
      <c r="AJ23" s="122">
        <f t="shared" si="7"/>
        <v>-6.024631648353501E-3</v>
      </c>
    </row>
    <row r="24" spans="1:36" ht="15.5" x14ac:dyDescent="0.35">
      <c r="A24">
        <v>2015</v>
      </c>
      <c r="B24">
        <v>99290381</v>
      </c>
      <c r="C24">
        <v>23815449</v>
      </c>
      <c r="D24">
        <v>123105830</v>
      </c>
      <c r="E24">
        <v>101998461</v>
      </c>
      <c r="F24">
        <v>60991910</v>
      </c>
      <c r="G24">
        <v>14327128</v>
      </c>
      <c r="H24">
        <v>26390456</v>
      </c>
      <c r="I24">
        <v>288967</v>
      </c>
      <c r="J24">
        <v>21107369</v>
      </c>
      <c r="K24">
        <v>123105830</v>
      </c>
      <c r="M24">
        <f t="shared" si="1"/>
        <v>0.23348831704431305</v>
      </c>
      <c r="N24">
        <f t="shared" si="2"/>
        <v>-2.7274343926628704E-2</v>
      </c>
      <c r="O24">
        <f t="shared" si="3"/>
        <v>0.14429522634221739</v>
      </c>
      <c r="Q24" s="23">
        <v>2015</v>
      </c>
      <c r="R24" s="82">
        <v>5152475</v>
      </c>
      <c r="S24" s="82">
        <v>86890030</v>
      </c>
      <c r="T24" s="82">
        <v>7247876</v>
      </c>
      <c r="U24" s="82">
        <v>99290381</v>
      </c>
      <c r="V24">
        <f t="shared" si="4"/>
        <v>5.1892992534694773E-2</v>
      </c>
      <c r="X24" s="86">
        <v>2015</v>
      </c>
      <c r="Y24" s="85">
        <v>198229.61609999998</v>
      </c>
      <c r="Z24" s="85">
        <v>543.09483863013691</v>
      </c>
      <c r="AA24" s="85">
        <v>154307.62417999996</v>
      </c>
      <c r="AB24" s="85">
        <v>43921.991919999993</v>
      </c>
      <c r="AC24">
        <f t="shared" si="5"/>
        <v>0.77842870917006213</v>
      </c>
      <c r="AF24" s="118">
        <v>-2104.0260194560033</v>
      </c>
      <c r="AG24" s="86">
        <v>2015</v>
      </c>
      <c r="AH24" s="121">
        <f t="shared" si="6"/>
        <v>-2.119063295220917E-2</v>
      </c>
      <c r="AJ24" s="122">
        <f t="shared" si="7"/>
        <v>-6.024631648353501E-3</v>
      </c>
    </row>
    <row r="25" spans="1:36" ht="15.5" x14ac:dyDescent="0.35">
      <c r="A25">
        <v>2016</v>
      </c>
      <c r="B25">
        <v>99937696</v>
      </c>
      <c r="C25">
        <v>19004701</v>
      </c>
      <c r="D25">
        <v>118942397</v>
      </c>
      <c r="E25">
        <v>99449758</v>
      </c>
      <c r="F25">
        <v>59889692</v>
      </c>
      <c r="G25">
        <v>14596594</v>
      </c>
      <c r="H25">
        <v>25080788</v>
      </c>
      <c r="I25">
        <v>-117316</v>
      </c>
      <c r="J25">
        <v>19492639</v>
      </c>
      <c r="K25">
        <v>118942397</v>
      </c>
      <c r="M25">
        <f t="shared" si="1"/>
        <v>0.19109851428698299</v>
      </c>
      <c r="N25">
        <f t="shared" si="2"/>
        <v>4.8824219441680949E-3</v>
      </c>
      <c r="O25">
        <f t="shared" si="3"/>
        <v>0.14605693931547112</v>
      </c>
      <c r="Q25" s="23">
        <v>2016</v>
      </c>
      <c r="R25" s="82">
        <v>4275171</v>
      </c>
      <c r="S25" s="82">
        <v>88763115</v>
      </c>
      <c r="T25" s="82">
        <v>6899410</v>
      </c>
      <c r="U25" s="82">
        <v>99937696</v>
      </c>
      <c r="V25">
        <f t="shared" si="4"/>
        <v>4.2778362631053654E-2</v>
      </c>
      <c r="X25" s="86">
        <v>2016</v>
      </c>
      <c r="Y25" s="85">
        <v>200729.49851099998</v>
      </c>
      <c r="Z25" s="85">
        <v>548.44125276229499</v>
      </c>
      <c r="AA25" s="85">
        <v>158118.36830100001</v>
      </c>
      <c r="AB25" s="85">
        <v>42611.13021000001</v>
      </c>
      <c r="AC25">
        <f t="shared" si="5"/>
        <v>0.78771864361697252</v>
      </c>
      <c r="AF25" s="118">
        <v>1231.2680480729978</v>
      </c>
      <c r="AG25" s="86">
        <v>2016</v>
      </c>
      <c r="AH25" s="121">
        <f t="shared" si="6"/>
        <v>1.2320356555678426E-2</v>
      </c>
      <c r="AJ25" s="122">
        <f t="shared" si="7"/>
        <v>-6.024631648353501E-3</v>
      </c>
    </row>
    <row r="26" spans="1:36" ht="15.5" x14ac:dyDescent="0.35">
      <c r="A26">
        <v>2017</v>
      </c>
      <c r="B26">
        <v>104295862</v>
      </c>
      <c r="C26">
        <v>22516333</v>
      </c>
      <c r="D26">
        <v>126812195</v>
      </c>
      <c r="E26">
        <v>105084428</v>
      </c>
      <c r="F26">
        <v>62477987</v>
      </c>
      <c r="G26">
        <v>15197218</v>
      </c>
      <c r="H26">
        <v>26496256</v>
      </c>
      <c r="I26">
        <v>912967</v>
      </c>
      <c r="J26">
        <v>21727767</v>
      </c>
      <c r="K26">
        <v>126812195</v>
      </c>
      <c r="M26">
        <f t="shared" si="1"/>
        <v>0.21426897808303244</v>
      </c>
      <c r="N26">
        <f t="shared" si="2"/>
        <v>-7.5608560577408142E-3</v>
      </c>
      <c r="O26">
        <f t="shared" si="3"/>
        <v>0.14571256911419939</v>
      </c>
      <c r="Q26" s="23">
        <v>2017</v>
      </c>
      <c r="R26" s="82">
        <v>5639977</v>
      </c>
      <c r="S26" s="82">
        <v>91442756</v>
      </c>
      <c r="T26" s="82">
        <v>7213129</v>
      </c>
      <c r="U26" s="82">
        <v>104295862</v>
      </c>
      <c r="V26">
        <f t="shared" si="4"/>
        <v>5.4076709198683258E-2</v>
      </c>
      <c r="X26" s="86">
        <v>2017</v>
      </c>
      <c r="Y26" s="85">
        <v>193927.09006700001</v>
      </c>
      <c r="Z26" s="85">
        <v>531.30709607397262</v>
      </c>
      <c r="AA26" s="85">
        <v>152092.11533999999</v>
      </c>
      <c r="AB26" s="85">
        <v>41834.974727000008</v>
      </c>
      <c r="AC26">
        <f t="shared" si="5"/>
        <v>0.78427472555512268</v>
      </c>
      <c r="AF26" s="118">
        <v>59.206561470997258</v>
      </c>
      <c r="AG26" s="86">
        <v>2017</v>
      </c>
      <c r="AH26" s="121">
        <f t="shared" si="6"/>
        <v>5.6767891204540075E-4</v>
      </c>
      <c r="AJ26" s="122">
        <f>AVERAGE($AH$17:$AH$26)</f>
        <v>-6.024631648353501E-3</v>
      </c>
    </row>
    <row r="27" spans="1:36" ht="15.5" x14ac:dyDescent="0.35">
      <c r="A27">
        <v>2018</v>
      </c>
      <c r="B27">
        <v>107562008</v>
      </c>
      <c r="C27">
        <v>25553987</v>
      </c>
      <c r="D27">
        <v>133115995</v>
      </c>
      <c r="E27">
        <v>108801943</v>
      </c>
      <c r="F27">
        <v>64202300</v>
      </c>
      <c r="G27">
        <v>15829210</v>
      </c>
      <c r="H27">
        <v>27517684</v>
      </c>
      <c r="I27">
        <v>1252749</v>
      </c>
      <c r="J27">
        <v>24314052</v>
      </c>
      <c r="K27">
        <v>133115995</v>
      </c>
      <c r="M27">
        <f t="shared" si="1"/>
        <v>0.23486700968198701</v>
      </c>
      <c r="N27">
        <f t="shared" si="2"/>
        <v>-1.1527629718478294E-2</v>
      </c>
      <c r="O27">
        <f t="shared" si="3"/>
        <v>0.14716357842631572</v>
      </c>
      <c r="Q27" s="23">
        <v>2018</v>
      </c>
      <c r="R27" s="82">
        <v>6918891</v>
      </c>
      <c r="S27" s="82">
        <v>93037062</v>
      </c>
      <c r="T27" s="82">
        <v>7606055</v>
      </c>
      <c r="U27" s="82">
        <v>107562008</v>
      </c>
      <c r="V27">
        <f t="shared" si="4"/>
        <v>6.4324673076017691E-2</v>
      </c>
      <c r="X27" s="86">
        <v>2018</v>
      </c>
      <c r="Y27" s="85">
        <v>188792.48968300002</v>
      </c>
      <c r="Z27" s="85">
        <v>517.23969776164392</v>
      </c>
      <c r="AA27" s="85">
        <v>146353.378157</v>
      </c>
      <c r="AB27" s="85">
        <v>42439.111526000001</v>
      </c>
      <c r="AC27">
        <f t="shared" si="5"/>
        <v>0.77520762824167844</v>
      </c>
      <c r="AF27" s="118">
        <v>-477.63435724500596</v>
      </c>
      <c r="AG27" s="86">
        <v>2018</v>
      </c>
      <c r="AH27" s="121">
        <f t="shared" si="6"/>
        <v>-4.4405489087281256E-3</v>
      </c>
    </row>
    <row r="28" spans="1:36" ht="15.5" x14ac:dyDescent="0.35">
      <c r="A28">
        <v>2019</v>
      </c>
      <c r="B28">
        <v>107435665</v>
      </c>
      <c r="C28">
        <v>25086092</v>
      </c>
      <c r="D28">
        <v>132521757</v>
      </c>
      <c r="E28">
        <v>107392512</v>
      </c>
      <c r="F28">
        <v>64998900</v>
      </c>
      <c r="G28">
        <v>15583181</v>
      </c>
      <c r="H28">
        <v>26821083</v>
      </c>
      <c r="I28">
        <v>-10652</v>
      </c>
      <c r="J28">
        <v>25129245</v>
      </c>
      <c r="K28">
        <v>132521757</v>
      </c>
      <c r="M28">
        <f t="shared" si="1"/>
        <v>0.23359256183522367</v>
      </c>
      <c r="N28">
        <f t="shared" si="2"/>
        <v>4.0166363748946868E-4</v>
      </c>
      <c r="O28">
        <f t="shared" si="3"/>
        <v>0.14504662860326689</v>
      </c>
      <c r="Q28" s="23">
        <v>2019</v>
      </c>
      <c r="R28" s="82">
        <v>6658788</v>
      </c>
      <c r="S28" s="82">
        <v>93381857</v>
      </c>
      <c r="T28" s="82">
        <v>7395020</v>
      </c>
      <c r="U28" s="82">
        <v>107435665</v>
      </c>
      <c r="V28">
        <f t="shared" si="4"/>
        <v>6.1979306406303718E-2</v>
      </c>
      <c r="X28" s="86">
        <v>2019</v>
      </c>
      <c r="Y28" s="85">
        <v>193816.08317900004</v>
      </c>
      <c r="Z28" s="85">
        <v>531.00296761369873</v>
      </c>
      <c r="AA28" s="85">
        <v>152858.03808900001</v>
      </c>
      <c r="AB28" s="85">
        <v>40958.045090000007</v>
      </c>
      <c r="AC28">
        <f t="shared" si="5"/>
        <v>0.78867571556395055</v>
      </c>
      <c r="AF28" s="118">
        <v>820.12586179000209</v>
      </c>
      <c r="AG28" s="86">
        <v>2019</v>
      </c>
      <c r="AH28" s="121">
        <f t="shared" si="6"/>
        <v>7.6336462550867261E-3</v>
      </c>
    </row>
    <row r="30" spans="1:36" x14ac:dyDescent="0.35">
      <c r="A30" t="s">
        <v>526</v>
      </c>
      <c r="M30">
        <f>AVERAGE(M9:M28)</f>
        <v>0.27275290726621348</v>
      </c>
      <c r="N30">
        <f t="shared" ref="N30:O30" si="8">AVERAGE(N9:N28)</f>
        <v>-1.2846980438661467E-2</v>
      </c>
      <c r="O30">
        <f t="shared" si="8"/>
        <v>0.12421455798088625</v>
      </c>
      <c r="V30">
        <f t="shared" ref="V30" si="9">AVERAGE(V9:V28)</f>
        <v>9.2926506081144972E-2</v>
      </c>
      <c r="AC30">
        <f t="shared" ref="AC30" si="10">AVERAGE(AC9:AC28)</f>
        <v>0.6254159936630973</v>
      </c>
    </row>
  </sheetData>
  <mergeCells count="5">
    <mergeCell ref="Y6:Y8"/>
    <mergeCell ref="Z6:Z8"/>
    <mergeCell ref="AA7:AA8"/>
    <mergeCell ref="AB7:AB8"/>
    <mergeCell ref="AA6:AB6"/>
  </mergeCells>
  <pageMargins left="0.7" right="0.7" top="0.75" bottom="0.75" header="0.3" footer="0.3"/>
  <pageSetup orientation="portrait" horizontalDpi="1200" verticalDpi="1200" r:id="rId1"/>
  <headerFooter>
    <oddHeader>&amp;L&amp;"Calibri"&amp;11&amp;K000000NONCONFIDENTIAL // FRSONLY&amp;1#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quarterly</vt:lpstr>
      <vt:lpstr>monthly</vt:lpstr>
      <vt:lpstr>annual</vt:lpstr>
      <vt:lpstr>real_exchange_rate</vt:lpstr>
      <vt:lpstr>debt</vt:lpstr>
      <vt:lpstr>consumption_investment_governme</vt:lpstr>
      <vt:lpstr>oilGDPreal</vt:lpstr>
      <vt:lpstr>oilGDPnominal</vt:lpstr>
      <vt:lpstr>worldGDP</vt:lpstr>
      <vt:lpstr>US_GDP_deflator</vt:lpstr>
      <vt:lpstr>3-month_Tbill</vt:lpstr>
      <vt:lpstr>oilprice</vt:lpstr>
      <vt:lpstr>oilprod</vt:lpstr>
      <vt:lpstr>oilrevenue</vt:lpstr>
      <vt:lpstr>EMBI</vt:lpstr>
      <vt:lpstr>fiscal</vt:lpstr>
      <vt:lpstr>g_consumption</vt:lpstr>
      <vt:lpstr>g_wages</vt:lpstr>
      <vt:lpstr>g_fbkf</vt:lpstr>
      <vt:lpstr>g_transfers</vt:lpstr>
      <vt:lpstr>tax_receipts</vt:lpstr>
      <vt:lpstr>Shares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2020-07-20T14:41:49Z</dcterms:created>
  <dcterms:modified xsi:type="dcterms:W3CDTF">2025-01-08T18:25:17Z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140d8dd7-686c-46d0-827b-8d013a001f06</vt:lpwstr>
  </property>
  <property fmtid="{D5CDD505-2E9C-101B-9397-08002B2CF9AE}" pid="3" name="MSIP_Label_c2337ba4-e13f-4402-81c0-6941080804d2_Enabled">
    <vt:lpwstr>true</vt:lpwstr>
  </property>
  <property fmtid="{D5CDD505-2E9C-101B-9397-08002B2CF9AE}" pid="4" name="MSIP_Label_c2337ba4-e13f-4402-81c0-6941080804d2_SetDate">
    <vt:lpwstr>2022-10-11T19:36:45Z</vt:lpwstr>
  </property>
  <property fmtid="{D5CDD505-2E9C-101B-9397-08002B2CF9AE}" pid="5" name="MSIP_Label_c2337ba4-e13f-4402-81c0-6941080804d2_Method">
    <vt:lpwstr>Privileged</vt:lpwstr>
  </property>
  <property fmtid="{D5CDD505-2E9C-101B-9397-08002B2CF9AE}" pid="6" name="MSIP_Label_c2337ba4-e13f-4402-81c0-6941080804d2_Name">
    <vt:lpwstr>NONCONFIDENTIAL - FRSONLY</vt:lpwstr>
  </property>
  <property fmtid="{D5CDD505-2E9C-101B-9397-08002B2CF9AE}" pid="7" name="MSIP_Label_c2337ba4-e13f-4402-81c0-6941080804d2_SiteId">
    <vt:lpwstr>87bb2570-5c1e-4973-9c37-09257a95aeb1</vt:lpwstr>
  </property>
  <property fmtid="{D5CDD505-2E9C-101B-9397-08002B2CF9AE}" pid="8" name="MSIP_Label_c2337ba4-e13f-4402-81c0-6941080804d2_ActionId">
    <vt:lpwstr>0d3d4610-53d7-4a15-895b-fd9b0980581c</vt:lpwstr>
  </property>
  <property fmtid="{D5CDD505-2E9C-101B-9397-08002B2CF9AE}" pid="9" name="MSIP_Label_c2337ba4-e13f-4402-81c0-6941080804d2_ContentBits">
    <vt:lpwstr>1</vt:lpwstr>
  </property>
</Properties>
</file>