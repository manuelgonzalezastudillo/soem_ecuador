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13_ncr:1_{A8ED8AF6-9E7A-405B-9D2F-A9E33E6ACD9A}" xr6:coauthVersionLast="47" xr6:coauthVersionMax="47" xr10:uidLastSave="{00000000-0000-0000-0000-000000000000}"/>
  <bookViews>
    <workbookView xWindow="-120" yWindow="-120" windowWidth="29040" windowHeight="15990" xr2:uid="{1E51815F-50E2-417E-A3F7-E29CA7D24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Q4" i="1"/>
  <c r="Q6" i="1"/>
  <c r="Q7" i="1"/>
  <c r="Q8" i="1"/>
  <c r="Q9" i="1"/>
  <c r="Q10" i="1"/>
  <c r="Q12" i="1"/>
  <c r="P3" i="1"/>
  <c r="P4" i="1"/>
  <c r="P5" i="1"/>
  <c r="Q5" i="1" s="1"/>
  <c r="P6" i="1"/>
  <c r="P7" i="1"/>
  <c r="P8" i="1"/>
  <c r="P9" i="1"/>
  <c r="P10" i="1"/>
  <c r="P11" i="1"/>
  <c r="Q11" i="1" s="1"/>
  <c r="P12" i="1"/>
  <c r="P13" i="1"/>
  <c r="Q13" i="1" s="1"/>
  <c r="P2" i="1"/>
  <c r="Q3" i="1" s="1"/>
  <c r="T13" i="1" s="1"/>
  <c r="E12" i="1"/>
  <c r="E13" i="1"/>
  <c r="E14" i="1"/>
  <c r="E15" i="1"/>
  <c r="E16" i="1"/>
  <c r="E17" i="1"/>
  <c r="E26" i="1"/>
  <c r="E27" i="1"/>
  <c r="E28" i="1"/>
  <c r="E29" i="1"/>
  <c r="E30" i="1"/>
  <c r="E31" i="1"/>
  <c r="E40" i="1"/>
  <c r="E41" i="1"/>
  <c r="E42" i="1"/>
  <c r="E43" i="1"/>
  <c r="E44" i="1"/>
  <c r="E45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D12" i="1"/>
  <c r="D13" i="1"/>
  <c r="D14" i="1"/>
  <c r="D15" i="1"/>
  <c r="D16" i="1"/>
  <c r="D17" i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D26" i="1"/>
  <c r="D27" i="1"/>
  <c r="D28" i="1"/>
  <c r="D29" i="1"/>
  <c r="D30" i="1"/>
  <c r="D31" i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D40" i="1"/>
  <c r="D41" i="1"/>
  <c r="D42" i="1"/>
  <c r="D43" i="1"/>
  <c r="D44" i="1"/>
  <c r="D45" i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2" i="1"/>
  <c r="E39" i="1" l="1"/>
  <c r="E25" i="1"/>
  <c r="E11" i="1"/>
  <c r="E54" i="1" s="1"/>
</calcChain>
</file>

<file path=xl/sharedStrings.xml><?xml version="1.0" encoding="utf-8"?>
<sst xmlns="http://schemas.openxmlformats.org/spreadsheetml/2006/main" count="62" uniqueCount="57">
  <si>
    <t>I-2012(*)</t>
  </si>
  <si>
    <t>II-2012(*)</t>
  </si>
  <si>
    <t>III-2012(*)</t>
  </si>
  <si>
    <t>IV-2012(*)</t>
  </si>
  <si>
    <t>I-2013</t>
  </si>
  <si>
    <t>II-2013</t>
  </si>
  <si>
    <t>III-2013</t>
  </si>
  <si>
    <t>IV-2013</t>
  </si>
  <si>
    <t>I-2014</t>
  </si>
  <si>
    <t>II-2014</t>
  </si>
  <si>
    <t>III-2014</t>
  </si>
  <si>
    <t>IV-2014</t>
  </si>
  <si>
    <t>I-2015</t>
  </si>
  <si>
    <t>II-2015</t>
  </si>
  <si>
    <t>III-2015</t>
  </si>
  <si>
    <t>IV-2015</t>
  </si>
  <si>
    <t>I-2016</t>
  </si>
  <si>
    <t>II-2016</t>
  </si>
  <si>
    <t>III-2016</t>
  </si>
  <si>
    <t>IV-2016</t>
  </si>
  <si>
    <t>I-2017</t>
  </si>
  <si>
    <t>II-2017</t>
  </si>
  <si>
    <t>III-2017</t>
  </si>
  <si>
    <t>IV-2017</t>
  </si>
  <si>
    <t>I-2018</t>
  </si>
  <si>
    <t>II-2018</t>
  </si>
  <si>
    <t>III-2018</t>
  </si>
  <si>
    <t>IV-2018</t>
  </si>
  <si>
    <t>I-2019</t>
  </si>
  <si>
    <t>II-2019</t>
  </si>
  <si>
    <t>III-2019</t>
  </si>
  <si>
    <t>IV-2019</t>
  </si>
  <si>
    <t>I-2020</t>
  </si>
  <si>
    <t>II-2020</t>
  </si>
  <si>
    <t>III-2020</t>
  </si>
  <si>
    <t>IV-2020</t>
  </si>
  <si>
    <t>I-2021 (p)</t>
  </si>
  <si>
    <t>II-2021 (p)</t>
  </si>
  <si>
    <t>III-2021 (p)</t>
  </si>
  <si>
    <t>IV-2021 (p)</t>
  </si>
  <si>
    <t>I-2022 (p)</t>
  </si>
  <si>
    <t>II-2022 (p)</t>
  </si>
  <si>
    <t>III-2022 (p)</t>
  </si>
  <si>
    <t>IV-2022 (p)</t>
  </si>
  <si>
    <t>I-2023 (p)</t>
  </si>
  <si>
    <t>II-2023 (p)</t>
  </si>
  <si>
    <t>III-2023 (p)</t>
  </si>
  <si>
    <t>IV-2023 (p)</t>
  </si>
  <si>
    <t>I-2024 (p)</t>
  </si>
  <si>
    <t>II-2024 (p)</t>
  </si>
  <si>
    <t>III-2024 (p)</t>
  </si>
  <si>
    <t>Oil revenues for exports and internal sales</t>
  </si>
  <si>
    <t>US GDP deflator</t>
  </si>
  <si>
    <t>Real oil revenues</t>
  </si>
  <si>
    <t>Growth rate</t>
  </si>
  <si>
    <t>SD</t>
  </si>
  <si>
    <t>Real oil revenue deviation from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</si>
</sst>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0" xfId="0" applyNumberFormat="1" applyFont="1"/>
    <xf numFmtId="164" fontId="2" fillId="2" borderId="0" xfId="0" applyNumberFormat="1" applyFont="1" applyFill="1"/>
    <xf numFmtId="165" fontId="0" fillId="0" borderId="0" xfId="0" applyNumberFormat="1"/>
    <xf numFmtId="9" fontId="0" fillId="0" borderId="0" xfId="1" applyFont="1"/>
    <xf numFmtId="164" fontId="4" fillId="0" borderId="0" xfId="2" applyNumberFormat="1" applyFont="1" applyFill="1" applyAlignment="1"/>
    <xf numFmtId="164" fontId="4" fillId="2" borderId="0" xfId="2" applyNumberFormat="1" applyFont="1" applyFill="1" applyAlignment="1"/>
    <xf numFmtId="1" fontId="0" fillId="0" borderId="0" xfId="1" applyNumberFormat="1" applyFont="1"/>
  </cellXfs>
  <cellStyles count="3">
    <cellStyle name="ANCLAS,REZONES Y SUS PARTES,DE FUNDICION,DE HIERRO O DE ACERO" xfId="2" xr:uid="{76105099-1E22-43E7-927D-07B5F6219A01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6232-D386-42D3-A135-7BC17A7F80DD}">
  <dimension ref="A1:T54"/>
  <sheetViews>
    <sheetView tabSelected="1" topLeftCell="A41" zoomScale="140" zoomScaleNormal="140" workbookViewId="0">
      <selection activeCell="A52" sqref="A52"/>
    </sheetView>
  </sheetViews>
  <sheetFormatPr defaultRowHeight="15" x14ac:dyDescent="0.25"/>
  <sheetData>
    <row r="1" spans="1:20" x14ac:dyDescent="0.25">
      <c r="B1" t="s">
        <v>51</v>
      </c>
      <c r="C1" t="s">
        <v>52</v>
      </c>
      <c r="D1" t="s">
        <v>53</v>
      </c>
      <c r="E1" t="s">
        <v>54</v>
      </c>
      <c r="G1" t="s">
        <v>56</v>
      </c>
      <c r="N1" t="s">
        <v>51</v>
      </c>
      <c r="O1" t="s">
        <v>52</v>
      </c>
      <c r="P1" t="s">
        <v>53</v>
      </c>
      <c r="Q1" t="s">
        <v>54</v>
      </c>
    </row>
    <row r="2" spans="1:20" ht="15.75" x14ac:dyDescent="0.25">
      <c r="A2" s="1" t="s">
        <v>0</v>
      </c>
      <c r="B2" s="5">
        <v>4247.358732010327</v>
      </c>
      <c r="C2" s="7">
        <v>92.525000000000006</v>
      </c>
      <c r="D2">
        <f>B2/(C2/100)</f>
        <v>4590.4984944721173</v>
      </c>
      <c r="G2">
        <f>D2-AVERAGE($D$30:$D$33)</f>
        <v>1644.8123754040062</v>
      </c>
      <c r="M2">
        <v>2012</v>
      </c>
      <c r="N2" s="9">
        <v>15012.531497747173</v>
      </c>
      <c r="O2" s="7">
        <v>93.183999999999997</v>
      </c>
      <c r="P2">
        <f>N2/(O2/100)</f>
        <v>16110.632187657939</v>
      </c>
    </row>
    <row r="3" spans="1:20" ht="15.75" x14ac:dyDescent="0.25">
      <c r="A3" s="2" t="s">
        <v>1</v>
      </c>
      <c r="B3" s="5">
        <v>4224.9248218703615</v>
      </c>
      <c r="C3" s="7">
        <v>92.906999999999996</v>
      </c>
      <c r="D3">
        <f t="shared" ref="D3:D52" si="0">B3/(C3/100)</f>
        <v>4547.4773933830193</v>
      </c>
      <c r="E3" s="8">
        <f>D3/D2-1</f>
        <v>-9.3717710921600306E-3</v>
      </c>
      <c r="G3">
        <f t="shared" ref="G3:G53" si="1">D3-AVERAGE($D$30:$D$33)</f>
        <v>1601.7912743149082</v>
      </c>
      <c r="M3">
        <v>2013</v>
      </c>
      <c r="N3" s="10">
        <v>14386.14059533635</v>
      </c>
      <c r="O3" s="7">
        <v>94.766999999999996</v>
      </c>
      <c r="P3">
        <f t="shared" ref="P3:P13" si="2">N3/(O3/100)</f>
        <v>15180.538157097249</v>
      </c>
      <c r="Q3" s="8">
        <f>P3/P2-1</f>
        <v>-5.7731690459249418E-2</v>
      </c>
    </row>
    <row r="4" spans="1:20" ht="15.75" x14ac:dyDescent="0.25">
      <c r="A4" s="2" t="s">
        <v>2</v>
      </c>
      <c r="B4" s="5">
        <v>3463.0829119553846</v>
      </c>
      <c r="C4" s="7">
        <v>93.417000000000002</v>
      </c>
      <c r="D4">
        <f t="shared" si="0"/>
        <v>3707.1228062936984</v>
      </c>
      <c r="E4" s="8">
        <f t="shared" ref="E4:E52" si="3">D4/D3-1</f>
        <v>-0.18479577013667203</v>
      </c>
      <c r="G4">
        <f t="shared" si="1"/>
        <v>761.43668722558732</v>
      </c>
      <c r="M4">
        <v>2014</v>
      </c>
      <c r="N4" s="9">
        <v>13976.501800956155</v>
      </c>
      <c r="O4" s="7">
        <v>96.417000000000002</v>
      </c>
      <c r="P4">
        <f t="shared" si="2"/>
        <v>14495.889522549091</v>
      </c>
      <c r="Q4" s="8">
        <f t="shared" ref="Q4:Q13" si="4">P4/P3-1</f>
        <v>-4.5100419198779829E-2</v>
      </c>
    </row>
    <row r="5" spans="1:20" ht="15.75" x14ac:dyDescent="0.25">
      <c r="A5" s="2" t="s">
        <v>3</v>
      </c>
      <c r="B5" s="5">
        <v>3077.1650319111013</v>
      </c>
      <c r="C5" s="7">
        <v>93.885000000000005</v>
      </c>
      <c r="D5">
        <f t="shared" si="0"/>
        <v>3277.5896382926999</v>
      </c>
      <c r="E5" s="8">
        <f t="shared" si="3"/>
        <v>-0.11586699185464444</v>
      </c>
      <c r="G5">
        <f t="shared" si="1"/>
        <v>331.90351922458876</v>
      </c>
      <c r="M5">
        <v>2015</v>
      </c>
      <c r="N5" s="10">
        <v>8627.9315048738717</v>
      </c>
      <c r="O5" s="7">
        <v>97.314999999999998</v>
      </c>
      <c r="P5">
        <f t="shared" si="2"/>
        <v>8865.9831525190075</v>
      </c>
      <c r="Q5" s="8">
        <f t="shared" si="4"/>
        <v>-0.38837950311862401</v>
      </c>
    </row>
    <row r="6" spans="1:20" ht="15.75" x14ac:dyDescent="0.25">
      <c r="A6" s="3" t="s">
        <v>4</v>
      </c>
      <c r="B6" s="6">
        <v>3442.5151879626669</v>
      </c>
      <c r="C6" s="7">
        <v>94.257999999999996</v>
      </c>
      <c r="D6">
        <f t="shared" si="0"/>
        <v>3652.226005180109</v>
      </c>
      <c r="E6" s="8">
        <f t="shared" si="3"/>
        <v>0.11430240153021654</v>
      </c>
      <c r="G6">
        <f t="shared" si="1"/>
        <v>706.53988611199793</v>
      </c>
      <c r="M6">
        <v>2016</v>
      </c>
      <c r="N6" s="9">
        <v>7336.7225041812726</v>
      </c>
      <c r="O6" s="7">
        <v>98.238</v>
      </c>
      <c r="P6">
        <f t="shared" si="2"/>
        <v>7468.314200392183</v>
      </c>
      <c r="Q6" s="8">
        <f t="shared" si="4"/>
        <v>-0.1576439891756074</v>
      </c>
    </row>
    <row r="7" spans="1:20" ht="15.75" x14ac:dyDescent="0.25">
      <c r="A7" s="3" t="s">
        <v>5</v>
      </c>
      <c r="B7" s="6">
        <v>3357.0174841054618</v>
      </c>
      <c r="C7" s="7">
        <v>94.460999999999999</v>
      </c>
      <c r="D7">
        <f t="shared" si="0"/>
        <v>3553.8661289902307</v>
      </c>
      <c r="E7" s="8">
        <f t="shared" si="3"/>
        <v>-2.6931486729016907E-2</v>
      </c>
      <c r="G7">
        <f t="shared" si="1"/>
        <v>608.18000992211955</v>
      </c>
      <c r="M7">
        <v>2017</v>
      </c>
      <c r="N7" s="6">
        <v>9661.8274401771487</v>
      </c>
      <c r="O7" s="7">
        <v>99.995000000000005</v>
      </c>
      <c r="P7">
        <f t="shared" si="2"/>
        <v>9662.310555704933</v>
      </c>
      <c r="Q7" s="8">
        <f t="shared" si="4"/>
        <v>0.29377397581873788</v>
      </c>
    </row>
    <row r="8" spans="1:20" ht="15.75" x14ac:dyDescent="0.25">
      <c r="A8" s="3" t="s">
        <v>6</v>
      </c>
      <c r="B8" s="6">
        <v>3695.7632841654954</v>
      </c>
      <c r="C8" s="7">
        <v>94.924000000000007</v>
      </c>
      <c r="D8">
        <f t="shared" si="0"/>
        <v>3893.3918547106055</v>
      </c>
      <c r="E8" s="8">
        <f t="shared" si="3"/>
        <v>9.5537004883424093E-2</v>
      </c>
      <c r="G8">
        <f t="shared" si="1"/>
        <v>947.70573564249435</v>
      </c>
      <c r="M8">
        <v>2018</v>
      </c>
      <c r="N8" s="5">
        <v>12825.022575907888</v>
      </c>
      <c r="O8" s="7">
        <v>102.288</v>
      </c>
      <c r="P8">
        <f t="shared" si="2"/>
        <v>12538.149710530939</v>
      </c>
      <c r="Q8" s="8">
        <f t="shared" si="4"/>
        <v>0.29763472600536733</v>
      </c>
    </row>
    <row r="9" spans="1:20" ht="15.75" x14ac:dyDescent="0.25">
      <c r="A9" s="3" t="s">
        <v>7</v>
      </c>
      <c r="B9" s="6">
        <v>3890.8446391027273</v>
      </c>
      <c r="C9" s="7">
        <v>95.426000000000002</v>
      </c>
      <c r="D9">
        <f t="shared" si="0"/>
        <v>4077.3422747497825</v>
      </c>
      <c r="E9" s="8">
        <f t="shared" si="3"/>
        <v>4.7246829218234421E-2</v>
      </c>
      <c r="G9">
        <f t="shared" si="1"/>
        <v>1131.6561556816714</v>
      </c>
      <c r="M9">
        <v>2019</v>
      </c>
      <c r="N9" s="6">
        <v>12251.554184614915</v>
      </c>
      <c r="O9" s="7">
        <v>103.97499999999999</v>
      </c>
      <c r="P9">
        <f t="shared" si="2"/>
        <v>11783.17305565272</v>
      </c>
      <c r="Q9" s="8">
        <f t="shared" si="4"/>
        <v>-6.0214359559298103E-2</v>
      </c>
    </row>
    <row r="10" spans="1:20" ht="15.75" x14ac:dyDescent="0.25">
      <c r="A10" s="2" t="s">
        <v>8</v>
      </c>
      <c r="B10" s="5">
        <v>3629.0447528747059</v>
      </c>
      <c r="C10" s="7">
        <v>95.787999999999997</v>
      </c>
      <c r="D10">
        <f t="shared" si="0"/>
        <v>3788.6214900349792</v>
      </c>
      <c r="E10" s="8">
        <f t="shared" si="3"/>
        <v>-7.0811024745898066E-2</v>
      </c>
      <c r="G10">
        <f t="shared" si="1"/>
        <v>842.93537096686805</v>
      </c>
      <c r="M10">
        <v>2020</v>
      </c>
      <c r="N10" s="5">
        <v>7921.5293939084513</v>
      </c>
      <c r="O10" s="7">
        <v>105.346</v>
      </c>
      <c r="P10">
        <f t="shared" si="2"/>
        <v>7519.5350501285775</v>
      </c>
      <c r="Q10" s="8">
        <f t="shared" si="4"/>
        <v>-0.3618412447467837</v>
      </c>
    </row>
    <row r="11" spans="1:20" ht="15.75" x14ac:dyDescent="0.25">
      <c r="A11" s="2" t="s">
        <v>9</v>
      </c>
      <c r="B11" s="5">
        <v>3816.0941010408023</v>
      </c>
      <c r="C11" s="7">
        <v>96.33</v>
      </c>
      <c r="D11">
        <f t="shared" si="0"/>
        <v>3961.4804329293083</v>
      </c>
      <c r="E11" s="8">
        <f t="shared" si="3"/>
        <v>4.5625814916848029E-2</v>
      </c>
      <c r="G11">
        <f t="shared" si="1"/>
        <v>1015.7943138611972</v>
      </c>
      <c r="M11">
        <v>2021</v>
      </c>
      <c r="N11" s="6">
        <v>13106.387177431843</v>
      </c>
      <c r="O11" s="7">
        <v>110.142</v>
      </c>
      <c r="P11">
        <f t="shared" si="2"/>
        <v>11899.536214551981</v>
      </c>
      <c r="Q11" s="8">
        <f t="shared" si="4"/>
        <v>0.58248297736819632</v>
      </c>
    </row>
    <row r="12" spans="1:20" ht="15.75" x14ac:dyDescent="0.25">
      <c r="A12" s="2" t="s">
        <v>10</v>
      </c>
      <c r="B12" s="5">
        <v>3205.3395533841795</v>
      </c>
      <c r="C12" s="7">
        <v>96.725999999999999</v>
      </c>
      <c r="D12">
        <f t="shared" si="0"/>
        <v>3313.8344947420337</v>
      </c>
      <c r="E12" s="8">
        <f t="shared" si="3"/>
        <v>-0.16348583544772788</v>
      </c>
      <c r="G12">
        <f t="shared" si="1"/>
        <v>368.1483756739226</v>
      </c>
      <c r="M12">
        <v>2022</v>
      </c>
      <c r="N12" s="5">
        <v>16853.80594619202</v>
      </c>
      <c r="O12" s="7">
        <v>118.01600000000001</v>
      </c>
      <c r="P12">
        <f t="shared" si="2"/>
        <v>14280.949995078648</v>
      </c>
      <c r="Q12" s="8">
        <f t="shared" si="4"/>
        <v>0.20012660473392474</v>
      </c>
    </row>
    <row r="13" spans="1:20" ht="15.75" x14ac:dyDescent="0.25">
      <c r="A13" s="2" t="s">
        <v>11</v>
      </c>
      <c r="B13" s="5">
        <v>3326.0233936564678</v>
      </c>
      <c r="C13" s="7">
        <v>96.822000000000003</v>
      </c>
      <c r="D13">
        <f t="shared" si="0"/>
        <v>3435.1938543476354</v>
      </c>
      <c r="E13" s="8">
        <f t="shared" si="3"/>
        <v>3.6622034020757255E-2</v>
      </c>
      <c r="G13">
        <f t="shared" si="1"/>
        <v>489.50773527952424</v>
      </c>
      <c r="M13">
        <v>2023</v>
      </c>
      <c r="N13" s="6">
        <v>14506.768570191671</v>
      </c>
      <c r="O13" s="7">
        <v>122.26600000000001</v>
      </c>
      <c r="P13">
        <f t="shared" si="2"/>
        <v>11864.924484477835</v>
      </c>
      <c r="Q13" s="8">
        <f t="shared" si="4"/>
        <v>-0.16917820673228312</v>
      </c>
      <c r="S13" t="s">
        <v>55</v>
      </c>
      <c r="T13" s="8">
        <f>_xlfn.STDEV.S(Q3:Q13)</f>
        <v>0.29947110169368391</v>
      </c>
    </row>
    <row r="14" spans="1:20" ht="15.75" x14ac:dyDescent="0.25">
      <c r="A14" s="3" t="s">
        <v>12</v>
      </c>
      <c r="B14" s="6">
        <v>2114.0027733914185</v>
      </c>
      <c r="C14" s="7">
        <v>96.769000000000005</v>
      </c>
      <c r="D14">
        <f t="shared" si="0"/>
        <v>2184.5867719945627</v>
      </c>
      <c r="E14" s="8">
        <f t="shared" si="3"/>
        <v>-0.36405720765082428</v>
      </c>
      <c r="G14">
        <f t="shared" si="1"/>
        <v>-761.09934707354842</v>
      </c>
    </row>
    <row r="15" spans="1:20" ht="15.75" x14ac:dyDescent="0.25">
      <c r="A15" s="3" t="s">
        <v>13</v>
      </c>
      <c r="B15" s="6">
        <v>2491.3065102120258</v>
      </c>
      <c r="C15" s="7">
        <v>97.325000000000003</v>
      </c>
      <c r="D15">
        <f t="shared" si="0"/>
        <v>2559.7806423961219</v>
      </c>
      <c r="E15" s="8">
        <f t="shared" si="3"/>
        <v>0.17174592248354648</v>
      </c>
      <c r="G15">
        <f t="shared" si="1"/>
        <v>-385.90547667198916</v>
      </c>
    </row>
    <row r="16" spans="1:20" ht="15.75" x14ac:dyDescent="0.25">
      <c r="A16" s="3" t="s">
        <v>14</v>
      </c>
      <c r="B16" s="6">
        <v>2198.5497755445131</v>
      </c>
      <c r="C16" s="7">
        <v>97.582999999999998</v>
      </c>
      <c r="D16">
        <f t="shared" si="0"/>
        <v>2253.0049040760309</v>
      </c>
      <c r="E16" s="8">
        <f t="shared" si="3"/>
        <v>-0.11984454184829252</v>
      </c>
      <c r="G16">
        <f t="shared" si="1"/>
        <v>-692.68121499208019</v>
      </c>
    </row>
    <row r="17" spans="1:7" ht="15.75" x14ac:dyDescent="0.25">
      <c r="A17" s="3" t="s">
        <v>15</v>
      </c>
      <c r="B17" s="6">
        <v>1824.0724457259143</v>
      </c>
      <c r="C17" s="7">
        <v>97.581000000000003</v>
      </c>
      <c r="D17">
        <f t="shared" si="0"/>
        <v>1869.2905849764957</v>
      </c>
      <c r="E17" s="8">
        <f t="shared" si="3"/>
        <v>-0.17031224317591909</v>
      </c>
      <c r="G17">
        <f t="shared" si="1"/>
        <v>-1076.3955340916154</v>
      </c>
    </row>
    <row r="18" spans="1:7" ht="15.75" x14ac:dyDescent="0.25">
      <c r="A18" s="2" t="s">
        <v>16</v>
      </c>
      <c r="B18" s="5">
        <v>1453.5798747413683</v>
      </c>
      <c r="C18" s="7">
        <v>97.495999999999995</v>
      </c>
      <c r="D18">
        <f t="shared" si="0"/>
        <v>1490.9123192144993</v>
      </c>
      <c r="E18" s="8">
        <f t="shared" si="3"/>
        <v>-0.20241810920304504</v>
      </c>
      <c r="G18">
        <f t="shared" si="1"/>
        <v>-1454.7737998536118</v>
      </c>
    </row>
    <row r="19" spans="1:7" ht="15.75" x14ac:dyDescent="0.25">
      <c r="A19" s="2" t="s">
        <v>17</v>
      </c>
      <c r="B19" s="5">
        <v>1748.7335039497352</v>
      </c>
      <c r="C19" s="7">
        <v>98.159000000000006</v>
      </c>
      <c r="D19">
        <f t="shared" si="0"/>
        <v>1781.5314988434429</v>
      </c>
      <c r="E19" s="8">
        <f t="shared" si="3"/>
        <v>0.19492707645078622</v>
      </c>
      <c r="G19">
        <f t="shared" si="1"/>
        <v>-1164.1546202246682</v>
      </c>
    </row>
    <row r="20" spans="1:7" ht="15.75" x14ac:dyDescent="0.25">
      <c r="A20" s="2" t="s">
        <v>18</v>
      </c>
      <c r="B20" s="5">
        <v>1973.0724594016042</v>
      </c>
      <c r="C20" s="7">
        <v>98.41</v>
      </c>
      <c r="D20">
        <f t="shared" si="0"/>
        <v>2004.9511832147182</v>
      </c>
      <c r="E20" s="8">
        <f t="shared" si="3"/>
        <v>0.12540877582928944</v>
      </c>
      <c r="G20">
        <f t="shared" si="1"/>
        <v>-940.73493585339293</v>
      </c>
    </row>
    <row r="21" spans="1:7" ht="15.75" x14ac:dyDescent="0.25">
      <c r="A21" s="2" t="s">
        <v>19</v>
      </c>
      <c r="B21" s="5">
        <v>2161.3366660885645</v>
      </c>
      <c r="C21" s="7">
        <v>98.885999999999996</v>
      </c>
      <c r="D21">
        <f t="shared" si="0"/>
        <v>2185.6851992077386</v>
      </c>
      <c r="E21" s="8">
        <f t="shared" si="3"/>
        <v>9.0143848641358604E-2</v>
      </c>
      <c r="G21">
        <f t="shared" si="1"/>
        <v>-760.00091986037251</v>
      </c>
    </row>
    <row r="22" spans="1:7" ht="15.75" x14ac:dyDescent="0.25">
      <c r="A22" s="3" t="s">
        <v>20</v>
      </c>
      <c r="B22" s="6">
        <v>2308.1093838712</v>
      </c>
      <c r="C22" s="7">
        <v>99.39</v>
      </c>
      <c r="D22">
        <f t="shared" si="0"/>
        <v>2322.2752629753495</v>
      </c>
      <c r="E22" s="8">
        <f t="shared" si="3"/>
        <v>6.2493017666552131E-2</v>
      </c>
      <c r="G22">
        <f t="shared" si="1"/>
        <v>-623.41085609276161</v>
      </c>
    </row>
    <row r="23" spans="1:7" ht="15.75" x14ac:dyDescent="0.25">
      <c r="A23" s="3" t="s">
        <v>21</v>
      </c>
      <c r="B23" s="6">
        <v>2219.4239024525032</v>
      </c>
      <c r="C23" s="7">
        <v>99.65</v>
      </c>
      <c r="D23">
        <f t="shared" si="0"/>
        <v>2227.2191695459137</v>
      </c>
      <c r="E23" s="8">
        <f t="shared" si="3"/>
        <v>-4.0932311059304727E-2</v>
      </c>
      <c r="G23">
        <f t="shared" si="1"/>
        <v>-718.46694952219741</v>
      </c>
    </row>
    <row r="24" spans="1:7" ht="15.75" x14ac:dyDescent="0.25">
      <c r="A24" s="3" t="s">
        <v>22</v>
      </c>
      <c r="B24" s="6">
        <v>2291.3045304781763</v>
      </c>
      <c r="C24" s="7">
        <v>100.16200000000001</v>
      </c>
      <c r="D24">
        <f t="shared" si="0"/>
        <v>2287.5986207126221</v>
      </c>
      <c r="E24" s="8">
        <f t="shared" si="3"/>
        <v>2.7109793231089307E-2</v>
      </c>
      <c r="G24">
        <f t="shared" si="1"/>
        <v>-658.08749835548906</v>
      </c>
    </row>
    <row r="25" spans="1:7" ht="15.75" x14ac:dyDescent="0.25">
      <c r="A25" s="3" t="s">
        <v>23</v>
      </c>
      <c r="B25" s="6">
        <v>2842.9896233752679</v>
      </c>
      <c r="C25" s="7">
        <v>100.77800000000001</v>
      </c>
      <c r="D25">
        <f t="shared" si="0"/>
        <v>2821.0419172589927</v>
      </c>
      <c r="E25" s="8">
        <f t="shared" si="3"/>
        <v>0.23318920186277903</v>
      </c>
      <c r="G25">
        <f t="shared" si="1"/>
        <v>-124.64420180911839</v>
      </c>
    </row>
    <row r="26" spans="1:7" ht="15.75" x14ac:dyDescent="0.25">
      <c r="A26" s="2" t="s">
        <v>24</v>
      </c>
      <c r="B26" s="5">
        <v>2834.4895275707449</v>
      </c>
      <c r="C26" s="7">
        <v>101.419</v>
      </c>
      <c r="D26">
        <f t="shared" si="0"/>
        <v>2794.8308774201532</v>
      </c>
      <c r="E26" s="8">
        <f t="shared" si="3"/>
        <v>-9.2912620966323356E-3</v>
      </c>
      <c r="G26">
        <f t="shared" si="1"/>
        <v>-150.85524164795788</v>
      </c>
    </row>
    <row r="27" spans="1:7" ht="15.75" x14ac:dyDescent="0.25">
      <c r="A27" s="2" t="s">
        <v>25</v>
      </c>
      <c r="B27" s="5">
        <v>3074.0987110044466</v>
      </c>
      <c r="C27" s="7">
        <v>102.136</v>
      </c>
      <c r="D27">
        <f t="shared" si="0"/>
        <v>3009.809186774934</v>
      </c>
      <c r="E27" s="8">
        <f t="shared" si="3"/>
        <v>7.6919970754445899E-2</v>
      </c>
      <c r="G27">
        <f t="shared" si="1"/>
        <v>64.123067706822894</v>
      </c>
    </row>
    <row r="28" spans="1:7" ht="15.75" x14ac:dyDescent="0.25">
      <c r="A28" s="2" t="s">
        <v>26</v>
      </c>
      <c r="B28" s="5">
        <v>3488.1519320553271</v>
      </c>
      <c r="C28" s="7">
        <v>102.577</v>
      </c>
      <c r="D28">
        <f t="shared" si="0"/>
        <v>3400.5205182987675</v>
      </c>
      <c r="E28" s="8">
        <f t="shared" si="3"/>
        <v>0.1298126583042587</v>
      </c>
      <c r="G28">
        <f t="shared" si="1"/>
        <v>454.83439923065635</v>
      </c>
    </row>
    <row r="29" spans="1:7" ht="15.75" x14ac:dyDescent="0.25">
      <c r="A29" s="2" t="s">
        <v>27</v>
      </c>
      <c r="B29" s="5">
        <v>3428.2824052773685</v>
      </c>
      <c r="C29" s="7">
        <v>103.01900000000001</v>
      </c>
      <c r="D29">
        <f t="shared" si="0"/>
        <v>3327.8156507803105</v>
      </c>
      <c r="E29" s="8">
        <f t="shared" si="3"/>
        <v>-2.1380511344430975E-2</v>
      </c>
      <c r="G29">
        <f t="shared" si="1"/>
        <v>382.12953171219942</v>
      </c>
    </row>
    <row r="30" spans="1:7" ht="15.75" x14ac:dyDescent="0.25">
      <c r="A30" s="3" t="s">
        <v>28</v>
      </c>
      <c r="B30" s="6">
        <v>2866.5050600578948</v>
      </c>
      <c r="C30" s="7">
        <v>103.328</v>
      </c>
      <c r="D30">
        <f t="shared" si="0"/>
        <v>2774.1803383960737</v>
      </c>
      <c r="E30" s="8">
        <f t="shared" si="3"/>
        <v>-0.16636598011504022</v>
      </c>
      <c r="G30">
        <f t="shared" si="1"/>
        <v>-171.50578067203742</v>
      </c>
    </row>
    <row r="31" spans="1:7" ht="15.75" x14ac:dyDescent="0.25">
      <c r="A31" s="3" t="s">
        <v>29</v>
      </c>
      <c r="B31" s="6">
        <v>3164.8242251459687</v>
      </c>
      <c r="C31" s="7">
        <v>103.86199999999999</v>
      </c>
      <c r="D31">
        <f t="shared" si="0"/>
        <v>3047.1435415705159</v>
      </c>
      <c r="E31" s="8">
        <f t="shared" si="3"/>
        <v>9.8394181299785055E-2</v>
      </c>
      <c r="G31">
        <f t="shared" si="1"/>
        <v>101.45742250240482</v>
      </c>
    </row>
    <row r="32" spans="1:7" ht="15.75" x14ac:dyDescent="0.25">
      <c r="A32" s="3" t="s">
        <v>30</v>
      </c>
      <c r="B32" s="6">
        <v>3348.7601515126316</v>
      </c>
      <c r="C32" s="7">
        <v>104.19199999999999</v>
      </c>
      <c r="D32">
        <f t="shared" si="0"/>
        <v>3214.0280938197097</v>
      </c>
      <c r="E32" s="8">
        <f t="shared" si="3"/>
        <v>5.4767538835134966E-2</v>
      </c>
      <c r="G32">
        <f t="shared" si="1"/>
        <v>268.34197475159863</v>
      </c>
    </row>
    <row r="33" spans="1:7" ht="15.75" x14ac:dyDescent="0.25">
      <c r="A33" s="3" t="s">
        <v>31</v>
      </c>
      <c r="B33" s="6">
        <v>2871.4647478984207</v>
      </c>
      <c r="C33" s="7">
        <v>104.51600000000001</v>
      </c>
      <c r="D33">
        <f t="shared" si="0"/>
        <v>2747.392502486146</v>
      </c>
      <c r="E33" s="8">
        <f t="shared" si="3"/>
        <v>-0.14518715384935887</v>
      </c>
      <c r="G33">
        <f t="shared" si="1"/>
        <v>-198.29361658196513</v>
      </c>
    </row>
    <row r="34" spans="1:7" ht="15.75" x14ac:dyDescent="0.25">
      <c r="A34" s="2" t="s">
        <v>32</v>
      </c>
      <c r="B34" s="5">
        <v>2749.1028287778954</v>
      </c>
      <c r="C34" s="7">
        <v>104.999</v>
      </c>
      <c r="D34">
        <f t="shared" si="0"/>
        <v>2618.2181056751924</v>
      </c>
      <c r="E34" s="8">
        <f t="shared" si="3"/>
        <v>-4.7017088637339666E-2</v>
      </c>
      <c r="G34">
        <f t="shared" si="1"/>
        <v>-327.46801339291869</v>
      </c>
    </row>
    <row r="35" spans="1:7" ht="15.75" x14ac:dyDescent="0.25">
      <c r="A35" s="2" t="s">
        <v>33</v>
      </c>
      <c r="B35" s="5">
        <v>990.34233033263149</v>
      </c>
      <c r="C35" s="7">
        <v>104.61199999999999</v>
      </c>
      <c r="D35">
        <f t="shared" si="0"/>
        <v>946.68138486276098</v>
      </c>
      <c r="E35" s="8">
        <f t="shared" si="3"/>
        <v>-0.63842531574785344</v>
      </c>
      <c r="G35">
        <f t="shared" si="1"/>
        <v>-1999.0047342053501</v>
      </c>
    </row>
    <row r="36" spans="1:7" ht="15.75" x14ac:dyDescent="0.25">
      <c r="A36" s="2" t="s">
        <v>34</v>
      </c>
      <c r="B36" s="5">
        <v>1824.2908517510527</v>
      </c>
      <c r="C36" s="7">
        <v>105.527</v>
      </c>
      <c r="D36">
        <f t="shared" si="0"/>
        <v>1728.7432142968651</v>
      </c>
      <c r="E36" s="8">
        <f t="shared" si="3"/>
        <v>0.82610880697467026</v>
      </c>
      <c r="G36">
        <f t="shared" si="1"/>
        <v>-1216.942904771246</v>
      </c>
    </row>
    <row r="37" spans="1:7" ht="15.75" x14ac:dyDescent="0.25">
      <c r="A37" s="2" t="s">
        <v>35</v>
      </c>
      <c r="B37" s="5">
        <v>2357.7933830468714</v>
      </c>
      <c r="C37" s="7">
        <v>106.244</v>
      </c>
      <c r="D37">
        <f t="shared" si="0"/>
        <v>2219.2249755721464</v>
      </c>
      <c r="E37" s="8">
        <f t="shared" si="3"/>
        <v>0.28372158295052263</v>
      </c>
      <c r="G37">
        <f t="shared" si="1"/>
        <v>-726.46114349596473</v>
      </c>
    </row>
    <row r="38" spans="1:7" ht="15.75" x14ac:dyDescent="0.25">
      <c r="A38" s="3" t="s">
        <v>36</v>
      </c>
      <c r="B38" s="6">
        <v>2593.4083375315786</v>
      </c>
      <c r="C38" s="7">
        <v>107.59</v>
      </c>
      <c r="D38">
        <f t="shared" si="0"/>
        <v>2410.4548169268319</v>
      </c>
      <c r="E38" s="8">
        <f t="shared" si="3"/>
        <v>8.6169650873446857E-2</v>
      </c>
      <c r="G38">
        <f t="shared" si="1"/>
        <v>-535.23130214127923</v>
      </c>
    </row>
    <row r="39" spans="1:7" ht="15.75" x14ac:dyDescent="0.25">
      <c r="A39" s="3" t="s">
        <v>37</v>
      </c>
      <c r="B39" s="6">
        <v>3247.5674453126317</v>
      </c>
      <c r="C39" s="7">
        <v>109.256</v>
      </c>
      <c r="D39">
        <f t="shared" si="0"/>
        <v>2972.4385345542869</v>
      </c>
      <c r="E39" s="8">
        <f t="shared" si="3"/>
        <v>0.23314426542288258</v>
      </c>
      <c r="G39">
        <f t="shared" si="1"/>
        <v>26.752415486175778</v>
      </c>
    </row>
    <row r="40" spans="1:7" ht="15.75" x14ac:dyDescent="0.25">
      <c r="A40" s="3" t="s">
        <v>38</v>
      </c>
      <c r="B40" s="6">
        <v>3807.1219044221052</v>
      </c>
      <c r="C40" s="7">
        <v>110.89700000000001</v>
      </c>
      <c r="D40">
        <f t="shared" si="0"/>
        <v>3433.0251534505937</v>
      </c>
      <c r="E40" s="8">
        <f t="shared" si="3"/>
        <v>0.15495244511939799</v>
      </c>
      <c r="G40">
        <f t="shared" si="1"/>
        <v>487.33903438248262</v>
      </c>
    </row>
    <row r="41" spans="1:7" ht="15.75" x14ac:dyDescent="0.25">
      <c r="A41" s="3" t="s">
        <v>39</v>
      </c>
      <c r="B41" s="6">
        <v>3458.2894901655268</v>
      </c>
      <c r="C41" s="7">
        <v>112.82599999999999</v>
      </c>
      <c r="D41">
        <f t="shared" si="0"/>
        <v>3065.1529702068024</v>
      </c>
      <c r="E41" s="8">
        <f t="shared" si="3"/>
        <v>-0.10715685635860739</v>
      </c>
      <c r="G41">
        <f t="shared" si="1"/>
        <v>119.46685113869125</v>
      </c>
    </row>
    <row r="42" spans="1:7" ht="15.75" x14ac:dyDescent="0.25">
      <c r="A42" s="4" t="s">
        <v>40</v>
      </c>
      <c r="B42" s="5">
        <v>3529.5849559247367</v>
      </c>
      <c r="C42" s="7">
        <v>115.119</v>
      </c>
      <c r="D42">
        <f t="shared" si="0"/>
        <v>3066.0316332879343</v>
      </c>
      <c r="E42" s="8">
        <f t="shared" si="3"/>
        <v>2.8666206537564243E-4</v>
      </c>
      <c r="G42">
        <f t="shared" si="1"/>
        <v>120.34551421982314</v>
      </c>
    </row>
    <row r="43" spans="1:7" ht="15.75" x14ac:dyDescent="0.25">
      <c r="A43" s="4" t="s">
        <v>41</v>
      </c>
      <c r="B43" s="5">
        <v>4356.8527448015793</v>
      </c>
      <c r="C43" s="7">
        <v>117.73099999999999</v>
      </c>
      <c r="D43">
        <f t="shared" si="0"/>
        <v>3700.6843947656776</v>
      </c>
      <c r="E43" s="8">
        <f t="shared" si="3"/>
        <v>0.20699485112525018</v>
      </c>
      <c r="G43">
        <f t="shared" si="1"/>
        <v>754.99827569756644</v>
      </c>
    </row>
    <row r="44" spans="1:7" ht="15.75" x14ac:dyDescent="0.25">
      <c r="A44" s="4" t="s">
        <v>42</v>
      </c>
      <c r="B44" s="5">
        <v>4734.8263541088636</v>
      </c>
      <c r="C44" s="7">
        <v>119.057</v>
      </c>
      <c r="D44">
        <f t="shared" si="0"/>
        <v>3976.9407545199888</v>
      </c>
      <c r="E44" s="8">
        <f t="shared" si="3"/>
        <v>7.4650072874372642E-2</v>
      </c>
      <c r="G44">
        <f t="shared" si="1"/>
        <v>1031.2546354518777</v>
      </c>
    </row>
    <row r="45" spans="1:7" ht="15.75" x14ac:dyDescent="0.25">
      <c r="A45" s="4" t="s">
        <v>43</v>
      </c>
      <c r="B45" s="5">
        <v>4232.5418913568428</v>
      </c>
      <c r="C45" s="7">
        <v>120.157</v>
      </c>
      <c r="D45">
        <f t="shared" si="0"/>
        <v>3522.5096260366377</v>
      </c>
      <c r="E45" s="8">
        <f t="shared" si="3"/>
        <v>-0.1142665069794836</v>
      </c>
      <c r="G45">
        <f t="shared" si="1"/>
        <v>576.82350696852654</v>
      </c>
    </row>
    <row r="46" spans="1:7" ht="15.75" x14ac:dyDescent="0.25">
      <c r="A46" s="3" t="s">
        <v>44</v>
      </c>
      <c r="B46" s="6">
        <v>3468.7669874158423</v>
      </c>
      <c r="C46" s="7">
        <v>121.251</v>
      </c>
      <c r="D46">
        <f t="shared" si="0"/>
        <v>2860.8151581560915</v>
      </c>
      <c r="E46" s="8">
        <f t="shared" si="3"/>
        <v>-0.18784745483436871</v>
      </c>
      <c r="G46">
        <f t="shared" si="1"/>
        <v>-84.870960912019655</v>
      </c>
    </row>
    <row r="47" spans="1:7" ht="15.75" x14ac:dyDescent="0.25">
      <c r="A47" s="3" t="s">
        <v>45</v>
      </c>
      <c r="B47" s="6">
        <v>3384.1685839973684</v>
      </c>
      <c r="C47" s="7">
        <v>121.804</v>
      </c>
      <c r="D47">
        <f t="shared" si="0"/>
        <v>2778.3722899062168</v>
      </c>
      <c r="E47" s="8">
        <f t="shared" si="3"/>
        <v>-2.8817964004012153E-2</v>
      </c>
      <c r="G47">
        <f t="shared" si="1"/>
        <v>-167.31382916189432</v>
      </c>
    </row>
    <row r="48" spans="1:7" ht="15.75" x14ac:dyDescent="0.25">
      <c r="A48" s="3" t="s">
        <v>46</v>
      </c>
      <c r="B48" s="6">
        <v>3693.5596430852629</v>
      </c>
      <c r="C48" s="7">
        <v>122.768</v>
      </c>
      <c r="D48">
        <f t="shared" si="0"/>
        <v>3008.5687174876698</v>
      </c>
      <c r="E48" s="8">
        <f t="shared" si="3"/>
        <v>8.2852981372493861E-2</v>
      </c>
      <c r="G48">
        <f t="shared" si="1"/>
        <v>62.88259841955869</v>
      </c>
    </row>
    <row r="49" spans="1:12" ht="15.75" x14ac:dyDescent="0.25">
      <c r="A49" s="3" t="s">
        <v>47</v>
      </c>
      <c r="B49" s="6">
        <v>3960.2733556931962</v>
      </c>
      <c r="C49" s="7">
        <v>123.241</v>
      </c>
      <c r="D49">
        <f t="shared" si="0"/>
        <v>3213.4381867180532</v>
      </c>
      <c r="E49" s="8">
        <f t="shared" si="3"/>
        <v>6.8095326538348599E-2</v>
      </c>
      <c r="G49">
        <f t="shared" si="1"/>
        <v>267.75206764994209</v>
      </c>
    </row>
    <row r="50" spans="1:12" ht="15.75" x14ac:dyDescent="0.25">
      <c r="A50" s="4" t="s">
        <v>48</v>
      </c>
      <c r="B50" s="5">
        <v>3466.3813688331584</v>
      </c>
      <c r="C50" s="7">
        <v>124.163</v>
      </c>
      <c r="D50">
        <f t="shared" si="0"/>
        <v>2791.7989810435947</v>
      </c>
      <c r="E50" s="8">
        <f t="shared" si="3"/>
        <v>-0.13121123892072961</v>
      </c>
      <c r="G50">
        <f t="shared" si="1"/>
        <v>-153.88713802451639</v>
      </c>
    </row>
    <row r="51" spans="1:12" ht="15.75" x14ac:dyDescent="0.25">
      <c r="A51" s="4" t="s">
        <v>49</v>
      </c>
      <c r="B51" s="5">
        <v>3929.7106293106358</v>
      </c>
      <c r="C51" s="7">
        <v>124.943</v>
      </c>
      <c r="D51">
        <f t="shared" si="0"/>
        <v>3145.2027158869528</v>
      </c>
      <c r="E51" s="8">
        <f t="shared" si="3"/>
        <v>0.12658638291760282</v>
      </c>
      <c r="G51">
        <f t="shared" si="1"/>
        <v>199.51659681884166</v>
      </c>
    </row>
    <row r="52" spans="1:12" ht="15.75" x14ac:dyDescent="0.25">
      <c r="A52" s="4" t="s">
        <v>50</v>
      </c>
      <c r="B52" s="5">
        <v>3687.7410654720111</v>
      </c>
      <c r="C52" s="7">
        <v>125.532</v>
      </c>
      <c r="D52">
        <f t="shared" si="0"/>
        <v>2937.6900435522507</v>
      </c>
      <c r="E52" s="8">
        <f t="shared" si="3"/>
        <v>-6.5977519123495698E-2</v>
      </c>
      <c r="G52">
        <f t="shared" si="1"/>
        <v>-7.9960755158604115</v>
      </c>
      <c r="I52" s="8"/>
      <c r="J52" s="8"/>
      <c r="K52" s="8"/>
      <c r="L52" s="8"/>
    </row>
    <row r="54" spans="1:12" x14ac:dyDescent="0.25">
      <c r="D54" t="s">
        <v>55</v>
      </c>
      <c r="E54" s="8">
        <f>_xlfn.STDEV.S(E3:E52)</f>
        <v>0.20054872452668474</v>
      </c>
      <c r="G54" s="11">
        <f>_xlfn.STDEV.S(G2:G52)</f>
        <v>763.10146437123512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 Astudillo</dc:creator>
  <cp:lastModifiedBy>Manuel Gonzalez-Astudillo</cp:lastModifiedBy>
  <dcterms:created xsi:type="dcterms:W3CDTF">2025-01-15T21:30:36Z</dcterms:created>
  <dcterms:modified xsi:type="dcterms:W3CDTF">2025-04-04T20:45:30Z</dcterms:modified>
</cp:coreProperties>
</file>