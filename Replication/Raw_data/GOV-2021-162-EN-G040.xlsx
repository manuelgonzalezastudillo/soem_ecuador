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anuel_projects\SOEM_EC\data\"/>
    </mc:Choice>
  </mc:AlternateContent>
  <xr:revisionPtr revIDLastSave="0" documentId="13_ncr:1_{EA8A1424-9761-4737-9B54-753E0071A4C3}" xr6:coauthVersionLast="47" xr6:coauthVersionMax="47" xr10:uidLastSave="{00000000-0000-0000-0000-000000000000}"/>
  <bookViews>
    <workbookView xWindow="-120" yWindow="-120" windowWidth="51840" windowHeight="21390" xr2:uid="{00000000-000D-0000-FFFF-FFFF00000000}"/>
  </bookViews>
  <sheets>
    <sheet name="2.32 graph" sheetId="18" r:id="rId1"/>
  </sheets>
  <externalReferences>
    <externalReference r:id="rId2"/>
  </externalReferences>
  <definedNames>
    <definedName name="__Exp2011">#REF!</definedName>
    <definedName name="_Exp2011">#REF!</definedName>
    <definedName name="aaa">'[1]GDP_CMP over time'!#REF!</definedName>
    <definedName name="bbb">'[1]GDP_CMP over time'!#REF!</definedName>
    <definedName name="ccc">'[1]GDP_CMP over time'!#REF!</definedName>
    <definedName name="GDP_GG2009">'[1]GDP_CMP over time'!#REF!</definedName>
    <definedName name="GDPREV20012011" localSheetId="0">#REF!</definedName>
    <definedName name="GDPREV20012011">#REF!</definedName>
    <definedName name="RPCN20012011" localSheetId="0">#REF!</definedName>
    <definedName name="RPCN20012011">#REF!</definedName>
    <definedName name="RPCR20012011" localSheetId="0">#REF!</definedName>
    <definedName name="RPCR20012011">#REF!</definedName>
    <definedName name="STRCG2011">#REF!</definedName>
    <definedName name="Temp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" i="18" l="1"/>
  <c r="L80" i="18"/>
  <c r="K80" i="18"/>
  <c r="J80" i="18"/>
  <c r="L70" i="18"/>
  <c r="K70" i="18"/>
  <c r="J70" i="18"/>
  <c r="L60" i="18"/>
  <c r="K60" i="18"/>
  <c r="J60" i="18"/>
  <c r="L50" i="18"/>
  <c r="K50" i="18"/>
  <c r="J50" i="18"/>
  <c r="L40" i="18"/>
  <c r="K40" i="18"/>
  <c r="J40" i="18"/>
  <c r="J41" i="18"/>
  <c r="K41" i="18"/>
  <c r="L41" i="18"/>
  <c r="J42" i="18"/>
  <c r="K42" i="18"/>
  <c r="J43" i="18"/>
  <c r="K43" i="18"/>
  <c r="L43" i="18"/>
  <c r="K45" i="18"/>
  <c r="J46" i="18"/>
  <c r="K46" i="18"/>
  <c r="J48" i="18"/>
  <c r="K48" i="18"/>
  <c r="L48" i="18"/>
  <c r="J52" i="18"/>
  <c r="K52" i="18"/>
  <c r="L52" i="18"/>
  <c r="J53" i="18"/>
  <c r="K53" i="18"/>
  <c r="L53" i="18"/>
  <c r="J54" i="18"/>
  <c r="K54" i="18"/>
  <c r="L54" i="18"/>
  <c r="J55" i="18"/>
  <c r="K55" i="18"/>
  <c r="L55" i="18"/>
  <c r="J56" i="18"/>
  <c r="K56" i="18"/>
  <c r="L56" i="18"/>
  <c r="J57" i="18"/>
  <c r="K57" i="18"/>
  <c r="L57" i="18"/>
  <c r="J59" i="18"/>
  <c r="K59" i="18"/>
  <c r="L59" i="18"/>
  <c r="J61" i="18"/>
  <c r="K61" i="18"/>
  <c r="J62" i="18"/>
  <c r="K62" i="18"/>
  <c r="L62" i="18"/>
  <c r="J63" i="18"/>
  <c r="K63" i="18"/>
  <c r="J64" i="18"/>
  <c r="K64" i="18"/>
  <c r="J65" i="18"/>
  <c r="K65" i="18"/>
  <c r="L65" i="18"/>
  <c r="J66" i="18"/>
  <c r="K66" i="18"/>
  <c r="L66" i="18"/>
  <c r="J67" i="18"/>
  <c r="K67" i="18"/>
  <c r="L67" i="18"/>
  <c r="J68" i="18"/>
  <c r="K68" i="18"/>
  <c r="J69" i="18"/>
  <c r="K69" i="18"/>
  <c r="L69" i="18"/>
  <c r="J71" i="18"/>
  <c r="K71" i="18"/>
  <c r="J72" i="18"/>
  <c r="K72" i="18"/>
  <c r="J74" i="18"/>
  <c r="K74" i="18"/>
  <c r="L74" i="18"/>
  <c r="J75" i="18"/>
  <c r="K75" i="18"/>
  <c r="L75" i="18"/>
  <c r="K77" i="18"/>
  <c r="J78" i="18"/>
  <c r="K78" i="18"/>
  <c r="L78" i="18"/>
  <c r="J79" i="18"/>
  <c r="K79" i="18"/>
  <c r="L79" i="18"/>
  <c r="K81" i="18"/>
  <c r="J82" i="18"/>
  <c r="K82" i="18"/>
  <c r="K39" i="18"/>
  <c r="J39" i="18"/>
</calcChain>
</file>

<file path=xl/sharedStrings.xml><?xml version="1.0" encoding="utf-8"?>
<sst xmlns="http://schemas.openxmlformats.org/spreadsheetml/2006/main" count="60" uniqueCount="58">
  <si>
    <t>OECD</t>
  </si>
  <si>
    <t>2007</t>
  </si>
  <si>
    <t>AUS</t>
  </si>
  <si>
    <t>AUT</t>
  </si>
  <si>
    <t>BEL</t>
  </si>
  <si>
    <t>CAN</t>
  </si>
  <si>
    <t>CHL</t>
  </si>
  <si>
    <t>CZE</t>
  </si>
  <si>
    <t>DNK</t>
  </si>
  <si>
    <t>EST</t>
  </si>
  <si>
    <t>FIN</t>
  </si>
  <si>
    <t>FRA</t>
  </si>
  <si>
    <t>DEU</t>
  </si>
  <si>
    <t>GRC</t>
  </si>
  <si>
    <t>HUN</t>
  </si>
  <si>
    <t>ISL</t>
  </si>
  <si>
    <t>IRL</t>
  </si>
  <si>
    <t>ISR</t>
  </si>
  <si>
    <t>ITA</t>
  </si>
  <si>
    <t>JPN</t>
  </si>
  <si>
    <t>KOR</t>
  </si>
  <si>
    <t>LUX</t>
  </si>
  <si>
    <t>MEX</t>
  </si>
  <si>
    <t>NLD</t>
  </si>
  <si>
    <t>NZL</t>
  </si>
  <si>
    <t>NOR</t>
  </si>
  <si>
    <t>POL</t>
  </si>
  <si>
    <t>PRT</t>
  </si>
  <si>
    <t>SVK</t>
  </si>
  <si>
    <t>SVN</t>
  </si>
  <si>
    <t>ESP</t>
  </si>
  <si>
    <t>SWE</t>
  </si>
  <si>
    <t>CHE</t>
  </si>
  <si>
    <t>TUR</t>
  </si>
  <si>
    <t>GBR</t>
  </si>
  <si>
    <t>USA</t>
  </si>
  <si>
    <t>COL</t>
  </si>
  <si>
    <t>LVA</t>
  </si>
  <si>
    <t>RUS</t>
  </si>
  <si>
    <t>ZAF</t>
  </si>
  <si>
    <t>LTU</t>
  </si>
  <si>
    <t>CRI</t>
  </si>
  <si>
    <t>BRA</t>
  </si>
  <si>
    <t>IDN</t>
  </si>
  <si>
    <t>ROU</t>
  </si>
  <si>
    <t>Data for Japan, Brazil and Russia are for 2018 rather than 2019.</t>
  </si>
  <si>
    <t>OECD-EU</t>
  </si>
  <si>
    <t xml:space="preserve">Source: OECD National Accounts Statistics (database). </t>
  </si>
  <si>
    <t>2.32 Government investment as a percentage of GDP, 2007, 2019 and 2020</t>
  </si>
  <si>
    <t>Data for Chile and Turkey are not included in the OECD average because of missing time series.</t>
  </si>
  <si>
    <t>Government at a Glance 2021 - © OECD 2021</t>
  </si>
  <si>
    <t>2. Public Finance and Economics</t>
  </si>
  <si>
    <t>Figure 2.32. Government investment as a percentage of GDP, 2007, 2019 and 2020</t>
  </si>
  <si>
    <t>Version 1 - Last updated: 08-Jul-2021</t>
  </si>
  <si>
    <t>Disclaimer: http://oe.cd/disclaimer</t>
  </si>
  <si>
    <t>Total invesment</t>
  </si>
  <si>
    <t>Share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</si>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</sst>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#\ ##0;&quot;-&quot;#\ ###\ ##0"/>
    <numFmt numFmtId="165" formatCode="#,##0.0"/>
    <numFmt numFmtId="166" formatCode="0.000"/>
    <numFmt numFmtId="167" formatCode="0.0"/>
    <numFmt numFmtId="168" formatCode="0.0000"/>
  </numFmts>
  <fonts count="36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6.5"/>
      <name val="Univers"/>
      <family val="2"/>
    </font>
    <font>
      <sz val="10"/>
      <name val="MS Sans Serif"/>
      <family val="2"/>
    </font>
    <font>
      <sz val="10"/>
      <name val="Courier"/>
      <family val="3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b/>
      <sz val="10"/>
      <color rgb="FF000000"/>
      <name val="Arial Narrow"/>
      <family val="2"/>
    </font>
    <font>
      <sz val="9"/>
      <color rgb="FF000000"/>
      <name val="Arial Narrow"/>
      <family val="2"/>
    </font>
    <font>
      <sz val="10"/>
      <color rgb="FF000000"/>
      <name val="Arial Narrow"/>
      <family val="2"/>
    </font>
    <font>
      <b/>
      <sz val="9"/>
      <color rgb="FF000000"/>
      <name val="Arial Narrow"/>
      <family val="2"/>
    </font>
    <font>
      <sz val="8"/>
      <color rgb="FF000000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sz val="8"/>
      <name val="Arial"/>
      <family val="2"/>
    </font>
    <font>
      <sz val="10"/>
      <color rgb="FF010000"/>
      <name val="Arial"/>
      <family val="2"/>
    </font>
    <font>
      <u/>
      <sz val="10"/>
      <color theme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1">
    <xf numFmtId="0" fontId="0" fillId="0" borderId="0"/>
    <xf numFmtId="0" fontId="15" fillId="0" borderId="0"/>
    <xf numFmtId="0" fontId="16" fillId="0" borderId="0"/>
    <xf numFmtId="0" fontId="14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4" fillId="0" borderId="0" applyFont="0" applyFill="0" applyBorder="0" applyAlignment="0" applyProtection="0"/>
    <xf numFmtId="164" fontId="17" fillId="0" borderId="0"/>
    <xf numFmtId="0" fontId="13" fillId="0" borderId="0"/>
    <xf numFmtId="0" fontId="12" fillId="0" borderId="0"/>
    <xf numFmtId="0" fontId="18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0" fillId="0" borderId="0"/>
    <xf numFmtId="0" fontId="10" fillId="0" borderId="0"/>
    <xf numFmtId="0" fontId="16" fillId="0" borderId="0"/>
    <xf numFmtId="165" fontId="19" fillId="0" borderId="0"/>
    <xf numFmtId="0" fontId="9" fillId="0" borderId="0"/>
    <xf numFmtId="0" fontId="8" fillId="0" borderId="0"/>
    <xf numFmtId="0" fontId="8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20" fillId="0" borderId="0"/>
    <xf numFmtId="0" fontId="8" fillId="0" borderId="0"/>
    <xf numFmtId="0" fontId="21" fillId="0" borderId="0"/>
    <xf numFmtId="0" fontId="22" fillId="0" borderId="0"/>
    <xf numFmtId="0" fontId="23" fillId="0" borderId="0"/>
    <xf numFmtId="0" fontId="16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8" fillId="2" borderId="1" applyNumberFormat="0" applyFont="0" applyAlignment="0" applyProtection="0"/>
    <xf numFmtId="0" fontId="8" fillId="2" borderId="1" applyNumberFormat="0" applyFont="0" applyAlignment="0" applyProtection="0"/>
    <xf numFmtId="0" fontId="7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 applyNumberFormat="0" applyFill="0" applyBorder="0" applyAlignment="0" applyProtection="0"/>
  </cellStyleXfs>
  <cellXfs count="32">
    <xf numFmtId="0" fontId="0" fillId="0" borderId="0" xfId="0"/>
    <xf numFmtId="0" fontId="24" fillId="0" borderId="0" xfId="25" applyFont="1"/>
    <xf numFmtId="0" fontId="24" fillId="0" borderId="0" xfId="25" applyFont="1" applyFill="1"/>
    <xf numFmtId="0" fontId="18" fillId="0" borderId="0" xfId="25"/>
    <xf numFmtId="0" fontId="25" fillId="0" borderId="0" xfId="4" applyFont="1"/>
    <xf numFmtId="0" fontId="26" fillId="0" borderId="0" xfId="25" applyFont="1"/>
    <xf numFmtId="0" fontId="27" fillId="0" borderId="0" xfId="25" applyFont="1"/>
    <xf numFmtId="0" fontId="28" fillId="0" borderId="0" xfId="4" applyFont="1"/>
    <xf numFmtId="0" fontId="29" fillId="0" borderId="0" xfId="4" applyFont="1"/>
    <xf numFmtId="0" fontId="29" fillId="0" borderId="0" xfId="25" applyFont="1"/>
    <xf numFmtId="0" fontId="30" fillId="0" borderId="0" xfId="4" applyFont="1"/>
    <xf numFmtId="0" fontId="30" fillId="0" borderId="0" xfId="25" applyFont="1"/>
    <xf numFmtId="0" fontId="31" fillId="0" borderId="0" xfId="25" applyFont="1"/>
    <xf numFmtId="0" fontId="32" fillId="0" borderId="0" xfId="25" applyFont="1"/>
    <xf numFmtId="0" fontId="31" fillId="0" borderId="0" xfId="25" applyFont="1" applyBorder="1"/>
    <xf numFmtId="166" fontId="18" fillId="0" borderId="0" xfId="25" applyNumberFormat="1" applyFill="1"/>
    <xf numFmtId="0" fontId="18" fillId="0" borderId="0" xfId="25" applyAlignment="1">
      <alignment horizontal="left"/>
    </xf>
    <xf numFmtId="167" fontId="31" fillId="0" borderId="0" xfId="25" applyNumberFormat="1" applyFont="1"/>
    <xf numFmtId="167" fontId="32" fillId="0" borderId="0" xfId="25" applyNumberFormat="1" applyFont="1"/>
    <xf numFmtId="167" fontId="18" fillId="0" borderId="0" xfId="25" applyNumberFormat="1"/>
    <xf numFmtId="167" fontId="31" fillId="0" borderId="0" xfId="25" applyNumberFormat="1" applyFont="1" applyBorder="1"/>
    <xf numFmtId="2" fontId="31" fillId="0" borderId="0" xfId="25" applyNumberFormat="1" applyFont="1" applyBorder="1"/>
    <xf numFmtId="2" fontId="31" fillId="0" borderId="0" xfId="4" applyNumberFormat="1" applyFont="1" applyFill="1"/>
    <xf numFmtId="0" fontId="31" fillId="0" borderId="0" xfId="25" applyFont="1" applyFill="1"/>
    <xf numFmtId="0" fontId="33" fillId="0" borderId="0" xfId="25" applyFont="1"/>
    <xf numFmtId="0" fontId="31" fillId="0" borderId="0" xfId="25" applyFont="1" applyBorder="1" applyAlignment="1">
      <alignment horizontal="right"/>
    </xf>
    <xf numFmtId="0" fontId="31" fillId="0" borderId="0" xfId="25" applyFont="1" applyAlignment="1">
      <alignment horizontal="right"/>
    </xf>
    <xf numFmtId="0" fontId="34" fillId="15" borderId="0" xfId="25" applyFont="1" applyFill="1" applyAlignment="1"/>
    <xf numFmtId="0" fontId="35" fillId="15" borderId="0" xfId="80" applyFill="1" applyAlignment="1"/>
    <xf numFmtId="0" fontId="30" fillId="0" borderId="0" xfId="25" applyFont="1" applyAlignment="1">
      <alignment horizontal="center"/>
    </xf>
    <xf numFmtId="0" fontId="32" fillId="0" borderId="0" xfId="25" applyFont="1" applyAlignment="1">
      <alignment horizontal="center"/>
    </xf>
    <xf numFmtId="168" fontId="18" fillId="0" borderId="0" xfId="25" applyNumberFormat="1"/>
  </cellXfs>
  <cellStyles count="81">
    <cellStyle name="20% - Accent1 2" xfId="37" xr:uid="{00000000-0005-0000-0000-000000000000}"/>
    <cellStyle name="20% - Accent2 2" xfId="38" xr:uid="{00000000-0005-0000-0000-000001000000}"/>
    <cellStyle name="20% - Accent3 2" xfId="39" xr:uid="{00000000-0005-0000-0000-000002000000}"/>
    <cellStyle name="20% - Accent4 2" xfId="40" xr:uid="{00000000-0005-0000-0000-000003000000}"/>
    <cellStyle name="20% - Accent5 2" xfId="41" xr:uid="{00000000-0005-0000-0000-000004000000}"/>
    <cellStyle name="20% - Accent6 2" xfId="42" xr:uid="{00000000-0005-0000-0000-000005000000}"/>
    <cellStyle name="40% - Accent1 2" xfId="43" xr:uid="{00000000-0005-0000-0000-000006000000}"/>
    <cellStyle name="40% - Accent2 2" xfId="44" xr:uid="{00000000-0005-0000-0000-000007000000}"/>
    <cellStyle name="40% - Accent3 2" xfId="45" xr:uid="{00000000-0005-0000-0000-000008000000}"/>
    <cellStyle name="40% - Accent4 2" xfId="46" xr:uid="{00000000-0005-0000-0000-000009000000}"/>
    <cellStyle name="40% - Accent5 2" xfId="47" xr:uid="{00000000-0005-0000-0000-00000A000000}"/>
    <cellStyle name="40% - Accent6 2" xfId="48" xr:uid="{00000000-0005-0000-0000-00000B000000}"/>
    <cellStyle name="Hyperlink" xfId="80" builtinId="8"/>
    <cellStyle name="Normal" xfId="0" builtinId="0"/>
    <cellStyle name="Normal 10" xfId="49" xr:uid="{00000000-0005-0000-0000-00000E000000}"/>
    <cellStyle name="Normal 11" xfId="50" xr:uid="{00000000-0005-0000-0000-00000F000000}"/>
    <cellStyle name="Normal 11 2" xfId="32" xr:uid="{00000000-0005-0000-0000-000010000000}"/>
    <cellStyle name="Normal 12" xfId="51" xr:uid="{00000000-0005-0000-0000-000011000000}"/>
    <cellStyle name="Normal 13" xfId="61" xr:uid="{00000000-0005-0000-0000-000012000000}"/>
    <cellStyle name="Normal 13 2" xfId="67" xr:uid="{00000000-0005-0000-0000-000013000000}"/>
    <cellStyle name="Normal 13 3" xfId="71" xr:uid="{00000000-0005-0000-0000-000014000000}"/>
    <cellStyle name="Normal 13 3 2" xfId="75" xr:uid="{00000000-0005-0000-0000-000015000000}"/>
    <cellStyle name="Normal 14" xfId="64" xr:uid="{00000000-0005-0000-0000-000016000000}"/>
    <cellStyle name="Normal 14 2" xfId="70" xr:uid="{00000000-0005-0000-0000-000017000000}"/>
    <cellStyle name="Normal 14 2 2" xfId="74" xr:uid="{00000000-0005-0000-0000-000018000000}"/>
    <cellStyle name="Normal 15" xfId="69" xr:uid="{00000000-0005-0000-0000-000019000000}"/>
    <cellStyle name="Normal 15 2" xfId="76" xr:uid="{00000000-0005-0000-0000-00001A000000}"/>
    <cellStyle name="Normal 16" xfId="72" xr:uid="{00000000-0005-0000-0000-00001B000000}"/>
    <cellStyle name="Normal 16 2" xfId="73" xr:uid="{00000000-0005-0000-0000-00001C000000}"/>
    <cellStyle name="Normal 2" xfId="3" xr:uid="{00000000-0005-0000-0000-00001D000000}"/>
    <cellStyle name="Normal 2 2" xfId="4" xr:uid="{00000000-0005-0000-0000-00001E000000}"/>
    <cellStyle name="Normal 2 2 2" xfId="2" xr:uid="{00000000-0005-0000-0000-00001F000000}"/>
    <cellStyle name="Normal 2 2 2 2" xfId="33" xr:uid="{00000000-0005-0000-0000-000020000000}"/>
    <cellStyle name="Normal 2 2 3" xfId="52" xr:uid="{00000000-0005-0000-0000-000021000000}"/>
    <cellStyle name="Normal 2 3" xfId="5" xr:uid="{00000000-0005-0000-0000-000022000000}"/>
    <cellStyle name="Normal 2 3 2" xfId="53" xr:uid="{00000000-0005-0000-0000-000023000000}"/>
    <cellStyle name="Normal 2 4" xfId="6" xr:uid="{00000000-0005-0000-0000-000024000000}"/>
    <cellStyle name="Normal 2 5" xfId="1" xr:uid="{00000000-0005-0000-0000-000025000000}"/>
    <cellStyle name="Normal 2 5 2" xfId="23" xr:uid="{00000000-0005-0000-0000-000026000000}"/>
    <cellStyle name="Normal 2 5 3" xfId="24" xr:uid="{00000000-0005-0000-0000-000027000000}"/>
    <cellStyle name="Normal 2 5 3 2" xfId="30" xr:uid="{00000000-0005-0000-0000-000028000000}"/>
    <cellStyle name="Normal 2 5 3 2 2" xfId="62" xr:uid="{00000000-0005-0000-0000-000029000000}"/>
    <cellStyle name="Normal 2 5 3 2 3" xfId="65" xr:uid="{00000000-0005-0000-0000-00002A000000}"/>
    <cellStyle name="Normal 2 5 3 2 3 2" xfId="77" xr:uid="{00000000-0005-0000-0000-00002B000000}"/>
    <cellStyle name="Normal 2 5 4" xfId="29" xr:uid="{00000000-0005-0000-0000-00002C000000}"/>
    <cellStyle name="Normal 2 5 4 2" xfId="63" xr:uid="{00000000-0005-0000-0000-00002D000000}"/>
    <cellStyle name="Normal 2 5 4 3" xfId="66" xr:uid="{00000000-0005-0000-0000-00002E000000}"/>
    <cellStyle name="Normal 2 5 4 4" xfId="78" xr:uid="{00000000-0005-0000-0000-00002F000000}"/>
    <cellStyle name="Normal 2 6" xfId="25" xr:uid="{00000000-0005-0000-0000-000030000000}"/>
    <cellStyle name="Normal 3" xfId="7" xr:uid="{00000000-0005-0000-0000-000031000000}"/>
    <cellStyle name="Normal 3 2" xfId="34" xr:uid="{00000000-0005-0000-0000-000032000000}"/>
    <cellStyle name="Normal 3 2 2" xfId="54" xr:uid="{00000000-0005-0000-0000-000033000000}"/>
    <cellStyle name="Normal 3 3" xfId="55" xr:uid="{00000000-0005-0000-0000-000034000000}"/>
    <cellStyle name="Normal 3 4" xfId="56" xr:uid="{00000000-0005-0000-0000-000035000000}"/>
    <cellStyle name="Normal 4" xfId="8" xr:uid="{00000000-0005-0000-0000-000036000000}"/>
    <cellStyle name="Normal 5" xfId="9" xr:uid="{00000000-0005-0000-0000-000037000000}"/>
    <cellStyle name="Normal 6" xfId="10" xr:uid="{00000000-0005-0000-0000-000038000000}"/>
    <cellStyle name="Normal 6 2" xfId="11" xr:uid="{00000000-0005-0000-0000-000039000000}"/>
    <cellStyle name="Normal 6 2 2" xfId="12" xr:uid="{00000000-0005-0000-0000-00003A000000}"/>
    <cellStyle name="Normal 6 2 2 2" xfId="13" xr:uid="{00000000-0005-0000-0000-00003B000000}"/>
    <cellStyle name="Normal 6 2 2 2 2" xfId="14" xr:uid="{00000000-0005-0000-0000-00003C000000}"/>
    <cellStyle name="Normal 7" xfId="15" xr:uid="{00000000-0005-0000-0000-00003D000000}"/>
    <cellStyle name="Normal 7 2" xfId="26" xr:uid="{00000000-0005-0000-0000-00003E000000}"/>
    <cellStyle name="Normal 7 2 2" xfId="57" xr:uid="{00000000-0005-0000-0000-00003F000000}"/>
    <cellStyle name="Normal 7 2 3" xfId="58" xr:uid="{00000000-0005-0000-0000-000040000000}"/>
    <cellStyle name="Normal 8" xfId="31" xr:uid="{00000000-0005-0000-0000-000041000000}"/>
    <cellStyle name="Normal 8 2" xfId="35" xr:uid="{00000000-0005-0000-0000-000042000000}"/>
    <cellStyle name="Normal 9" xfId="36" xr:uid="{00000000-0005-0000-0000-000043000000}"/>
    <cellStyle name="Normal 9 2" xfId="68" xr:uid="{00000000-0005-0000-0000-000044000000}"/>
    <cellStyle name="Normal 9 2 2" xfId="79" xr:uid="{00000000-0005-0000-0000-000045000000}"/>
    <cellStyle name="Note 2" xfId="59" xr:uid="{00000000-0005-0000-0000-000046000000}"/>
    <cellStyle name="Note 3" xfId="60" xr:uid="{00000000-0005-0000-0000-000047000000}"/>
    <cellStyle name="Percent 2" xfId="16" xr:uid="{00000000-0005-0000-0000-000048000000}"/>
    <cellStyle name="Percent 2 2" xfId="17" xr:uid="{00000000-0005-0000-0000-000049000000}"/>
    <cellStyle name="Percent 2 3" xfId="18" xr:uid="{00000000-0005-0000-0000-00004A000000}"/>
    <cellStyle name="Percent 3" xfId="19" xr:uid="{00000000-0005-0000-0000-00004B000000}"/>
    <cellStyle name="Percent 3 2" xfId="20" xr:uid="{00000000-0005-0000-0000-00004C000000}"/>
    <cellStyle name="Percent 4" xfId="21" xr:uid="{00000000-0005-0000-0000-00004D000000}"/>
    <cellStyle name="Percent 5" xfId="27" xr:uid="{00000000-0005-0000-0000-00004E000000}"/>
    <cellStyle name="Percent 5 2" xfId="28" xr:uid="{00000000-0005-0000-0000-00004F000000}"/>
    <cellStyle name="Standaard2" xfId="22" xr:uid="{00000000-0005-0000-0000-000050000000}"/>
  </cellStyles>
  <dxfs count="0"/>
  <tableStyles count="0" defaultTableStyle="TableStyleMedium9" defaultPivotStyle="PivotStyleLight16"/>
  <colors>
    <mruColors>
      <color rgb="FFF79779"/>
      <color rgb="FFDE1920"/>
      <color rgb="FF006B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8.725504391694075E-3"/>
          <c:y val="0.11768639199607545"/>
          <c:w val="0.98691174341245891"/>
          <c:h val="0.87139868225836492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'2.32 graph'!$C$38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006BB6"/>
            </a:solidFill>
            <a:ln w="28575">
              <a:noFill/>
            </a:ln>
          </c:spPr>
          <c:invertIfNegative val="0"/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697-4538-8742-8B5EC5A6030D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697-4538-8742-8B5EC5A6030D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697-4538-8742-8B5EC5A6030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697-4538-8742-8B5EC5A6030D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697-4538-8742-8B5EC5A6030D}"/>
              </c:ext>
            </c:extLst>
          </c:dPt>
          <c:dPt>
            <c:idx val="21"/>
            <c:invertIfNegative val="0"/>
            <c:bubble3D val="0"/>
            <c:spPr>
              <a:solidFill>
                <a:srgbClr val="DE1920"/>
              </a:solidFill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9891-421D-A921-D203A0D58AA7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6697-4538-8742-8B5EC5A6030D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697-4538-8742-8B5EC5A6030D}"/>
              </c:ext>
            </c:extLst>
          </c:dPt>
          <c:dPt>
            <c:idx val="26"/>
            <c:invertIfNegative val="0"/>
            <c:bubble3D val="0"/>
            <c:spPr>
              <a:solidFill>
                <a:srgbClr val="DE1920"/>
              </a:solidFill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9-9891-421D-A921-D203A0D58AA7}"/>
              </c:ext>
            </c:extLst>
          </c:dPt>
          <c:cat>
            <c:strRef>
              <c:f>'2.32 graph'!$A$39:$A$83</c:f>
              <c:strCache>
                <c:ptCount val="45"/>
                <c:pt idx="0">
                  <c:v>AUS</c:v>
                </c:pt>
                <c:pt idx="1">
                  <c:v>AUT</c:v>
                </c:pt>
                <c:pt idx="2">
                  <c:v>BEL</c:v>
                </c:pt>
                <c:pt idx="3">
                  <c:v>BRA</c:v>
                </c:pt>
                <c:pt idx="4">
                  <c:v>CAN</c:v>
                </c:pt>
                <c:pt idx="5">
                  <c:v>CHE</c:v>
                </c:pt>
                <c:pt idx="6">
                  <c:v>CHL</c:v>
                </c:pt>
                <c:pt idx="7">
                  <c:v>COL</c:v>
                </c:pt>
                <c:pt idx="8">
                  <c:v>CRI</c:v>
                </c:pt>
                <c:pt idx="9">
                  <c:v>CZE</c:v>
                </c:pt>
                <c:pt idx="10">
                  <c:v>DEU</c:v>
                </c:pt>
                <c:pt idx="11">
                  <c:v>DNK</c:v>
                </c:pt>
                <c:pt idx="12">
                  <c:v>ESP</c:v>
                </c:pt>
                <c:pt idx="13">
                  <c:v>EST</c:v>
                </c:pt>
                <c:pt idx="14">
                  <c:v>FIN</c:v>
                </c:pt>
                <c:pt idx="15">
                  <c:v>FRA</c:v>
                </c:pt>
                <c:pt idx="16">
                  <c:v>GBR</c:v>
                </c:pt>
                <c:pt idx="17">
                  <c:v>GRC</c:v>
                </c:pt>
                <c:pt idx="18">
                  <c:v>HUN</c:v>
                </c:pt>
                <c:pt idx="19">
                  <c:v>IDN</c:v>
                </c:pt>
                <c:pt idx="20">
                  <c:v>IRL</c:v>
                </c:pt>
                <c:pt idx="21">
                  <c:v>ISL</c:v>
                </c:pt>
                <c:pt idx="22">
                  <c:v>ISR</c:v>
                </c:pt>
                <c:pt idx="23">
                  <c:v>ITA</c:v>
                </c:pt>
                <c:pt idx="24">
                  <c:v>JPN</c:v>
                </c:pt>
                <c:pt idx="25">
                  <c:v>KOR</c:v>
                </c:pt>
                <c:pt idx="26">
                  <c:v>LTU</c:v>
                </c:pt>
                <c:pt idx="27">
                  <c:v>LUX</c:v>
                </c:pt>
                <c:pt idx="28">
                  <c:v>LVA</c:v>
                </c:pt>
                <c:pt idx="29">
                  <c:v>MEX</c:v>
                </c:pt>
                <c:pt idx="30">
                  <c:v>NLD</c:v>
                </c:pt>
                <c:pt idx="31">
                  <c:v>NOR</c:v>
                </c:pt>
                <c:pt idx="32">
                  <c:v>NZL</c:v>
                </c:pt>
                <c:pt idx="33">
                  <c:v>OECD</c:v>
                </c:pt>
                <c:pt idx="34">
                  <c:v>OECD-EU</c:v>
                </c:pt>
                <c:pt idx="35">
                  <c:v>POL</c:v>
                </c:pt>
                <c:pt idx="36">
                  <c:v>PRT</c:v>
                </c:pt>
                <c:pt idx="37">
                  <c:v>ROU</c:v>
                </c:pt>
                <c:pt idx="38">
                  <c:v>RUS</c:v>
                </c:pt>
                <c:pt idx="39">
                  <c:v>SVK</c:v>
                </c:pt>
                <c:pt idx="40">
                  <c:v>SVN</c:v>
                </c:pt>
                <c:pt idx="41">
                  <c:v>SWE</c:v>
                </c:pt>
                <c:pt idx="42">
                  <c:v>TUR</c:v>
                </c:pt>
                <c:pt idx="43">
                  <c:v>USA</c:v>
                </c:pt>
                <c:pt idx="44">
                  <c:v>ZAF</c:v>
                </c:pt>
              </c:strCache>
            </c:strRef>
          </c:cat>
          <c:val>
            <c:numRef>
              <c:f>'2.32 graph'!$C$39:$C$83</c:f>
              <c:numCache>
                <c:formatCode>0.0</c:formatCode>
                <c:ptCount val="45"/>
                <c:pt idx="0">
                  <c:v>4.2090964311148999</c:v>
                </c:pt>
                <c:pt idx="1">
                  <c:v>3.1571656064733</c:v>
                </c:pt>
                <c:pt idx="2">
                  <c:v>2.6904475462475999</c:v>
                </c:pt>
                <c:pt idx="3">
                  <c:v>1.6655004518042</c:v>
                </c:pt>
                <c:pt idx="4">
                  <c:v>3.7862788612340998</c:v>
                </c:pt>
                <c:pt idx="5">
                  <c:v>3.0786098966965998</c:v>
                </c:pt>
                <c:pt idx="6">
                  <c:v>2.0381941143944</c:v>
                </c:pt>
                <c:pt idx="7">
                  <c:v>3.4779322583046999</c:v>
                </c:pt>
                <c:pt idx="8">
                  <c:v>2.3977952897408001</c:v>
                </c:pt>
                <c:pt idx="9">
                  <c:v>4.5002222200961999</c:v>
                </c:pt>
                <c:pt idx="10">
                  <c:v>2.4643597512358002</c:v>
                </c:pt>
                <c:pt idx="11">
                  <c:v>3.0895903386722998</c:v>
                </c:pt>
                <c:pt idx="12">
                  <c:v>2.1281809038120998</c:v>
                </c:pt>
                <c:pt idx="13">
                  <c:v>4.8754308910160997</c:v>
                </c:pt>
                <c:pt idx="14">
                  <c:v>4.3456907280000001</c:v>
                </c:pt>
                <c:pt idx="15">
                  <c:v>3.7916764919768</c:v>
                </c:pt>
                <c:pt idx="16">
                  <c:v>2.7097282110499998</c:v>
                </c:pt>
                <c:pt idx="17">
                  <c:v>2.5570637257955</c:v>
                </c:pt>
                <c:pt idx="18">
                  <c:v>6.2753456776581</c:v>
                </c:pt>
                <c:pt idx="19">
                  <c:v>3.3996921933299</c:v>
                </c:pt>
                <c:pt idx="20">
                  <c:v>2.3439743159839002</c:v>
                </c:pt>
                <c:pt idx="21">
                  <c:v>3.6282999002151999</c:v>
                </c:pt>
                <c:pt idx="22">
                  <c:v>1.9388332838969</c:v>
                </c:pt>
                <c:pt idx="23">
                  <c:v>2.3492112947296002</c:v>
                </c:pt>
                <c:pt idx="24">
                  <c:v>3.9497702081149999</c:v>
                </c:pt>
                <c:pt idx="25">
                  <c:v>5.3973395758993998</c:v>
                </c:pt>
                <c:pt idx="26">
                  <c:v>2.9899767139089999</c:v>
                </c:pt>
                <c:pt idx="27">
                  <c:v>4.1701287681329999</c:v>
                </c:pt>
                <c:pt idx="28">
                  <c:v>4.8911378077823002</c:v>
                </c:pt>
                <c:pt idx="29">
                  <c:v>1.3032006251757999</c:v>
                </c:pt>
                <c:pt idx="30">
                  <c:v>3.1287989958617999</c:v>
                </c:pt>
                <c:pt idx="31">
                  <c:v>6.0027103916281002</c:v>
                </c:pt>
                <c:pt idx="32">
                  <c:v>4.2528795242457997</c:v>
                </c:pt>
                <c:pt idx="33">
                  <c:v>3.3116669733172821</c:v>
                </c:pt>
                <c:pt idx="34">
                  <c:v>3.0642419556435248</c:v>
                </c:pt>
                <c:pt idx="35">
                  <c:v>4.329167063711</c:v>
                </c:pt>
                <c:pt idx="36">
                  <c:v>1.8172110273702999</c:v>
                </c:pt>
                <c:pt idx="37">
                  <c:v>3.5098034824170998</c:v>
                </c:pt>
                <c:pt idx="38">
                  <c:v>3.6549429148983998</c:v>
                </c:pt>
                <c:pt idx="39">
                  <c:v>3.6539748920944</c:v>
                </c:pt>
                <c:pt idx="40">
                  <c:v>3.9780089295147998</c:v>
                </c:pt>
                <c:pt idx="41">
                  <c:v>4.8734911383200998</c:v>
                </c:pt>
                <c:pt idx="42">
                  <c:v>3.6431257722193999</c:v>
                </c:pt>
                <c:pt idx="43">
                  <c:v>3.3742964311578998</c:v>
                </c:pt>
                <c:pt idx="44">
                  <c:v>2.7018861946722001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97-4538-8742-8B5EC5A60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227168256"/>
        <c:axId val="227170560"/>
      </c:barChart>
      <c:lineChart>
        <c:grouping val="standard"/>
        <c:varyColors val="0"/>
        <c:ser>
          <c:idx val="3"/>
          <c:order val="0"/>
          <c:tx>
            <c:strRef>
              <c:f>'2.32 graph'!$B$38</c:f>
              <c:strCache>
                <c:ptCount val="1"/>
                <c:pt idx="0">
                  <c:v>2007</c:v>
                </c:pt>
              </c:strCache>
            </c:strRef>
          </c:tx>
          <c:spPr>
            <a:ln w="63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6350" cap="rnd" cmpd="sng" algn="ctr">
                  <a:solidFill>
                    <a:sysClr val="windowText" lastClr="000000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5"/>
            <c:spPr>
              <a:solidFill>
                <a:srgbClr val="FFFFFF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'2.32 graph'!$A$39:$A$83</c:f>
              <c:strCache>
                <c:ptCount val="45"/>
                <c:pt idx="0">
                  <c:v>AUS</c:v>
                </c:pt>
                <c:pt idx="1">
                  <c:v>AUT</c:v>
                </c:pt>
                <c:pt idx="2">
                  <c:v>BEL</c:v>
                </c:pt>
                <c:pt idx="3">
                  <c:v>BRA</c:v>
                </c:pt>
                <c:pt idx="4">
                  <c:v>CAN</c:v>
                </c:pt>
                <c:pt idx="5">
                  <c:v>CHE</c:v>
                </c:pt>
                <c:pt idx="6">
                  <c:v>CHL</c:v>
                </c:pt>
                <c:pt idx="7">
                  <c:v>COL</c:v>
                </c:pt>
                <c:pt idx="8">
                  <c:v>CRI</c:v>
                </c:pt>
                <c:pt idx="9">
                  <c:v>CZE</c:v>
                </c:pt>
                <c:pt idx="10">
                  <c:v>DEU</c:v>
                </c:pt>
                <c:pt idx="11">
                  <c:v>DNK</c:v>
                </c:pt>
                <c:pt idx="12">
                  <c:v>ESP</c:v>
                </c:pt>
                <c:pt idx="13">
                  <c:v>EST</c:v>
                </c:pt>
                <c:pt idx="14">
                  <c:v>FIN</c:v>
                </c:pt>
                <c:pt idx="15">
                  <c:v>FRA</c:v>
                </c:pt>
                <c:pt idx="16">
                  <c:v>GBR</c:v>
                </c:pt>
                <c:pt idx="17">
                  <c:v>GRC</c:v>
                </c:pt>
                <c:pt idx="18">
                  <c:v>HUN</c:v>
                </c:pt>
                <c:pt idx="19">
                  <c:v>IDN</c:v>
                </c:pt>
                <c:pt idx="20">
                  <c:v>IRL</c:v>
                </c:pt>
                <c:pt idx="21">
                  <c:v>ISL</c:v>
                </c:pt>
                <c:pt idx="22">
                  <c:v>ISR</c:v>
                </c:pt>
                <c:pt idx="23">
                  <c:v>ITA</c:v>
                </c:pt>
                <c:pt idx="24">
                  <c:v>JPN</c:v>
                </c:pt>
                <c:pt idx="25">
                  <c:v>KOR</c:v>
                </c:pt>
                <c:pt idx="26">
                  <c:v>LTU</c:v>
                </c:pt>
                <c:pt idx="27">
                  <c:v>LUX</c:v>
                </c:pt>
                <c:pt idx="28">
                  <c:v>LVA</c:v>
                </c:pt>
                <c:pt idx="29">
                  <c:v>MEX</c:v>
                </c:pt>
                <c:pt idx="30">
                  <c:v>NLD</c:v>
                </c:pt>
                <c:pt idx="31">
                  <c:v>NOR</c:v>
                </c:pt>
                <c:pt idx="32">
                  <c:v>NZL</c:v>
                </c:pt>
                <c:pt idx="33">
                  <c:v>OECD</c:v>
                </c:pt>
                <c:pt idx="34">
                  <c:v>OECD-EU</c:v>
                </c:pt>
                <c:pt idx="35">
                  <c:v>POL</c:v>
                </c:pt>
                <c:pt idx="36">
                  <c:v>PRT</c:v>
                </c:pt>
                <c:pt idx="37">
                  <c:v>ROU</c:v>
                </c:pt>
                <c:pt idx="38">
                  <c:v>RUS</c:v>
                </c:pt>
                <c:pt idx="39">
                  <c:v>SVK</c:v>
                </c:pt>
                <c:pt idx="40">
                  <c:v>SVN</c:v>
                </c:pt>
                <c:pt idx="41">
                  <c:v>SWE</c:v>
                </c:pt>
                <c:pt idx="42">
                  <c:v>TUR</c:v>
                </c:pt>
                <c:pt idx="43">
                  <c:v>USA</c:v>
                </c:pt>
                <c:pt idx="44">
                  <c:v>ZAF</c:v>
                </c:pt>
              </c:strCache>
            </c:strRef>
          </c:cat>
          <c:val>
            <c:numRef>
              <c:f>'2.32 graph'!$B$39:$B$83</c:f>
              <c:numCache>
                <c:formatCode>0.0</c:formatCode>
                <c:ptCount val="45"/>
                <c:pt idx="0">
                  <c:v>3.2298972320870001</c:v>
                </c:pt>
                <c:pt idx="1">
                  <c:v>3.1397294656343</c:v>
                </c:pt>
                <c:pt idx="2">
                  <c:v>2.0007630546514998</c:v>
                </c:pt>
                <c:pt idx="3">
                  <c:v>2.4708640613093</c:v>
                </c:pt>
                <c:pt idx="4">
                  <c:v>3.7456082136784001</c:v>
                </c:pt>
                <c:pt idx="5">
                  <c:v>2.6493231280542999</c:v>
                </c:pt>
                <c:pt idx="7">
                  <c:v>2.5726594260056999</c:v>
                </c:pt>
                <c:pt idx="8">
                  <c:v>1.9394154642946</c:v>
                </c:pt>
                <c:pt idx="9">
                  <c:v>4.5087320149872996</c:v>
                </c:pt>
                <c:pt idx="10">
                  <c:v>1.8614150547098001</c:v>
                </c:pt>
                <c:pt idx="11">
                  <c:v>2.8398156013990001</c:v>
                </c:pt>
                <c:pt idx="12">
                  <c:v>4.7436680585269002</c:v>
                </c:pt>
                <c:pt idx="13">
                  <c:v>5.9059404736083003</c:v>
                </c:pt>
                <c:pt idx="14">
                  <c:v>3.4109861443721998</c:v>
                </c:pt>
                <c:pt idx="15">
                  <c:v>4.0925433716570003</c:v>
                </c:pt>
                <c:pt idx="16">
                  <c:v>2.3307903511125998</c:v>
                </c:pt>
                <c:pt idx="17">
                  <c:v>5.085206255738</c:v>
                </c:pt>
                <c:pt idx="18">
                  <c:v>4.3074047923284002</c:v>
                </c:pt>
                <c:pt idx="20">
                  <c:v>4.6706379199720001</c:v>
                </c:pt>
                <c:pt idx="21">
                  <c:v>4.7236166511941002</c:v>
                </c:pt>
                <c:pt idx="22">
                  <c:v>1.6463597595206001</c:v>
                </c:pt>
                <c:pt idx="23">
                  <c:v>3.1507150121021001</c:v>
                </c:pt>
                <c:pt idx="24">
                  <c:v>3.9295022910044</c:v>
                </c:pt>
                <c:pt idx="25">
                  <c:v>5.7925489065307003</c:v>
                </c:pt>
                <c:pt idx="26">
                  <c:v>5.4022549000784998</c:v>
                </c:pt>
                <c:pt idx="27">
                  <c:v>3.743994808234</c:v>
                </c:pt>
                <c:pt idx="28">
                  <c:v>6.5191084924035003</c:v>
                </c:pt>
                <c:pt idx="29">
                  <c:v>2.0275157682745002</c:v>
                </c:pt>
                <c:pt idx="30">
                  <c:v>3.584152978988</c:v>
                </c:pt>
                <c:pt idx="31">
                  <c:v>3.7250874722840002</c:v>
                </c:pt>
                <c:pt idx="32">
                  <c:v>4.1196691540822998</c:v>
                </c:pt>
                <c:pt idx="33">
                  <c:v>3.6128627967085118</c:v>
                </c:pt>
                <c:pt idx="34">
                  <c:v>3.4037115540890026</c:v>
                </c:pt>
                <c:pt idx="35">
                  <c:v>4.1440562926734001</c:v>
                </c:pt>
                <c:pt idx="36">
                  <c:v>3.1800671563231999</c:v>
                </c:pt>
                <c:pt idx="37">
                  <c:v>6.2580824452285002</c:v>
                </c:pt>
                <c:pt idx="39">
                  <c:v>3.1796602561561</c:v>
                </c:pt>
                <c:pt idx="40">
                  <c:v>4.6808332774506001</c:v>
                </c:pt>
                <c:pt idx="41">
                  <c:v>3.9033779701579001</c:v>
                </c:pt>
                <c:pt idx="43">
                  <c:v>3.9421246815289002</c:v>
                </c:pt>
                <c:pt idx="44">
                  <c:v>3.2958489728855001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697-4538-8742-8B5EC5A6030D}"/>
            </c:ext>
          </c:extLst>
        </c:ser>
        <c:ser>
          <c:idx val="1"/>
          <c:order val="2"/>
          <c:tx>
            <c:strRef>
              <c:f>'2.32 graph'!$D$38</c:f>
              <c:strCache>
                <c:ptCount val="1"/>
                <c:pt idx="0">
                  <c:v>2020</c:v>
                </c:pt>
              </c:strCache>
            </c:strRef>
          </c:tx>
          <c:spPr>
            <a:ln w="63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6350" cap="rnd" cmpd="sng" algn="ctr">
                  <a:solidFill>
                    <a:sysClr val="windowText" lastClr="000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chemeClr val="tx1"/>
              </a:solidFill>
              <a:ln w="6350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'2.32 graph'!$A$39:$A$83</c:f>
              <c:strCache>
                <c:ptCount val="45"/>
                <c:pt idx="0">
                  <c:v>AUS</c:v>
                </c:pt>
                <c:pt idx="1">
                  <c:v>AUT</c:v>
                </c:pt>
                <c:pt idx="2">
                  <c:v>BEL</c:v>
                </c:pt>
                <c:pt idx="3">
                  <c:v>BRA</c:v>
                </c:pt>
                <c:pt idx="4">
                  <c:v>CAN</c:v>
                </c:pt>
                <c:pt idx="5">
                  <c:v>CHE</c:v>
                </c:pt>
                <c:pt idx="6">
                  <c:v>CHL</c:v>
                </c:pt>
                <c:pt idx="7">
                  <c:v>COL</c:v>
                </c:pt>
                <c:pt idx="8">
                  <c:v>CRI</c:v>
                </c:pt>
                <c:pt idx="9">
                  <c:v>CZE</c:v>
                </c:pt>
                <c:pt idx="10">
                  <c:v>DEU</c:v>
                </c:pt>
                <c:pt idx="11">
                  <c:v>DNK</c:v>
                </c:pt>
                <c:pt idx="12">
                  <c:v>ESP</c:v>
                </c:pt>
                <c:pt idx="13">
                  <c:v>EST</c:v>
                </c:pt>
                <c:pt idx="14">
                  <c:v>FIN</c:v>
                </c:pt>
                <c:pt idx="15">
                  <c:v>FRA</c:v>
                </c:pt>
                <c:pt idx="16">
                  <c:v>GBR</c:v>
                </c:pt>
                <c:pt idx="17">
                  <c:v>GRC</c:v>
                </c:pt>
                <c:pt idx="18">
                  <c:v>HUN</c:v>
                </c:pt>
                <c:pt idx="19">
                  <c:v>IDN</c:v>
                </c:pt>
                <c:pt idx="20">
                  <c:v>IRL</c:v>
                </c:pt>
                <c:pt idx="21">
                  <c:v>ISL</c:v>
                </c:pt>
                <c:pt idx="22">
                  <c:v>ISR</c:v>
                </c:pt>
                <c:pt idx="23">
                  <c:v>ITA</c:v>
                </c:pt>
                <c:pt idx="24">
                  <c:v>JPN</c:v>
                </c:pt>
                <c:pt idx="25">
                  <c:v>KOR</c:v>
                </c:pt>
                <c:pt idx="26">
                  <c:v>LTU</c:v>
                </c:pt>
                <c:pt idx="27">
                  <c:v>LUX</c:v>
                </c:pt>
                <c:pt idx="28">
                  <c:v>LVA</c:v>
                </c:pt>
                <c:pt idx="29">
                  <c:v>MEX</c:v>
                </c:pt>
                <c:pt idx="30">
                  <c:v>NLD</c:v>
                </c:pt>
                <c:pt idx="31">
                  <c:v>NOR</c:v>
                </c:pt>
                <c:pt idx="32">
                  <c:v>NZL</c:v>
                </c:pt>
                <c:pt idx="33">
                  <c:v>OECD</c:v>
                </c:pt>
                <c:pt idx="34">
                  <c:v>OECD-EU</c:v>
                </c:pt>
                <c:pt idx="35">
                  <c:v>POL</c:v>
                </c:pt>
                <c:pt idx="36">
                  <c:v>PRT</c:v>
                </c:pt>
                <c:pt idx="37">
                  <c:v>ROU</c:v>
                </c:pt>
                <c:pt idx="38">
                  <c:v>RUS</c:v>
                </c:pt>
                <c:pt idx="39">
                  <c:v>SVK</c:v>
                </c:pt>
                <c:pt idx="40">
                  <c:v>SVN</c:v>
                </c:pt>
                <c:pt idx="41">
                  <c:v>SWE</c:v>
                </c:pt>
                <c:pt idx="42">
                  <c:v>TUR</c:v>
                </c:pt>
                <c:pt idx="43">
                  <c:v>USA</c:v>
                </c:pt>
                <c:pt idx="44">
                  <c:v>ZAF</c:v>
                </c:pt>
              </c:strCache>
            </c:strRef>
          </c:cat>
          <c:val>
            <c:numRef>
              <c:f>'2.32 graph'!$D$39:$D$83</c:f>
              <c:numCache>
                <c:formatCode>0.0</c:formatCode>
                <c:ptCount val="45"/>
                <c:pt idx="1">
                  <c:v>3.4361681208652999</c:v>
                </c:pt>
                <c:pt idx="2">
                  <c:v>2.8243153638280001</c:v>
                </c:pt>
                <c:pt idx="4">
                  <c:v>4.3043727011185</c:v>
                </c:pt>
                <c:pt idx="9">
                  <c:v>4.9703833822123</c:v>
                </c:pt>
                <c:pt idx="10">
                  <c:v>2.7408972369854001</c:v>
                </c:pt>
                <c:pt idx="11">
                  <c:v>3.4461464240422002</c:v>
                </c:pt>
                <c:pt idx="12">
                  <c:v>2.5664661967838001</c:v>
                </c:pt>
                <c:pt idx="13">
                  <c:v>5.7194524991703002</c:v>
                </c:pt>
                <c:pt idx="14">
                  <c:v>4.4435647900550004</c:v>
                </c:pt>
                <c:pt idx="15">
                  <c:v>3.9803909437121998</c:v>
                </c:pt>
                <c:pt idx="16">
                  <c:v>3.0176356868879002</c:v>
                </c:pt>
                <c:pt idx="17">
                  <c:v>3.1303187075709</c:v>
                </c:pt>
                <c:pt idx="18">
                  <c:v>7.3086758994137</c:v>
                </c:pt>
                <c:pt idx="20">
                  <c:v>2.68885607573</c:v>
                </c:pt>
                <c:pt idx="21">
                  <c:v>3.5503135412265001</c:v>
                </c:pt>
                <c:pt idx="23">
                  <c:v>2.7783447381678998</c:v>
                </c:pt>
                <c:pt idx="26">
                  <c:v>4.1913405481563997</c:v>
                </c:pt>
                <c:pt idx="27">
                  <c:v>5.207089743189</c:v>
                </c:pt>
                <c:pt idx="28">
                  <c:v>5.4972720396438</c:v>
                </c:pt>
                <c:pt idx="30">
                  <c:v>3.2183343892502001</c:v>
                </c:pt>
                <c:pt idx="31">
                  <c:v>6.2123160837125999</c:v>
                </c:pt>
                <c:pt idx="34">
                  <c:v>3.3854545776162017</c:v>
                </c:pt>
                <c:pt idx="35">
                  <c:v>4.5563204520845</c:v>
                </c:pt>
                <c:pt idx="36">
                  <c:v>2.2330690940679001</c:v>
                </c:pt>
                <c:pt idx="37">
                  <c:v>4.6605718632097002</c:v>
                </c:pt>
                <c:pt idx="39">
                  <c:v>3.6545151126773998</c:v>
                </c:pt>
                <c:pt idx="40">
                  <c:v>4.4152136826091999</c:v>
                </c:pt>
                <c:pt idx="41">
                  <c:v>5.0098019752590996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97-4538-8742-8B5EC5A60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168256"/>
        <c:axId val="227170560"/>
      </c:lineChart>
      <c:catAx>
        <c:axId val="227168256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27170560"/>
        <c:crosses val="autoZero"/>
        <c:auto val="1"/>
        <c:lblAlgn val="ctr"/>
        <c:lblOffset val="0"/>
        <c:tickLblSkip val="1"/>
        <c:noMultiLvlLbl val="0"/>
      </c:catAx>
      <c:valAx>
        <c:axId val="227170560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Arial Narrow" panose="020B0606020202030204" pitchFamily="34" charset="0"/>
                    <a:ea typeface="Calibri"/>
                    <a:cs typeface="Calibri"/>
                  </a:defRPr>
                </a:pPr>
                <a:r>
                  <a:rPr lang="en-GB" sz="800" b="0" i="0">
                    <a:solidFill>
                      <a:srgbClr val="000000"/>
                    </a:solidFill>
                    <a:latin typeface="Arial Narrow" panose="020B0606020202030204" pitchFamily="34" charset="0"/>
                  </a:rPr>
                  <a:t>% </a:t>
                </a:r>
              </a:p>
            </c:rich>
          </c:tx>
          <c:layout>
            <c:manualLayout>
              <c:xMode val="edge"/>
              <c:yMode val="edge"/>
              <c:x val="8.8763972186252423E-3"/>
              <c:y val="7.6404480218917312E-2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27168256"/>
        <c:crosses val="autoZero"/>
        <c:crossBetween val="between"/>
      </c:valAx>
      <c:spPr>
        <a:solidFill>
          <a:srgbClr val="EAEAEA"/>
        </a:solidFill>
        <a:ln w="0">
          <a:noFill/>
        </a:ln>
        <a:effectLst/>
        <a:extLst>
          <a:ext uri="{91240B29-F687-4F45-9708-019B960494DF}">
            <a14:hiddenLine xmlns:a14="http://schemas.microsoft.com/office/drawing/2010/main" w="0">
              <a:solidFill>
                <a:sysClr val="windowText" lastClr="000000">
                  <a:alpha val="26000"/>
                </a:sysClr>
              </a:solidFill>
            </a14:hiddenLine>
          </a:ext>
        </a:extLst>
      </c:spPr>
    </c:plotArea>
    <c:legend>
      <c:legendPos val="b"/>
      <c:layout>
        <c:manualLayout>
          <c:xMode val="edge"/>
          <c:yMode val="edge"/>
          <c:x val="3.5203803220638638E-2"/>
          <c:y val="1.4553234327412823E-2"/>
          <c:w val="0.94409768580042674"/>
          <c:h val="5.4574628727798079E-2"/>
        </c:manualLayout>
      </c:layout>
      <c:overlay val="1"/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>
      <a:noFill/>
    </a:ln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66677</xdr:rowOff>
    </xdr:from>
    <xdr:to>
      <xdr:col>8</xdr:col>
      <xdr:colOff>355600</xdr:colOff>
      <xdr:row>28</xdr:row>
      <xdr:rowOff>44451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0.239</cdr:x>
      <cdr:y>0.03203</cdr:y>
    </cdr:from>
    <cdr:to>
      <cdr:x>0.25225</cdr:x>
      <cdr:y>0.05414</cdr:y>
    </cdr:to>
    <cdr:sp macro="" textlink="">
      <cdr:nvSpPr>
        <cdr:cNvPr id="4" name="xlamShapesMarker"/>
        <cdr:cNvSpPr/>
      </cdr:nvSpPr>
      <cdr:spPr>
        <a:xfrm xmlns:a="http://schemas.openxmlformats.org/drawingml/2006/main">
          <a:off x="1391432" y="111807"/>
          <a:ext cx="77178" cy="77178"/>
        </a:xfrm>
        <a:prstGeom xmlns:a="http://schemas.openxmlformats.org/drawingml/2006/main" prst="rect">
          <a:avLst/>
        </a:prstGeom>
        <a:solidFill xmlns:a="http://schemas.openxmlformats.org/drawingml/2006/main">
          <a:srgbClr val="EAEAEA"/>
        </a:solidFill>
        <a:ln xmlns:a="http://schemas.openxmlformats.org/drawingml/2006/main" w="635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6350" cap="flat" cmpd="sng" algn="ctr">
              <a:solidFill>
                <a:srgbClr val="EAEAEA"/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0.21709</cdr:x>
      <cdr:y>0.03007</cdr:y>
    </cdr:from>
    <cdr:to>
      <cdr:x>0.24182</cdr:x>
      <cdr:y>0.0507</cdr:y>
    </cdr:to>
    <cdr:sp macro="" textlink="">
      <cdr:nvSpPr>
        <cdr:cNvPr id="5" name="xlamShapesMarker"/>
        <cdr:cNvSpPr/>
      </cdr:nvSpPr>
      <cdr:spPr>
        <a:xfrm xmlns:a="http://schemas.openxmlformats.org/drawingml/2006/main">
          <a:off x="1263890" y="104968"/>
          <a:ext cx="144000" cy="72000"/>
        </a:xfrm>
        <a:prstGeom xmlns:a="http://schemas.openxmlformats.org/drawingml/2006/main" prst="rect">
          <a:avLst/>
        </a:prstGeom>
        <a:solidFill xmlns:a="http://schemas.openxmlformats.org/drawingml/2006/main">
          <a:srgbClr val="006BB6"/>
        </a:solidFill>
        <a:ln xmlns:a="http://schemas.openxmlformats.org/drawingml/2006/main" w="3175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3175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CH-1.main.oecd.org\Users3\Data\GaaG%202_Data\Data_English\Charts%20for%20ministerial\production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ECD.table 12"/>
      <sheetName val="OECD.GDP"/>
      <sheetName val="calculat 8.1 new (2008 for out)"/>
      <sheetName val="calculat 8.1 new"/>
      <sheetName val="calculat 8.1 new (2008)"/>
      <sheetName val="extract"/>
      <sheetName val="pt mex prod costs"/>
      <sheetName val="8.1."/>
      <sheetName val="8.1. new1"/>
      <sheetName val="8.1. new2"/>
      <sheetName val="8.2."/>
      <sheetName val="GDP_CMP over time"/>
      <sheetName val="17.1."/>
      <sheetName val="17.1. new"/>
      <sheetName val="Outsourcing 2000-2008"/>
      <sheetName val="calculat 8.1 new (2009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ustomProperty" Target="../customProperty10.bin"/><Relationship Id="rId18" Type="http://schemas.openxmlformats.org/officeDocument/2006/relationships/customProperty" Target="../customProperty15.bin"/><Relationship Id="rId26" Type="http://schemas.openxmlformats.org/officeDocument/2006/relationships/customProperty" Target="../customProperty23.bin"/><Relationship Id="rId3" Type="http://schemas.openxmlformats.org/officeDocument/2006/relationships/printerSettings" Target="../printerSettings/printerSettings1.bin"/><Relationship Id="rId21" Type="http://schemas.openxmlformats.org/officeDocument/2006/relationships/customProperty" Target="../customProperty18.bin"/><Relationship Id="rId34" Type="http://schemas.openxmlformats.org/officeDocument/2006/relationships/customProperty" Target="../customProperty31.bin"/><Relationship Id="rId7" Type="http://schemas.openxmlformats.org/officeDocument/2006/relationships/customProperty" Target="../customProperty4.bin"/><Relationship Id="rId12" Type="http://schemas.openxmlformats.org/officeDocument/2006/relationships/customProperty" Target="../customProperty9.bin"/><Relationship Id="rId17" Type="http://schemas.openxmlformats.org/officeDocument/2006/relationships/customProperty" Target="../customProperty14.bin"/><Relationship Id="rId25" Type="http://schemas.openxmlformats.org/officeDocument/2006/relationships/customProperty" Target="../customProperty22.bin"/><Relationship Id="rId33" Type="http://schemas.openxmlformats.org/officeDocument/2006/relationships/customProperty" Target="../customProperty30.bin"/><Relationship Id="rId2" Type="http://schemas.openxmlformats.org/officeDocument/2006/relationships/hyperlink" Target="http://oe.cd/disclaimer" TargetMode="External"/><Relationship Id="rId16" Type="http://schemas.openxmlformats.org/officeDocument/2006/relationships/customProperty" Target="../customProperty13.bin"/><Relationship Id="rId20" Type="http://schemas.openxmlformats.org/officeDocument/2006/relationships/customProperty" Target="../customProperty17.bin"/><Relationship Id="rId29" Type="http://schemas.openxmlformats.org/officeDocument/2006/relationships/customProperty" Target="../customProperty26.bin"/><Relationship Id="rId1" Type="http://schemas.openxmlformats.org/officeDocument/2006/relationships/hyperlink" Target="https://doi.org/10.1787/1c258f55-en" TargetMode="External"/><Relationship Id="rId6" Type="http://schemas.openxmlformats.org/officeDocument/2006/relationships/customProperty" Target="../customProperty3.bin"/><Relationship Id="rId11" Type="http://schemas.openxmlformats.org/officeDocument/2006/relationships/customProperty" Target="../customProperty8.bin"/><Relationship Id="rId24" Type="http://schemas.openxmlformats.org/officeDocument/2006/relationships/customProperty" Target="../customProperty21.bin"/><Relationship Id="rId32" Type="http://schemas.openxmlformats.org/officeDocument/2006/relationships/customProperty" Target="../customProperty29.bin"/><Relationship Id="rId5" Type="http://schemas.openxmlformats.org/officeDocument/2006/relationships/customProperty" Target="../customProperty2.bin"/><Relationship Id="rId15" Type="http://schemas.openxmlformats.org/officeDocument/2006/relationships/customProperty" Target="../customProperty12.bin"/><Relationship Id="rId23" Type="http://schemas.openxmlformats.org/officeDocument/2006/relationships/customProperty" Target="../customProperty20.bin"/><Relationship Id="rId28" Type="http://schemas.openxmlformats.org/officeDocument/2006/relationships/customProperty" Target="../customProperty25.bin"/><Relationship Id="rId36" Type="http://schemas.openxmlformats.org/officeDocument/2006/relationships/drawing" Target="../drawings/drawing1.xml"/><Relationship Id="rId10" Type="http://schemas.openxmlformats.org/officeDocument/2006/relationships/customProperty" Target="../customProperty7.bin"/><Relationship Id="rId19" Type="http://schemas.openxmlformats.org/officeDocument/2006/relationships/customProperty" Target="../customProperty16.bin"/><Relationship Id="rId31" Type="http://schemas.openxmlformats.org/officeDocument/2006/relationships/customProperty" Target="../customProperty28.bin"/><Relationship Id="rId4" Type="http://schemas.openxmlformats.org/officeDocument/2006/relationships/customProperty" Target="../customProperty1.bin"/><Relationship Id="rId9" Type="http://schemas.openxmlformats.org/officeDocument/2006/relationships/customProperty" Target="../customProperty6.bin"/><Relationship Id="rId14" Type="http://schemas.openxmlformats.org/officeDocument/2006/relationships/customProperty" Target="../customProperty11.bin"/><Relationship Id="rId22" Type="http://schemas.openxmlformats.org/officeDocument/2006/relationships/customProperty" Target="../customProperty19.bin"/><Relationship Id="rId27" Type="http://schemas.openxmlformats.org/officeDocument/2006/relationships/customProperty" Target="../customProperty24.bin"/><Relationship Id="rId30" Type="http://schemas.openxmlformats.org/officeDocument/2006/relationships/customProperty" Target="../customProperty27.bin"/><Relationship Id="rId35" Type="http://schemas.openxmlformats.org/officeDocument/2006/relationships/customProperty" Target="../customProperty32.bin"/><Relationship Id="rId8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topLeftCell="A32" zoomScaleNormal="100" workbookViewId="0">
      <selection activeCell="O39" sqref="O39"/>
    </sheetView>
  </sheetViews>
  <sheetFormatPr defaultColWidth="9.140625" defaultRowHeight="12.75" x14ac:dyDescent="0.2"/>
  <cols>
    <col min="1" max="1" width="17.7109375" style="3" customWidth="1"/>
    <col min="2" max="4" width="9.140625" style="3"/>
    <col min="5" max="5" width="9.140625" style="3" customWidth="1"/>
    <col min="6" max="7" width="9.140625" style="3"/>
    <col min="8" max="8" width="9.42578125" style="3" bestFit="1" customWidth="1"/>
    <col min="9" max="16384" width="9.140625" style="3"/>
  </cols>
  <sheetData>
    <row r="1" spans="1:13" s="27" customFormat="1" x14ac:dyDescent="0.2">
      <c r="A1" s="28" t="s">
        <v>50</v>
      </c>
    </row>
    <row r="2" spans="1:13" s="27" customFormat="1" x14ac:dyDescent="0.2">
      <c r="A2" s="27" t="s">
        <v>51</v>
      </c>
      <c r="B2" s="27" t="s">
        <v>52</v>
      </c>
    </row>
    <row r="3" spans="1:13" s="27" customFormat="1" x14ac:dyDescent="0.2">
      <c r="A3" s="27" t="s">
        <v>53</v>
      </c>
    </row>
    <row r="4" spans="1:13" s="27" customFormat="1" x14ac:dyDescent="0.2">
      <c r="A4" s="28" t="s">
        <v>54</v>
      </c>
    </row>
    <row r="5" spans="1:13" s="27" customFormat="1" x14ac:dyDescent="0.2"/>
    <row r="6" spans="1:13" x14ac:dyDescent="0.2">
      <c r="A6" s="1"/>
      <c r="B6" s="1"/>
      <c r="C6" s="1"/>
      <c r="D6" s="2"/>
      <c r="E6" s="1"/>
      <c r="F6" s="1"/>
      <c r="G6" s="1"/>
      <c r="H6" s="1"/>
    </row>
    <row r="7" spans="1:13" ht="13.5" x14ac:dyDescent="0.25">
      <c r="A7" s="4" t="s">
        <v>48</v>
      </c>
      <c r="B7" s="5"/>
      <c r="C7" s="5"/>
      <c r="D7" s="5"/>
      <c r="E7" s="5"/>
      <c r="F7" s="5"/>
      <c r="G7" s="5"/>
      <c r="H7" s="6"/>
      <c r="I7" s="6"/>
      <c r="J7" s="6"/>
      <c r="K7" s="6"/>
      <c r="L7" s="6"/>
      <c r="M7" s="6"/>
    </row>
    <row r="8" spans="1:13" ht="13.5" x14ac:dyDescent="0.25">
      <c r="A8" s="7"/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</row>
    <row r="9" spans="1:13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8" ht="13.5" x14ac:dyDescent="0.25">
      <c r="A33" s="8" t="s">
        <v>47</v>
      </c>
      <c r="B33" s="9"/>
      <c r="C33" s="9"/>
      <c r="D33" s="9"/>
      <c r="E33" s="9"/>
      <c r="F33" s="9"/>
      <c r="G33" s="9"/>
      <c r="H33" s="5"/>
      <c r="I33" s="6"/>
      <c r="J33" s="6"/>
      <c r="K33" s="6"/>
      <c r="L33" s="6"/>
      <c r="M33" s="6"/>
    </row>
    <row r="34" spans="1:18" ht="13.5" x14ac:dyDescent="0.25">
      <c r="A34" s="8" t="s">
        <v>49</v>
      </c>
      <c r="B34" s="9"/>
      <c r="C34" s="9"/>
      <c r="D34" s="9"/>
      <c r="E34" s="9"/>
      <c r="F34" s="9"/>
      <c r="G34" s="9"/>
      <c r="H34" s="5"/>
      <c r="I34" s="6"/>
      <c r="J34" s="6"/>
      <c r="K34" s="6"/>
      <c r="L34" s="6"/>
      <c r="M34" s="6"/>
    </row>
    <row r="35" spans="1:18" ht="13.5" x14ac:dyDescent="0.25">
      <c r="A35" s="8" t="s">
        <v>45</v>
      </c>
      <c r="B35" s="9"/>
      <c r="C35" s="9"/>
      <c r="D35" s="9"/>
      <c r="E35" s="9"/>
      <c r="F35" s="9"/>
      <c r="G35" s="9"/>
      <c r="H35" s="5"/>
      <c r="I35" s="6"/>
      <c r="J35" s="6"/>
      <c r="K35" s="6"/>
      <c r="L35" s="6"/>
      <c r="M35" s="6"/>
    </row>
    <row r="36" spans="1:18" ht="13.5" x14ac:dyDescent="0.25">
      <c r="A36" s="10"/>
      <c r="B36" s="11"/>
      <c r="C36" s="11"/>
      <c r="D36" s="11"/>
      <c r="E36" s="11"/>
      <c r="F36" s="11"/>
      <c r="G36" s="11"/>
      <c r="H36" s="12"/>
      <c r="I36" s="13"/>
      <c r="J36" s="13"/>
      <c r="K36" s="13"/>
      <c r="L36" s="13"/>
    </row>
    <row r="37" spans="1:18" ht="13.5" x14ac:dyDescent="0.25">
      <c r="A37" s="10"/>
      <c r="B37" s="11"/>
      <c r="C37" s="11"/>
      <c r="D37" s="11"/>
      <c r="E37" s="11"/>
      <c r="F37" s="29" t="s">
        <v>55</v>
      </c>
      <c r="G37" s="29"/>
      <c r="H37" s="29"/>
      <c r="I37" s="13"/>
      <c r="J37" s="30" t="s">
        <v>56</v>
      </c>
      <c r="K37" s="30"/>
      <c r="L37" s="30"/>
    </row>
    <row r="38" spans="1:18" ht="13.5" x14ac:dyDescent="0.25">
      <c r="A38" s="12"/>
      <c r="B38" s="25" t="s">
        <v>1</v>
      </c>
      <c r="C38" s="25">
        <v>2019</v>
      </c>
      <c r="D38" s="26">
        <v>2020</v>
      </c>
      <c r="E38" s="14"/>
      <c r="F38" s="25" t="s">
        <v>1</v>
      </c>
      <c r="G38" s="25">
        <v>2019</v>
      </c>
      <c r="H38" s="26">
        <v>2020</v>
      </c>
      <c r="I38" s="13"/>
      <c r="J38" s="25" t="s">
        <v>1</v>
      </c>
      <c r="K38" s="25">
        <v>2019</v>
      </c>
      <c r="L38" s="26">
        <v>2020</v>
      </c>
      <c r="M38" s="15"/>
      <c r="N38" s="15"/>
      <c r="O38" s="15" t="s">
        <v>57</v>
      </c>
      <c r="R38" s="16"/>
    </row>
    <row r="39" spans="1:18" ht="13.5" x14ac:dyDescent="0.25">
      <c r="A39" s="12" t="s">
        <v>2</v>
      </c>
      <c r="B39" s="17">
        <v>3.2298972320870001</v>
      </c>
      <c r="C39" s="17">
        <v>4.2090964311148999</v>
      </c>
      <c r="D39" s="17"/>
      <c r="E39" s="17"/>
      <c r="F39">
        <v>27.536147940162714</v>
      </c>
      <c r="G39">
        <v>23.287199649784096</v>
      </c>
      <c r="H39">
        <v>22.268947016103059</v>
      </c>
      <c r="I39" s="18"/>
      <c r="J39" s="18">
        <f>B39/F39</f>
        <v>0.11729662547955916</v>
      </c>
      <c r="K39" s="18">
        <f t="shared" ref="K39:L39" si="0">C39/G39</f>
        <v>0.18074721282144046</v>
      </c>
      <c r="L39" s="18"/>
      <c r="M39" s="19"/>
      <c r="O39" s="31">
        <f>AVERAGE(J39:L82)</f>
        <v>0.15995170860378219</v>
      </c>
      <c r="P39" s="19"/>
      <c r="Q39" s="19"/>
      <c r="R39" s="19"/>
    </row>
    <row r="40" spans="1:18" ht="13.5" x14ac:dyDescent="0.25">
      <c r="A40" s="12" t="s">
        <v>3</v>
      </c>
      <c r="B40" s="17">
        <v>3.1397294656343</v>
      </c>
      <c r="C40" s="17">
        <v>3.1571656064733</v>
      </c>
      <c r="D40" s="17">
        <v>3.4361681208652999</v>
      </c>
      <c r="E40" s="17"/>
      <c r="F40">
        <v>24.584304902242945</v>
      </c>
      <c r="G40">
        <v>25.403703183252784</v>
      </c>
      <c r="H40">
        <v>25.901203457044353</v>
      </c>
      <c r="I40" s="18"/>
      <c r="J40" s="18">
        <f t="shared" ref="J40:J82" si="1">B40/F40</f>
        <v>0.12771276137841292</v>
      </c>
      <c r="K40" s="18">
        <f t="shared" ref="K40:K82" si="2">C40/G40</f>
        <v>0.12427973920568555</v>
      </c>
      <c r="L40" s="18">
        <f t="shared" ref="L40:L82" si="3">D40/H40</f>
        <v>0.1326644194955646</v>
      </c>
      <c r="M40" s="19"/>
      <c r="O40" s="19"/>
      <c r="P40" s="19"/>
      <c r="Q40" s="19"/>
      <c r="R40" s="19"/>
    </row>
    <row r="41" spans="1:18" ht="13.5" x14ac:dyDescent="0.25">
      <c r="A41" s="12" t="s">
        <v>4</v>
      </c>
      <c r="B41" s="17">
        <v>2.0007630546514998</v>
      </c>
      <c r="C41" s="17">
        <v>2.6904475462475999</v>
      </c>
      <c r="D41" s="17">
        <v>2.8243153638280001</v>
      </c>
      <c r="E41" s="17"/>
      <c r="F41">
        <v>24.60327415051966</v>
      </c>
      <c r="G41">
        <v>24.912653487618844</v>
      </c>
      <c r="H41">
        <v>24.197411389404934</v>
      </c>
      <c r="I41" s="18"/>
      <c r="J41" s="18">
        <f t="shared" si="1"/>
        <v>8.1321008025642821E-2</v>
      </c>
      <c r="K41" s="18">
        <f t="shared" si="2"/>
        <v>0.10799522209003973</v>
      </c>
      <c r="L41" s="18">
        <f t="shared" si="3"/>
        <v>0.11671973164305721</v>
      </c>
      <c r="M41" s="19"/>
      <c r="O41" s="19"/>
      <c r="P41" s="19"/>
      <c r="Q41" s="19"/>
      <c r="R41" s="19"/>
    </row>
    <row r="42" spans="1:18" ht="13.5" x14ac:dyDescent="0.25">
      <c r="A42" s="22" t="s">
        <v>42</v>
      </c>
      <c r="B42" s="17">
        <v>2.4708640613093</v>
      </c>
      <c r="C42" s="17">
        <v>1.6655004518042</v>
      </c>
      <c r="D42" s="17"/>
      <c r="E42" s="17"/>
      <c r="F42">
        <v>19.819325991107661</v>
      </c>
      <c r="G42">
        <v>15.516790826295679</v>
      </c>
      <c r="H42">
        <v>15.930622054689261</v>
      </c>
      <c r="I42" s="18"/>
      <c r="J42" s="18">
        <f t="shared" si="1"/>
        <v>0.12466942934476696</v>
      </c>
      <c r="K42" s="18">
        <f t="shared" si="2"/>
        <v>0.10733536788945712</v>
      </c>
      <c r="L42" s="18"/>
      <c r="M42" s="19"/>
      <c r="O42" s="19"/>
      <c r="P42" s="19"/>
      <c r="Q42" s="19"/>
      <c r="R42" s="19"/>
    </row>
    <row r="43" spans="1:18" ht="13.5" x14ac:dyDescent="0.25">
      <c r="A43" s="12" t="s">
        <v>5</v>
      </c>
      <c r="B43" s="17">
        <v>3.7456082136784001</v>
      </c>
      <c r="C43" s="17">
        <v>3.7862788612340998</v>
      </c>
      <c r="D43" s="17">
        <v>4.3043727011185</v>
      </c>
      <c r="E43" s="17"/>
      <c r="F43">
        <v>23.907876221746129</v>
      </c>
      <c r="G43">
        <v>22.982580320807305</v>
      </c>
      <c r="H43">
        <v>22.257069627744517</v>
      </c>
      <c r="I43" s="18"/>
      <c r="J43" s="18">
        <f t="shared" si="1"/>
        <v>0.15666837902864283</v>
      </c>
      <c r="K43" s="18">
        <f t="shared" si="2"/>
        <v>0.16474559463656863</v>
      </c>
      <c r="L43" s="18">
        <f t="shared" si="3"/>
        <v>0.19339350476546519</v>
      </c>
      <c r="M43" s="19"/>
      <c r="O43" s="19"/>
      <c r="P43" s="19"/>
      <c r="Q43" s="19"/>
      <c r="R43" s="19"/>
    </row>
    <row r="44" spans="1:18" ht="13.5" x14ac:dyDescent="0.25">
      <c r="A44" s="12" t="s">
        <v>32</v>
      </c>
      <c r="B44" s="17">
        <v>2.6493231280542999</v>
      </c>
      <c r="C44" s="17">
        <v>3.0786098966965998</v>
      </c>
      <c r="D44" s="17"/>
      <c r="E44" s="17"/>
      <c r="F44" s="13"/>
      <c r="G44" s="18"/>
      <c r="H44" s="18"/>
      <c r="I44" s="18"/>
      <c r="J44" s="18"/>
      <c r="K44" s="18"/>
      <c r="L44" s="18"/>
      <c r="M44" s="19"/>
      <c r="O44" s="19"/>
      <c r="P44" s="19"/>
      <c r="Q44" s="19"/>
      <c r="R44" s="19"/>
    </row>
    <row r="45" spans="1:18" ht="13.5" x14ac:dyDescent="0.25">
      <c r="A45" s="12" t="s">
        <v>6</v>
      </c>
      <c r="B45" s="17"/>
      <c r="C45" s="17">
        <v>2.0381941143944</v>
      </c>
      <c r="D45" s="17"/>
      <c r="E45" s="13"/>
      <c r="F45">
        <v>22.348022673870013</v>
      </c>
      <c r="G45">
        <v>25.054567585349307</v>
      </c>
      <c r="H45">
        <v>21.63438153825064</v>
      </c>
      <c r="I45" s="18"/>
      <c r="J45" s="18"/>
      <c r="K45" s="18">
        <f t="shared" si="2"/>
        <v>8.1350201213859177E-2</v>
      </c>
      <c r="L45" s="18"/>
      <c r="M45" s="19"/>
      <c r="O45" s="19"/>
      <c r="P45" s="19"/>
      <c r="Q45" s="19"/>
      <c r="R45" s="19"/>
    </row>
    <row r="46" spans="1:18" ht="13.5" x14ac:dyDescent="0.25">
      <c r="A46" s="12" t="s">
        <v>36</v>
      </c>
      <c r="B46" s="17">
        <v>2.5726594260056999</v>
      </c>
      <c r="C46" s="17">
        <v>3.4779322583046999</v>
      </c>
      <c r="D46" s="17"/>
      <c r="E46" s="13"/>
      <c r="F46">
        <v>23.454280686851526</v>
      </c>
      <c r="G46">
        <v>21.380609545802724</v>
      </c>
      <c r="H46">
        <v>19.244352014931128</v>
      </c>
      <c r="I46" s="18"/>
      <c r="J46" s="18">
        <f t="shared" si="1"/>
        <v>0.10968826801189999</v>
      </c>
      <c r="K46" s="18">
        <f t="shared" si="2"/>
        <v>0.16266759143859211</v>
      </c>
      <c r="L46" s="18"/>
      <c r="M46" s="19"/>
      <c r="O46" s="19"/>
      <c r="P46" s="19"/>
      <c r="Q46" s="19"/>
      <c r="R46" s="19"/>
    </row>
    <row r="47" spans="1:18" ht="13.5" x14ac:dyDescent="0.25">
      <c r="A47" s="22" t="s">
        <v>41</v>
      </c>
      <c r="B47" s="17">
        <v>1.9394154642946</v>
      </c>
      <c r="C47" s="17">
        <v>2.3977952897408001</v>
      </c>
      <c r="D47" s="17"/>
      <c r="E47" s="17"/>
      <c r="F47" s="13"/>
      <c r="G47" s="18"/>
      <c r="H47" s="18"/>
      <c r="I47" s="18"/>
      <c r="J47" s="18"/>
      <c r="K47" s="18"/>
      <c r="L47" s="18"/>
      <c r="M47" s="19"/>
      <c r="O47" s="19"/>
      <c r="P47" s="19"/>
      <c r="Q47" s="19"/>
      <c r="R47" s="19"/>
    </row>
    <row r="48" spans="1:18" ht="13.5" x14ac:dyDescent="0.25">
      <c r="A48" s="12" t="s">
        <v>7</v>
      </c>
      <c r="B48" s="17">
        <v>4.5087320149872996</v>
      </c>
      <c r="C48" s="17">
        <v>4.5002222200961999</v>
      </c>
      <c r="D48" s="17">
        <v>4.9703833822123</v>
      </c>
      <c r="E48" s="17"/>
      <c r="F48">
        <v>32.39430780874266</v>
      </c>
      <c r="G48">
        <v>27.612520007433062</v>
      </c>
      <c r="H48">
        <v>25.920103428165316</v>
      </c>
      <c r="I48" s="18"/>
      <c r="J48" s="18">
        <f t="shared" si="1"/>
        <v>0.13918284785114227</v>
      </c>
      <c r="K48" s="18">
        <f t="shared" si="2"/>
        <v>0.16297759925152711</v>
      </c>
      <c r="L48" s="18">
        <f t="shared" si="3"/>
        <v>0.19175785297258419</v>
      </c>
      <c r="M48" s="19"/>
      <c r="O48" s="19"/>
      <c r="P48" s="19"/>
      <c r="Q48" s="19"/>
      <c r="R48" s="19"/>
    </row>
    <row r="49" spans="1:18" ht="13.5" x14ac:dyDescent="0.25">
      <c r="A49" s="12" t="s">
        <v>12</v>
      </c>
      <c r="B49" s="17">
        <v>1.8614150547098001</v>
      </c>
      <c r="C49" s="17">
        <v>2.4643597512358002</v>
      </c>
      <c r="D49" s="17">
        <v>2.7408972369854001</v>
      </c>
      <c r="E49" s="17"/>
      <c r="F49" s="13"/>
      <c r="G49" s="18"/>
      <c r="H49" s="18"/>
      <c r="I49" s="18"/>
      <c r="J49" s="18"/>
      <c r="K49" s="18"/>
      <c r="L49" s="18"/>
      <c r="M49" s="19"/>
      <c r="O49" s="19"/>
      <c r="P49" s="19"/>
      <c r="Q49" s="19"/>
      <c r="R49" s="19"/>
    </row>
    <row r="50" spans="1:18" ht="13.5" x14ac:dyDescent="0.25">
      <c r="A50" s="12" t="s">
        <v>8</v>
      </c>
      <c r="B50" s="17">
        <v>2.8398156013990001</v>
      </c>
      <c r="C50" s="17">
        <v>3.0895903386722998</v>
      </c>
      <c r="D50" s="17">
        <v>3.4461464240422002</v>
      </c>
      <c r="E50" s="17"/>
      <c r="F50">
        <v>25.277835584977769</v>
      </c>
      <c r="G50">
        <v>21.96438303842471</v>
      </c>
      <c r="H50">
        <v>22.925984545480549</v>
      </c>
      <c r="I50" s="18"/>
      <c r="J50" s="18">
        <f t="shared" si="1"/>
        <v>0.11234409654466852</v>
      </c>
      <c r="K50" s="18">
        <f t="shared" si="2"/>
        <v>0.14066365229869374</v>
      </c>
      <c r="L50" s="18">
        <f t="shared" si="3"/>
        <v>0.15031618019307907</v>
      </c>
      <c r="M50" s="19"/>
      <c r="O50" s="19"/>
      <c r="P50" s="19"/>
      <c r="Q50" s="19"/>
      <c r="R50" s="19"/>
    </row>
    <row r="51" spans="1:18" ht="13.5" x14ac:dyDescent="0.25">
      <c r="A51" s="12" t="s">
        <v>30</v>
      </c>
      <c r="B51" s="17">
        <v>4.7436680585269002</v>
      </c>
      <c r="C51" s="17">
        <v>2.1281809038120998</v>
      </c>
      <c r="D51" s="17">
        <v>2.5664661967838001</v>
      </c>
      <c r="E51" s="17"/>
      <c r="F51" s="13"/>
      <c r="G51" s="18"/>
      <c r="H51" s="18"/>
      <c r="I51" s="18"/>
      <c r="J51" s="18"/>
      <c r="K51" s="18"/>
      <c r="L51" s="18"/>
      <c r="M51" s="19"/>
      <c r="O51" s="19"/>
      <c r="P51" s="19"/>
      <c r="Q51" s="19"/>
      <c r="R51" s="19"/>
    </row>
    <row r="52" spans="1:18" ht="13.5" x14ac:dyDescent="0.25">
      <c r="A52" s="12" t="s">
        <v>9</v>
      </c>
      <c r="B52" s="17">
        <v>5.9059404736083003</v>
      </c>
      <c r="C52" s="17">
        <v>4.8754308910160997</v>
      </c>
      <c r="D52" s="17">
        <v>5.7194524991703002</v>
      </c>
      <c r="E52" s="17"/>
      <c r="F52">
        <v>40.007916429236793</v>
      </c>
      <c r="G52">
        <v>26.083175965634286</v>
      </c>
      <c r="H52">
        <v>30.24391230981913</v>
      </c>
      <c r="I52" s="18"/>
      <c r="J52" s="18">
        <f t="shared" si="1"/>
        <v>0.14761929639735963</v>
      </c>
      <c r="K52" s="18">
        <f t="shared" si="2"/>
        <v>0.18691860597956672</v>
      </c>
      <c r="L52" s="18">
        <f t="shared" si="3"/>
        <v>0.18911086768735921</v>
      </c>
      <c r="M52" s="19"/>
      <c r="O52" s="19"/>
      <c r="P52" s="19"/>
      <c r="Q52" s="19"/>
      <c r="R52" s="19"/>
    </row>
    <row r="53" spans="1:18" ht="13.5" x14ac:dyDescent="0.25">
      <c r="A53" s="12" t="s">
        <v>10</v>
      </c>
      <c r="B53" s="17">
        <v>3.4109861443721998</v>
      </c>
      <c r="C53" s="17">
        <v>4.3456907280000001</v>
      </c>
      <c r="D53" s="17">
        <v>4.4435647900550004</v>
      </c>
      <c r="E53" s="17"/>
      <c r="F53">
        <v>25.551659254190902</v>
      </c>
      <c r="G53">
        <v>24.082350782982839</v>
      </c>
      <c r="H53">
        <v>24.51185949284649</v>
      </c>
      <c r="I53" s="18"/>
      <c r="J53" s="18">
        <f t="shared" si="1"/>
        <v>0.13349372384937158</v>
      </c>
      <c r="K53" s="18">
        <f t="shared" si="2"/>
        <v>0.18045126770060871</v>
      </c>
      <c r="L53" s="18">
        <f t="shared" si="3"/>
        <v>0.18128223978078059</v>
      </c>
      <c r="M53" s="19"/>
      <c r="O53" s="19"/>
      <c r="P53" s="19"/>
      <c r="Q53" s="19"/>
      <c r="R53" s="19"/>
    </row>
    <row r="54" spans="1:18" ht="13.5" x14ac:dyDescent="0.25">
      <c r="A54" s="12" t="s">
        <v>11</v>
      </c>
      <c r="B54" s="17">
        <v>4.0925433716570003</v>
      </c>
      <c r="C54" s="17">
        <v>3.7916764919768</v>
      </c>
      <c r="D54" s="17">
        <v>3.9803909437121998</v>
      </c>
      <c r="E54" s="17"/>
      <c r="F54">
        <v>24.164812296534389</v>
      </c>
      <c r="G54">
        <v>24.36464031735678</v>
      </c>
      <c r="H54">
        <v>23.811868719765855</v>
      </c>
      <c r="I54" s="18"/>
      <c r="J54" s="18">
        <f t="shared" si="1"/>
        <v>0.16935961767201207</v>
      </c>
      <c r="K54" s="18">
        <f t="shared" si="2"/>
        <v>0.15562210000184987</v>
      </c>
      <c r="L54" s="18">
        <f t="shared" si="3"/>
        <v>0.16715995668194408</v>
      </c>
      <c r="M54" s="19"/>
      <c r="N54" s="1"/>
      <c r="O54" s="19"/>
      <c r="P54" s="19"/>
      <c r="Q54" s="19"/>
      <c r="R54" s="19"/>
    </row>
    <row r="55" spans="1:18" ht="13.5" x14ac:dyDescent="0.25">
      <c r="A55" s="12" t="s">
        <v>34</v>
      </c>
      <c r="B55" s="17">
        <v>2.3307903511125998</v>
      </c>
      <c r="C55" s="17">
        <v>2.7097282110499998</v>
      </c>
      <c r="D55" s="17">
        <v>3.0176356868879002</v>
      </c>
      <c r="E55" s="17"/>
      <c r="F55">
        <v>18.404027130959051</v>
      </c>
      <c r="G55">
        <v>17.864188219394194</v>
      </c>
      <c r="H55">
        <v>16.720013802205283</v>
      </c>
      <c r="I55" s="18"/>
      <c r="J55" s="18">
        <f t="shared" si="1"/>
        <v>0.12664567023984497</v>
      </c>
      <c r="K55" s="18">
        <f t="shared" si="2"/>
        <v>0.15168493400154578</v>
      </c>
      <c r="L55" s="18">
        <f t="shared" si="3"/>
        <v>0.18048045429782419</v>
      </c>
      <c r="M55" s="19"/>
      <c r="O55" s="19"/>
      <c r="P55" s="19"/>
      <c r="Q55" s="19"/>
      <c r="R55" s="19"/>
    </row>
    <row r="56" spans="1:18" ht="13.5" x14ac:dyDescent="0.25">
      <c r="A56" s="12" t="s">
        <v>13</v>
      </c>
      <c r="B56" s="17">
        <v>5.085206255738</v>
      </c>
      <c r="C56" s="17">
        <v>2.5570637257955</v>
      </c>
      <c r="D56" s="17">
        <v>3.1303187075709</v>
      </c>
      <c r="E56" s="17"/>
      <c r="F56">
        <v>27.13109797097864</v>
      </c>
      <c r="G56">
        <v>12.605425621960849</v>
      </c>
      <c r="H56">
        <v>14.998070453672844</v>
      </c>
      <c r="I56" s="18"/>
      <c r="J56" s="18">
        <f t="shared" si="1"/>
        <v>0.18743090534623774</v>
      </c>
      <c r="K56" s="18">
        <f t="shared" si="2"/>
        <v>0.20285421551658273</v>
      </c>
      <c r="L56" s="18">
        <f t="shared" si="3"/>
        <v>0.20871476215824306</v>
      </c>
      <c r="M56" s="19"/>
      <c r="O56" s="19"/>
      <c r="P56" s="19"/>
      <c r="Q56" s="19"/>
      <c r="R56" s="19"/>
    </row>
    <row r="57" spans="1:18" ht="13.5" x14ac:dyDescent="0.25">
      <c r="A57" s="12" t="s">
        <v>14</v>
      </c>
      <c r="B57" s="17">
        <v>4.3074047923284002</v>
      </c>
      <c r="C57" s="17">
        <v>6.2753456776581</v>
      </c>
      <c r="D57" s="17">
        <v>7.3086758994137</v>
      </c>
      <c r="E57" s="17"/>
      <c r="F57">
        <v>24.814972373334708</v>
      </c>
      <c r="G57">
        <v>28.472144582196613</v>
      </c>
      <c r="H57">
        <v>27.315589204596876</v>
      </c>
      <c r="I57" s="18"/>
      <c r="J57" s="18">
        <f t="shared" si="1"/>
        <v>0.17358088203865926</v>
      </c>
      <c r="K57" s="18">
        <f t="shared" si="2"/>
        <v>0.22040298578639628</v>
      </c>
      <c r="L57" s="18">
        <f t="shared" si="3"/>
        <v>0.26756427784408693</v>
      </c>
      <c r="M57" s="19"/>
      <c r="O57" s="19"/>
      <c r="P57" s="19"/>
      <c r="Q57" s="19"/>
      <c r="R57" s="19"/>
    </row>
    <row r="58" spans="1:18" ht="13.5" x14ac:dyDescent="0.25">
      <c r="A58" s="22" t="s">
        <v>43</v>
      </c>
      <c r="B58" s="17"/>
      <c r="C58" s="17">
        <v>3.3996921933299</v>
      </c>
      <c r="D58" s="17"/>
      <c r="E58" s="17"/>
      <c r="F58" s="13"/>
      <c r="G58" s="18"/>
      <c r="H58" s="18"/>
      <c r="I58" s="18"/>
      <c r="J58" s="18"/>
      <c r="K58" s="18"/>
      <c r="L58" s="18"/>
      <c r="M58" s="19"/>
      <c r="O58" s="19"/>
      <c r="P58" s="19"/>
      <c r="Q58" s="19"/>
      <c r="R58" s="19"/>
    </row>
    <row r="59" spans="1:18" ht="13.5" x14ac:dyDescent="0.25">
      <c r="A59" s="12" t="s">
        <v>16</v>
      </c>
      <c r="B59" s="17">
        <v>4.6706379199720001</v>
      </c>
      <c r="C59" s="17">
        <v>2.3439743159839002</v>
      </c>
      <c r="D59" s="17">
        <v>2.68885607573</v>
      </c>
      <c r="E59" s="17"/>
      <c r="F59">
        <v>29.248105575966754</v>
      </c>
      <c r="G59">
        <v>54.697501765809605</v>
      </c>
      <c r="H59">
        <v>40.88199850381033</v>
      </c>
      <c r="I59" s="18"/>
      <c r="J59" s="18">
        <f t="shared" si="1"/>
        <v>0.15969027148923709</v>
      </c>
      <c r="K59" s="18">
        <f t="shared" si="2"/>
        <v>4.2853407199834402E-2</v>
      </c>
      <c r="L59" s="18">
        <f t="shared" si="3"/>
        <v>6.5771150485204141E-2</v>
      </c>
      <c r="M59" s="19"/>
      <c r="O59" s="19"/>
      <c r="P59" s="19"/>
      <c r="Q59" s="19"/>
      <c r="R59" s="19"/>
    </row>
    <row r="60" spans="1:18" ht="13.5" x14ac:dyDescent="0.25">
      <c r="A60" s="12" t="s">
        <v>15</v>
      </c>
      <c r="B60" s="17">
        <v>4.7236166511941002</v>
      </c>
      <c r="C60" s="17">
        <v>3.6282999002151999</v>
      </c>
      <c r="D60" s="17">
        <v>3.5503135412265001</v>
      </c>
      <c r="E60" s="17"/>
      <c r="F60">
        <v>29.574866829889995</v>
      </c>
      <c r="G60">
        <v>21.063173939979944</v>
      </c>
      <c r="H60">
        <v>21.26411479354125</v>
      </c>
      <c r="I60" s="18"/>
      <c r="J60" s="18">
        <f t="shared" si="1"/>
        <v>0.15971725852101393</v>
      </c>
      <c r="K60" s="18">
        <f t="shared" si="2"/>
        <v>0.1722579849814721</v>
      </c>
      <c r="L60" s="18">
        <f t="shared" si="3"/>
        <v>0.16696267752960356</v>
      </c>
      <c r="M60" s="19"/>
      <c r="O60" s="19"/>
      <c r="P60" s="19"/>
      <c r="Q60" s="19"/>
      <c r="R60" s="19"/>
    </row>
    <row r="61" spans="1:18" ht="13.5" x14ac:dyDescent="0.25">
      <c r="A61" s="22" t="s">
        <v>17</v>
      </c>
      <c r="B61" s="17">
        <v>1.6463597595206001</v>
      </c>
      <c r="C61" s="17">
        <v>1.9388332838969</v>
      </c>
      <c r="D61" s="17"/>
      <c r="E61" s="17"/>
      <c r="F61">
        <v>21.506729696563045</v>
      </c>
      <c r="G61">
        <v>21.313432956995946</v>
      </c>
      <c r="H61">
        <v>22.117121682737988</v>
      </c>
      <c r="I61" s="18"/>
      <c r="J61" s="18">
        <f t="shared" si="1"/>
        <v>7.6550911400709243E-2</v>
      </c>
      <c r="K61" s="18">
        <f t="shared" si="2"/>
        <v>9.0967667564811283E-2</v>
      </c>
      <c r="L61" s="18"/>
      <c r="M61" s="19"/>
      <c r="N61" s="1"/>
      <c r="O61" s="19"/>
      <c r="P61" s="19"/>
      <c r="Q61" s="19"/>
      <c r="R61" s="19"/>
    </row>
    <row r="62" spans="1:18" ht="13.5" x14ac:dyDescent="0.25">
      <c r="A62" s="12" t="s">
        <v>18</v>
      </c>
      <c r="B62" s="17">
        <v>3.1507150121021001</v>
      </c>
      <c r="C62" s="17">
        <v>2.3492112947296002</v>
      </c>
      <c r="D62" s="17">
        <v>2.7783447381678998</v>
      </c>
      <c r="E62" s="17"/>
      <c r="F62">
        <v>22.246045706824912</v>
      </c>
      <c r="G62">
        <v>18.239932923448286</v>
      </c>
      <c r="H62">
        <v>17.703515840780049</v>
      </c>
      <c r="I62" s="18"/>
      <c r="J62" s="18">
        <f t="shared" si="1"/>
        <v>0.14163033977474412</v>
      </c>
      <c r="K62" s="18">
        <f t="shared" si="2"/>
        <v>0.12879495251375508</v>
      </c>
      <c r="L62" s="18">
        <f t="shared" si="3"/>
        <v>0.15693745599210202</v>
      </c>
      <c r="M62" s="19"/>
      <c r="O62" s="19"/>
      <c r="P62" s="19"/>
      <c r="Q62" s="19"/>
      <c r="R62" s="19"/>
    </row>
    <row r="63" spans="1:18" ht="13.5" x14ac:dyDescent="0.25">
      <c r="A63" s="12" t="s">
        <v>19</v>
      </c>
      <c r="B63" s="17">
        <v>3.9295022910044</v>
      </c>
      <c r="C63" s="17">
        <v>3.9497702081149999</v>
      </c>
      <c r="D63" s="17"/>
      <c r="E63" s="17"/>
      <c r="F63">
        <v>25.768740159363833</v>
      </c>
      <c r="G63">
        <v>25.816610897360604</v>
      </c>
      <c r="H63">
        <v>25.414908035857302</v>
      </c>
      <c r="I63" s="13"/>
      <c r="J63" s="18">
        <f t="shared" si="1"/>
        <v>0.15249105182103748</v>
      </c>
      <c r="K63" s="18">
        <f t="shared" si="2"/>
        <v>0.15299336631822613</v>
      </c>
      <c r="L63" s="18"/>
      <c r="M63" s="19"/>
      <c r="O63" s="19"/>
      <c r="P63" s="19"/>
      <c r="Q63" s="19"/>
      <c r="R63" s="19"/>
    </row>
    <row r="64" spans="1:18" ht="13.5" x14ac:dyDescent="0.25">
      <c r="A64" s="12" t="s">
        <v>20</v>
      </c>
      <c r="B64" s="17">
        <v>5.7925489065307003</v>
      </c>
      <c r="C64" s="17">
        <v>5.3973395758993998</v>
      </c>
      <c r="D64" s="17"/>
      <c r="E64" s="17"/>
      <c r="F64">
        <v>33.09748305022061</v>
      </c>
      <c r="G64">
        <v>31.494933666081558</v>
      </c>
      <c r="H64">
        <v>31.861011061517964</v>
      </c>
      <c r="I64" s="18"/>
      <c r="J64" s="18">
        <f t="shared" si="1"/>
        <v>0.1750147857993114</v>
      </c>
      <c r="K64" s="18">
        <f t="shared" si="2"/>
        <v>0.17137167625509434</v>
      </c>
      <c r="L64" s="18"/>
      <c r="M64" s="19"/>
      <c r="N64" s="1"/>
      <c r="O64" s="19"/>
      <c r="P64" s="19"/>
      <c r="Q64" s="19"/>
      <c r="R64" s="19"/>
    </row>
    <row r="65" spans="1:18" ht="13.5" x14ac:dyDescent="0.25">
      <c r="A65" s="12" t="s">
        <v>40</v>
      </c>
      <c r="B65" s="17">
        <v>5.4022549000784998</v>
      </c>
      <c r="C65" s="17">
        <v>2.9899767139089999</v>
      </c>
      <c r="D65" s="17">
        <v>4.1913405481563997</v>
      </c>
      <c r="E65" s="17"/>
      <c r="F65">
        <v>32.309907418919558</v>
      </c>
      <c r="G65">
        <v>17.564643540803527</v>
      </c>
      <c r="H65">
        <v>13.470173837058081</v>
      </c>
      <c r="I65" s="13"/>
      <c r="J65" s="18">
        <f t="shared" si="1"/>
        <v>0.1672011878596448</v>
      </c>
      <c r="K65" s="18">
        <f t="shared" si="2"/>
        <v>0.17022700785035219</v>
      </c>
      <c r="L65" s="18">
        <f t="shared" si="3"/>
        <v>0.31115712379490706</v>
      </c>
      <c r="M65" s="19"/>
      <c r="O65" s="19"/>
      <c r="P65" s="19"/>
      <c r="Q65" s="19"/>
      <c r="R65" s="19"/>
    </row>
    <row r="66" spans="1:18" ht="13.5" x14ac:dyDescent="0.25">
      <c r="A66" s="12" t="s">
        <v>21</v>
      </c>
      <c r="B66" s="17">
        <v>3.743994808234</v>
      </c>
      <c r="C66" s="17">
        <v>4.1701287681329999</v>
      </c>
      <c r="D66" s="17">
        <v>5.207089743189</v>
      </c>
      <c r="E66" s="17"/>
      <c r="F66">
        <v>19.513325349146136</v>
      </c>
      <c r="G66">
        <v>18.425053289122769</v>
      </c>
      <c r="H66">
        <v>17.899574091937986</v>
      </c>
      <c r="I66" s="18"/>
      <c r="J66" s="18">
        <f t="shared" si="1"/>
        <v>0.19186862009646294</v>
      </c>
      <c r="K66" s="18">
        <f t="shared" si="2"/>
        <v>0.22632926497937653</v>
      </c>
      <c r="L66" s="18">
        <f t="shared" si="3"/>
        <v>0.29090579007319994</v>
      </c>
      <c r="M66" s="19"/>
      <c r="N66" s="1"/>
      <c r="O66" s="19"/>
      <c r="P66" s="19"/>
      <c r="Q66" s="19"/>
      <c r="R66" s="19"/>
    </row>
    <row r="67" spans="1:18" ht="13.5" x14ac:dyDescent="0.25">
      <c r="A67" s="12" t="s">
        <v>37</v>
      </c>
      <c r="B67" s="17">
        <v>6.5191084924035003</v>
      </c>
      <c r="C67" s="17">
        <v>4.8911378077823002</v>
      </c>
      <c r="D67" s="17">
        <v>5.4972720396438</v>
      </c>
      <c r="E67" s="17"/>
      <c r="F67">
        <v>41.588734168093886</v>
      </c>
      <c r="G67">
        <v>23.255484624348661</v>
      </c>
      <c r="H67">
        <v>21.695382827526231</v>
      </c>
      <c r="I67" s="18"/>
      <c r="J67" s="18">
        <f t="shared" si="1"/>
        <v>0.15675178922384325</v>
      </c>
      <c r="K67" s="18">
        <f t="shared" si="2"/>
        <v>0.21032190413530422</v>
      </c>
      <c r="L67" s="18">
        <f t="shared" si="3"/>
        <v>0.2533844220839967</v>
      </c>
      <c r="M67" s="19"/>
      <c r="O67" s="19"/>
      <c r="P67" s="19"/>
      <c r="Q67" s="19"/>
      <c r="R67" s="19"/>
    </row>
    <row r="68" spans="1:18" ht="13.5" x14ac:dyDescent="0.25">
      <c r="A68" s="22" t="s">
        <v>22</v>
      </c>
      <c r="B68" s="17">
        <v>2.0275157682745002</v>
      </c>
      <c r="C68" s="17">
        <v>1.3032006251757999</v>
      </c>
      <c r="D68" s="17"/>
      <c r="E68" s="17"/>
      <c r="F68">
        <v>23.118809948924124</v>
      </c>
      <c r="G68">
        <v>21.154661728179565</v>
      </c>
      <c r="H68">
        <v>19.161655189459399</v>
      </c>
      <c r="I68" s="18"/>
      <c r="J68" s="18">
        <f t="shared" si="1"/>
        <v>8.7699832852722356E-2</v>
      </c>
      <c r="K68" s="18">
        <f t="shared" si="2"/>
        <v>6.1603472649238385E-2</v>
      </c>
      <c r="L68" s="18"/>
      <c r="M68" s="19"/>
      <c r="O68" s="19"/>
      <c r="P68" s="19"/>
      <c r="Q68" s="19"/>
      <c r="R68" s="19"/>
    </row>
    <row r="69" spans="1:18" ht="13.5" x14ac:dyDescent="0.25">
      <c r="A69" s="12" t="s">
        <v>23</v>
      </c>
      <c r="B69" s="17">
        <v>3.584152978988</v>
      </c>
      <c r="C69" s="17">
        <v>3.1287989958617999</v>
      </c>
      <c r="D69" s="17">
        <v>3.2183343892502001</v>
      </c>
      <c r="E69" s="17"/>
      <c r="F69">
        <v>23.349483986627259</v>
      </c>
      <c r="G69">
        <v>22.096414141724729</v>
      </c>
      <c r="H69">
        <v>21.742168117536043</v>
      </c>
      <c r="I69" s="18"/>
      <c r="J69" s="18">
        <f t="shared" si="1"/>
        <v>0.15350030780297844</v>
      </c>
      <c r="K69" s="18">
        <f t="shared" si="2"/>
        <v>0.14159759026029833</v>
      </c>
      <c r="L69" s="18">
        <f t="shared" si="3"/>
        <v>0.14802269818962846</v>
      </c>
      <c r="M69" s="19"/>
      <c r="O69" s="19"/>
      <c r="P69" s="19"/>
      <c r="Q69" s="19"/>
      <c r="R69" s="19"/>
    </row>
    <row r="70" spans="1:18" ht="13.5" x14ac:dyDescent="0.25">
      <c r="A70" s="12" t="s">
        <v>25</v>
      </c>
      <c r="B70" s="17">
        <v>3.7250874722840002</v>
      </c>
      <c r="C70" s="17">
        <v>6.0027103916281002</v>
      </c>
      <c r="D70" s="17">
        <v>6.2123160837125999</v>
      </c>
      <c r="E70" s="17"/>
      <c r="F70">
        <v>27.381218318821638</v>
      </c>
      <c r="G70">
        <v>29.855416777513245</v>
      </c>
      <c r="H70">
        <v>30.309855239812116</v>
      </c>
      <c r="I70" s="18"/>
      <c r="J70" s="18">
        <f t="shared" si="1"/>
        <v>0.13604535155849526</v>
      </c>
      <c r="K70" s="18">
        <f t="shared" si="2"/>
        <v>0.20105933996370376</v>
      </c>
      <c r="L70" s="18">
        <f t="shared" si="3"/>
        <v>0.20496026901351538</v>
      </c>
      <c r="M70" s="19"/>
      <c r="O70" s="19"/>
      <c r="P70" s="19"/>
      <c r="Q70" s="19"/>
      <c r="R70" s="19"/>
    </row>
    <row r="71" spans="1:18" ht="13.5" x14ac:dyDescent="0.25">
      <c r="A71" s="12" t="s">
        <v>24</v>
      </c>
      <c r="B71" s="17">
        <v>4.1196691540822998</v>
      </c>
      <c r="C71" s="17">
        <v>4.2528795242457997</v>
      </c>
      <c r="D71" s="17"/>
      <c r="E71" s="17"/>
      <c r="F71">
        <v>24.775945101862614</v>
      </c>
      <c r="G71">
        <v>23.687597810888146</v>
      </c>
      <c r="H71">
        <v>22.347759772378538</v>
      </c>
      <c r="I71" s="18"/>
      <c r="J71" s="18">
        <f t="shared" si="1"/>
        <v>0.16627697297297409</v>
      </c>
      <c r="K71" s="18">
        <f t="shared" si="2"/>
        <v>0.17954034673329933</v>
      </c>
      <c r="L71" s="18"/>
      <c r="M71" s="19"/>
      <c r="O71" s="19"/>
      <c r="P71" s="19"/>
      <c r="Q71" s="19"/>
      <c r="R71" s="19"/>
    </row>
    <row r="72" spans="1:18" ht="13.5" x14ac:dyDescent="0.25">
      <c r="A72" s="12" t="s">
        <v>0</v>
      </c>
      <c r="B72" s="17">
        <v>3.6128627967085118</v>
      </c>
      <c r="C72" s="17">
        <v>3.3116669733172821</v>
      </c>
      <c r="D72" s="17"/>
      <c r="E72" s="17"/>
      <c r="F72">
        <v>23.811588123150703</v>
      </c>
      <c r="G72">
        <v>22.646627051453432</v>
      </c>
      <c r="H72">
        <v>22.255615487986606</v>
      </c>
      <c r="I72" s="18"/>
      <c r="J72" s="18">
        <f t="shared" si="1"/>
        <v>0.15172708254582665</v>
      </c>
      <c r="K72" s="18">
        <f t="shared" si="2"/>
        <v>0.1462322387255785</v>
      </c>
      <c r="L72" s="18"/>
      <c r="M72" s="19"/>
      <c r="O72" s="19"/>
      <c r="P72" s="19"/>
      <c r="Q72" s="19"/>
      <c r="R72" s="19"/>
    </row>
    <row r="73" spans="1:18" ht="13.5" x14ac:dyDescent="0.25">
      <c r="A73" s="12" t="s">
        <v>46</v>
      </c>
      <c r="B73" s="17">
        <v>3.4037115540890026</v>
      </c>
      <c r="C73" s="17">
        <v>3.0642419556435248</v>
      </c>
      <c r="D73" s="17">
        <v>3.3854545776162017</v>
      </c>
      <c r="E73" s="17"/>
      <c r="F73" s="13"/>
      <c r="G73" s="18"/>
      <c r="H73" s="18"/>
      <c r="I73" s="18"/>
      <c r="J73" s="18"/>
      <c r="K73" s="18"/>
      <c r="L73" s="18"/>
      <c r="M73" s="19"/>
      <c r="O73" s="19"/>
      <c r="P73" s="19"/>
      <c r="Q73" s="19"/>
      <c r="R73" s="19"/>
    </row>
    <row r="74" spans="1:18" ht="13.5" x14ac:dyDescent="0.25">
      <c r="A74" s="12" t="s">
        <v>26</v>
      </c>
      <c r="B74" s="17">
        <v>4.1440562926734001</v>
      </c>
      <c r="C74" s="17">
        <v>4.329167063711</v>
      </c>
      <c r="D74" s="17">
        <v>4.5563204520845</v>
      </c>
      <c r="E74" s="21"/>
      <c r="F74">
        <v>25.195619734772311</v>
      </c>
      <c r="G74">
        <v>19.725806613381568</v>
      </c>
      <c r="H74">
        <v>17.248445838147109</v>
      </c>
      <c r="I74" s="18"/>
      <c r="J74" s="18">
        <f t="shared" si="1"/>
        <v>0.1644752673796793</v>
      </c>
      <c r="K74" s="18">
        <f t="shared" si="2"/>
        <v>0.21946717559190634</v>
      </c>
      <c r="L74" s="18">
        <f t="shared" si="3"/>
        <v>0.26415831865892658</v>
      </c>
      <c r="M74" s="19"/>
      <c r="O74" s="19"/>
      <c r="P74" s="19"/>
      <c r="Q74" s="19"/>
      <c r="R74" s="19"/>
    </row>
    <row r="75" spans="1:18" ht="13.5" x14ac:dyDescent="0.25">
      <c r="A75" s="23" t="s">
        <v>27</v>
      </c>
      <c r="B75" s="17">
        <v>3.1800671563231999</v>
      </c>
      <c r="C75" s="17">
        <v>1.8172110273702999</v>
      </c>
      <c r="D75" s="17">
        <v>2.2330690940679001</v>
      </c>
      <c r="E75" s="21"/>
      <c r="F75">
        <v>23.099886239382837</v>
      </c>
      <c r="G75">
        <v>18.492561759409764</v>
      </c>
      <c r="H75">
        <v>18.752380176577784</v>
      </c>
      <c r="I75" s="18"/>
      <c r="J75" s="18">
        <f t="shared" si="1"/>
        <v>0.13766592282612741</v>
      </c>
      <c r="K75" s="18">
        <f t="shared" si="2"/>
        <v>9.8267133078283733E-2</v>
      </c>
      <c r="L75" s="18">
        <f t="shared" si="3"/>
        <v>0.11908190176610552</v>
      </c>
      <c r="M75" s="19"/>
      <c r="O75" s="19"/>
      <c r="P75" s="19"/>
      <c r="Q75" s="19"/>
      <c r="R75" s="19"/>
    </row>
    <row r="76" spans="1:18" ht="13.5" x14ac:dyDescent="0.25">
      <c r="A76" s="22" t="s">
        <v>44</v>
      </c>
      <c r="B76" s="17">
        <v>6.2580824452285002</v>
      </c>
      <c r="C76" s="17">
        <v>3.5098034824170998</v>
      </c>
      <c r="D76" s="17">
        <v>4.6605718632097002</v>
      </c>
      <c r="E76" s="21"/>
      <c r="F76" s="13"/>
      <c r="G76" s="18"/>
      <c r="H76" s="18"/>
      <c r="I76" s="18"/>
      <c r="J76" s="18"/>
      <c r="K76" s="18"/>
      <c r="L76" s="18"/>
      <c r="M76" s="19"/>
      <c r="O76" s="19"/>
      <c r="P76" s="19"/>
      <c r="Q76" s="19"/>
      <c r="R76" s="19"/>
    </row>
    <row r="77" spans="1:18" ht="13.5" x14ac:dyDescent="0.25">
      <c r="A77" s="23" t="s">
        <v>38</v>
      </c>
      <c r="B77" s="17"/>
      <c r="C77" s="17">
        <v>3.6549429148983998</v>
      </c>
      <c r="D77" s="17"/>
      <c r="E77" s="21"/>
      <c r="F77">
        <v>24.16451403361085</v>
      </c>
      <c r="G77">
        <v>22.661513772223454</v>
      </c>
      <c r="H77">
        <v>23.484069839063025</v>
      </c>
      <c r="I77" s="13"/>
      <c r="J77" s="18"/>
      <c r="K77" s="18">
        <f t="shared" si="2"/>
        <v>0.16128414684187234</v>
      </c>
      <c r="L77" s="18"/>
      <c r="M77" s="19"/>
      <c r="O77" s="19"/>
      <c r="P77" s="19"/>
      <c r="Q77" s="19"/>
      <c r="R77" s="19"/>
    </row>
    <row r="78" spans="1:18" ht="13.5" x14ac:dyDescent="0.25">
      <c r="A78" s="12" t="s">
        <v>28</v>
      </c>
      <c r="B78" s="17">
        <v>3.1796602561561</v>
      </c>
      <c r="C78" s="17">
        <v>3.6539748920944</v>
      </c>
      <c r="D78" s="17">
        <v>3.6545151126773998</v>
      </c>
      <c r="E78" s="21"/>
      <c r="F78">
        <v>28.205545519496809</v>
      </c>
      <c r="G78">
        <v>23.489750179038833</v>
      </c>
      <c r="H78">
        <v>19.352002127992936</v>
      </c>
      <c r="I78" s="18"/>
      <c r="J78" s="18">
        <f t="shared" si="1"/>
        <v>0.11273174113786208</v>
      </c>
      <c r="K78" s="18">
        <f t="shared" si="2"/>
        <v>0.15555614105062038</v>
      </c>
      <c r="L78" s="18">
        <f t="shared" si="3"/>
        <v>0.18884429055488236</v>
      </c>
      <c r="M78" s="19"/>
      <c r="O78" s="19"/>
      <c r="P78" s="19"/>
      <c r="Q78" s="19"/>
      <c r="R78" s="19"/>
    </row>
    <row r="79" spans="1:18" ht="13.5" x14ac:dyDescent="0.25">
      <c r="A79" s="12" t="s">
        <v>29</v>
      </c>
      <c r="B79" s="17">
        <v>4.6808332774506001</v>
      </c>
      <c r="C79" s="17">
        <v>3.9780089295147998</v>
      </c>
      <c r="D79" s="17">
        <v>4.4152136826091999</v>
      </c>
      <c r="E79" s="21"/>
      <c r="F79">
        <v>33.046589420785907</v>
      </c>
      <c r="G79">
        <v>20.619726074326756</v>
      </c>
      <c r="H79">
        <v>19.997665716939704</v>
      </c>
      <c r="I79" s="18"/>
      <c r="J79" s="18">
        <f t="shared" si="1"/>
        <v>0.14164346032351563</v>
      </c>
      <c r="K79" s="18">
        <f t="shared" si="2"/>
        <v>0.19292249155859281</v>
      </c>
      <c r="L79" s="18">
        <f t="shared" si="3"/>
        <v>0.22078645303432304</v>
      </c>
      <c r="M79" s="19"/>
      <c r="O79" s="19"/>
      <c r="P79" s="19"/>
      <c r="Q79" s="19"/>
      <c r="R79" s="19"/>
    </row>
    <row r="80" spans="1:18" ht="13.5" x14ac:dyDescent="0.25">
      <c r="A80" s="12" t="s">
        <v>31</v>
      </c>
      <c r="B80" s="17">
        <v>3.9033779701579001</v>
      </c>
      <c r="C80" s="17">
        <v>4.8734911383200998</v>
      </c>
      <c r="D80" s="17">
        <v>5.0098019752590996</v>
      </c>
      <c r="E80" s="21"/>
      <c r="F80">
        <v>24.881500886371562</v>
      </c>
      <c r="G80">
        <v>25.123796468604858</v>
      </c>
      <c r="H80">
        <v>24.770876376305726</v>
      </c>
      <c r="J80" s="18">
        <f t="shared" si="1"/>
        <v>0.15687871836927297</v>
      </c>
      <c r="K80" s="18">
        <f t="shared" si="2"/>
        <v>0.19397908848728737</v>
      </c>
      <c r="L80" s="18">
        <f t="shared" si="3"/>
        <v>0.20224564925168184</v>
      </c>
      <c r="O80" s="19"/>
      <c r="P80" s="19"/>
      <c r="Q80" s="19"/>
      <c r="R80" s="19"/>
    </row>
    <row r="81" spans="1:12" ht="13.5" x14ac:dyDescent="0.25">
      <c r="A81" s="12" t="s">
        <v>33</v>
      </c>
      <c r="B81" s="20"/>
      <c r="C81" s="17">
        <v>3.6431257722193999</v>
      </c>
      <c r="D81" s="17"/>
      <c r="E81" s="24"/>
      <c r="F81">
        <v>28.601497875104119</v>
      </c>
      <c r="G81">
        <v>25.049197483439496</v>
      </c>
      <c r="H81">
        <v>31.886232776573216</v>
      </c>
      <c r="J81" s="18"/>
      <c r="K81" s="18">
        <f t="shared" si="2"/>
        <v>0.14543882192744659</v>
      </c>
      <c r="L81" s="18"/>
    </row>
    <row r="82" spans="1:12" ht="13.5" x14ac:dyDescent="0.25">
      <c r="A82" s="12" t="s">
        <v>35</v>
      </c>
      <c r="B82" s="17">
        <v>3.9421246815289002</v>
      </c>
      <c r="C82" s="17">
        <v>3.3742964311578998</v>
      </c>
      <c r="D82" s="17"/>
      <c r="F82">
        <v>22.557577834240814</v>
      </c>
      <c r="G82">
        <v>21.36500888444737</v>
      </c>
      <c r="H82">
        <v>21.151676000832108</v>
      </c>
      <c r="I82" s="13"/>
      <c r="J82" s="18">
        <f t="shared" si="1"/>
        <v>0.17475833223303935</v>
      </c>
      <c r="K82" s="18">
        <f t="shared" si="2"/>
        <v>0.15793564371574936</v>
      </c>
      <c r="L82" s="18"/>
    </row>
    <row r="83" spans="1:12" ht="13.5" x14ac:dyDescent="0.25">
      <c r="A83" s="22" t="s">
        <v>39</v>
      </c>
      <c r="B83" s="17">
        <v>3.2958489728855001</v>
      </c>
      <c r="C83" s="17">
        <v>2.7018861946722001</v>
      </c>
      <c r="D83" s="17"/>
      <c r="G83" s="13"/>
      <c r="H83" s="18"/>
      <c r="I83" s="18"/>
      <c r="J83" s="13"/>
    </row>
  </sheetData>
  <sortState xmlns:xlrd2="http://schemas.microsoft.com/office/spreadsheetml/2017/richdata2" ref="A39:D83">
    <sortCondition ref="A39:A83"/>
  </sortState>
  <mergeCells count="2">
    <mergeCell ref="F37:H37"/>
    <mergeCell ref="J37:L37"/>
  </mergeCells>
  <hyperlinks>
    <hyperlink ref="A1" r:id="rId1" display="https://doi.org/10.1787/1c258f55-en" xr:uid="{00000000-0004-0000-0000-000000000000}"/>
    <hyperlink ref="A4" r:id="rId2" xr:uid="{00000000-0004-0000-0000-000001000000}"/>
  </hyperlinks>
  <pageMargins left="0.75" right="0.75" top="1" bottom="1" header="0.5" footer="0.5"/>
  <pageSetup scale="64" orientation="portrait" r:id="rId3"/>
  <headerFooter alignWithMargins="0">
    <oddHeader>&amp;A&amp;L&amp;"Calibri"&amp;11&amp;K000000PERSONAL/NONWORK // EXTERNAL&amp;1#</oddHeader>
    <oddFooter>Page &amp;P</oddFooter>
  </headerFooter>
  <customProperties>
    <customPr name="ApplyLineColors" r:id="rId4"/>
    <customPr name="ApplyMarkerFillColor" r:id="rId5"/>
    <customPr name="ApplyMarkerOrder" r:id="rId6"/>
    <customPr name="ApplySpaceBars" r:id="rId7"/>
    <customPr name="ConvertLineToDiamond" r:id="rId8"/>
    <customPr name="CycleColor" r:id="rId9"/>
    <customPr name="DashStyle" r:id="rId10"/>
    <customPr name="ExcludeFonts" r:id="rId11"/>
    <customPr name="ExcludeHighValues" r:id="rId12"/>
    <customPr name="ExcludeLegend" r:id="rId13"/>
    <customPr name="FeatureRightAxis" r:id="rId14"/>
    <customPr name="Focus1OnFirstDataPointOnly" r:id="rId15"/>
    <customPr name="FocusText1" r:id="rId16"/>
    <customPr name="FocusText2" r:id="rId17"/>
    <customPr name="ForceOrientationOnXLabels" r:id="rId18"/>
    <customPr name="GraphSizeIndex" r:id="rId19"/>
    <customPr name="GraphSizeName" r:id="rId20"/>
    <customPr name="MarkerFillColor" r:id="rId21"/>
    <customPr name="MarkerTypeOrder" r:id="rId22"/>
    <customPr name="PageSizeIndex" r:id="rId23"/>
    <customPr name="PageSizeName" r:id="rId24"/>
    <customPr name="PaletteIndex" r:id="rId25"/>
    <customPr name="PaletteName" r:id="rId26"/>
    <customPr name="PrintArea" r:id="rId27"/>
    <customPr name="SetLegendSpaceFromGraph" r:id="rId28"/>
    <customPr name="SetTitleSpaceFromGraph" r:id="rId29"/>
    <customPr name="SinglePanel" r:id="rId30"/>
    <customPr name="StartColorIndex" r:id="rId31"/>
    <customPr name="StartColorName" r:id="rId32"/>
    <customPr name="StyleTemplateIndex" r:id="rId33"/>
    <customPr name="StyleTemplateName" r:id="rId34"/>
    <customPr name="XHidePrimaryMajorTickMark" r:id="rId35"/>
  </customProperties>
  <drawing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2.32 graph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Manuel Gonzalez-Astudillo</cp:lastModifiedBy>
  <cp:lastPrinted>2013-02-18T09:21:25Z</cp:lastPrinted>
  <dcterms:created xsi:type="dcterms:W3CDTF">2012-12-06T10:44:08Z</dcterms:created>
  <dcterms:modified xsi:type="dcterms:W3CDTF">2022-09-22T20:20:52Z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2e374fcd-ced7-4b71-b9d9-e34d852a9158</vt:lpwstr>
  </property>
  <property fmtid="{D5CDD505-2E9C-101B-9397-08002B2CF9AE}" pid="3" name="MSIP_Label_020c9e8b-b879-4ade-97ac-60b9c2bff5e3_Enabled">
    <vt:lpwstr>true</vt:lpwstr>
  </property>
  <property fmtid="{D5CDD505-2E9C-101B-9397-08002B2CF9AE}" pid="4" name="MSIP_Label_020c9e8b-b879-4ade-97ac-60b9c2bff5e3_SetDate">
    <vt:lpwstr>2022-09-22T20:20:51Z</vt:lpwstr>
  </property>
  <property fmtid="{D5CDD505-2E9C-101B-9397-08002B2CF9AE}" pid="5" name="MSIP_Label_020c9e8b-b879-4ade-97ac-60b9c2bff5e3_Method">
    <vt:lpwstr>Privileged</vt:lpwstr>
  </property>
  <property fmtid="{D5CDD505-2E9C-101B-9397-08002B2CF9AE}" pid="6" name="MSIP_Label_020c9e8b-b879-4ade-97ac-60b9c2bff5e3_Name">
    <vt:lpwstr>PERSONAL-NONWORK - EXTERNAL</vt:lpwstr>
  </property>
  <property fmtid="{D5CDD505-2E9C-101B-9397-08002B2CF9AE}" pid="7" name="MSIP_Label_020c9e8b-b879-4ade-97ac-60b9c2bff5e3_SiteId">
    <vt:lpwstr>87bb2570-5c1e-4973-9c37-09257a95aeb1</vt:lpwstr>
  </property>
  <property fmtid="{D5CDD505-2E9C-101B-9397-08002B2CF9AE}" pid="8" name="MSIP_Label_020c9e8b-b879-4ade-97ac-60b9c2bff5e3_ActionId">
    <vt:lpwstr>38e7a1a2-ca19-4442-b5cd-6929ee9df9b5</vt:lpwstr>
  </property>
  <property fmtid="{D5CDD505-2E9C-101B-9397-08002B2CF9AE}" pid="9" name="MSIP_Label_020c9e8b-b879-4ade-97ac-60b9c2bff5e3_ContentBits">
    <vt:lpwstr>1</vt:lpwstr>
  </property>
</Properties>
</file>