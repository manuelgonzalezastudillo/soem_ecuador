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anuel_projects\SOEM_EC\data\"/>
    </mc:Choice>
  </mc:AlternateContent>
  <xr:revisionPtr revIDLastSave="0" documentId="13_ncr:1_{D26DDE61-7DDB-4B04-B932-92DE749DF01B}" xr6:coauthVersionLast="47" xr6:coauthVersionMax="47" xr10:uidLastSave="{00000000-0000-0000-0000-000000000000}"/>
  <bookViews>
    <workbookView xWindow="28680" yWindow="-8265" windowWidth="16440" windowHeight="29040" xr2:uid="{05C0F2EC-6BB9-441E-A82E-46D08BF7DB4F}"/>
  </bookViews>
  <sheets>
    <sheet name="data" sheetId="1" r:id="rId1"/>
    <sheet name="impulse-respon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2" l="1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33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5" i="2"/>
</calcChain>
</file>

<file path=xl/sharedStrings.xml><?xml version="1.0" encoding="utf-8"?>
<sst xmlns="http://schemas.openxmlformats.org/spreadsheetml/2006/main" count="26" uniqueCount="16">
  <si>
    <t>Riesgo País Ecuador</t>
  </si>
  <si>
    <t>Tasa pasiva</t>
  </si>
  <si>
    <t>Tasa activa</t>
  </si>
  <si>
    <t>FFR</t>
  </si>
  <si>
    <t xml:space="preserve"> Response of TASA_ACTIVA:</t>
  </si>
  <si>
    <t xml:space="preserve"> Period</t>
  </si>
  <si>
    <t>EMBI/100</t>
  </si>
  <si>
    <t xml:space="preserve">Cholesky One S.D. (d.f. adjusted) </t>
  </si>
  <si>
    <t xml:space="preserve">        Innovations</t>
  </si>
  <si>
    <t>Cholesky ordering:  FFR EMBI/100</t>
  </si>
  <si>
    <t xml:space="preserve">        TASA_PASIVA TASA_ACTIVA</t>
  </si>
  <si>
    <t>Standard errors: Analytic standard deviations</t>
  </si>
  <si>
    <t xml:space="preserve">        in parentheses</t>
  </si>
  <si>
    <t xml:space="preserve"> Response of TASA_PASIVA:</t>
  </si>
  <si>
    <t>100 bp</t>
  </si>
  <si>
    <t>1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</si>
</sst>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Aptos Narrow"/>
      <family val="2"/>
      <scheme val="minor"/>
    </font>
    <font>
      <sz val="12"/>
      <name val="Helv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7" fontId="0" fillId="0" borderId="0" xfId="0" applyNumberFormat="1"/>
    <xf numFmtId="41" fontId="2" fillId="0" borderId="0" xfId="1" applyNumberFormat="1" applyFont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41" fontId="3" fillId="2" borderId="0" xfId="0" applyNumberFormat="1" applyFont="1" applyFill="1" applyAlignment="1">
      <alignment horizontal="center" vertical="center"/>
    </xf>
    <xf numFmtId="2" fontId="0" fillId="0" borderId="0" xfId="0" applyNumberFormat="1"/>
    <xf numFmtId="0" fontId="4" fillId="3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4BDD1502-8BEA-41F8-B7EF-F35B5F30A1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DFA5-0CFD-4EBF-BABE-5B1F1D93BFBE}">
  <dimension ref="A1:E300"/>
  <sheetViews>
    <sheetView tabSelected="1" topLeftCell="A236" workbookViewId="0">
      <selection activeCell="E308" sqref="E308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36526</v>
      </c>
      <c r="B2">
        <v>3672.8</v>
      </c>
      <c r="E2" s="6">
        <v>5.45</v>
      </c>
    </row>
    <row r="3" spans="1:5" x14ac:dyDescent="0.25">
      <c r="A3" s="1">
        <v>36557</v>
      </c>
      <c r="B3">
        <v>4043.05</v>
      </c>
      <c r="E3" s="6">
        <v>5.73</v>
      </c>
    </row>
    <row r="4" spans="1:5" x14ac:dyDescent="0.25">
      <c r="A4" s="1">
        <v>36586</v>
      </c>
      <c r="B4">
        <v>3115.2173913043398</v>
      </c>
      <c r="E4" s="6">
        <v>5.85</v>
      </c>
    </row>
    <row r="5" spans="1:5" x14ac:dyDescent="0.25">
      <c r="A5" s="1">
        <v>36617</v>
      </c>
      <c r="B5">
        <v>3372.0526315789398</v>
      </c>
      <c r="E5" s="6">
        <v>6.02</v>
      </c>
    </row>
    <row r="6" spans="1:5" x14ac:dyDescent="0.25">
      <c r="A6" s="1">
        <v>36647</v>
      </c>
      <c r="B6">
        <v>3971.7272727272698</v>
      </c>
      <c r="E6" s="6">
        <v>6.27</v>
      </c>
    </row>
    <row r="7" spans="1:5" x14ac:dyDescent="0.25">
      <c r="A7" s="1">
        <v>36678</v>
      </c>
      <c r="B7">
        <v>4416.2272727272702</v>
      </c>
      <c r="E7" s="6">
        <v>6.53</v>
      </c>
    </row>
    <row r="8" spans="1:5" x14ac:dyDescent="0.25">
      <c r="A8" s="1">
        <v>36708</v>
      </c>
      <c r="B8">
        <v>3795.75</v>
      </c>
      <c r="E8" s="6">
        <v>6.54</v>
      </c>
    </row>
    <row r="9" spans="1:5" x14ac:dyDescent="0.25">
      <c r="A9" s="1">
        <v>36739</v>
      </c>
      <c r="B9">
        <v>2574.6956521739098</v>
      </c>
      <c r="E9" s="6">
        <v>6.5</v>
      </c>
    </row>
    <row r="10" spans="1:5" x14ac:dyDescent="0.25">
      <c r="A10" s="1">
        <v>36770</v>
      </c>
      <c r="B10">
        <v>1297.05</v>
      </c>
      <c r="E10" s="6">
        <v>6.52</v>
      </c>
    </row>
    <row r="11" spans="1:5" x14ac:dyDescent="0.25">
      <c r="A11" s="1">
        <v>36800</v>
      </c>
      <c r="B11">
        <v>1300.6666666666599</v>
      </c>
      <c r="E11" s="6">
        <v>6.51</v>
      </c>
    </row>
    <row r="12" spans="1:5" x14ac:dyDescent="0.25">
      <c r="A12" s="1">
        <v>36831</v>
      </c>
      <c r="B12">
        <v>1352.5238095238101</v>
      </c>
      <c r="E12" s="6">
        <v>6.51</v>
      </c>
    </row>
    <row r="13" spans="1:5" x14ac:dyDescent="0.25">
      <c r="A13" s="1">
        <v>36861</v>
      </c>
      <c r="B13">
        <v>1451.1</v>
      </c>
      <c r="E13" s="6">
        <v>6.4</v>
      </c>
    </row>
    <row r="14" spans="1:5" x14ac:dyDescent="0.25">
      <c r="A14" s="1">
        <v>36892</v>
      </c>
      <c r="B14">
        <v>1322.1428571428501</v>
      </c>
      <c r="E14" s="6">
        <v>5.98</v>
      </c>
    </row>
    <row r="15" spans="1:5" x14ac:dyDescent="0.25">
      <c r="A15" s="1">
        <v>36923</v>
      </c>
      <c r="B15">
        <v>1246.3684210526301</v>
      </c>
      <c r="E15" s="6">
        <v>5.49</v>
      </c>
    </row>
    <row r="16" spans="1:5" x14ac:dyDescent="0.25">
      <c r="A16" s="1">
        <v>36951</v>
      </c>
      <c r="B16">
        <v>1326.4090909090901</v>
      </c>
      <c r="E16" s="6">
        <v>5.31</v>
      </c>
    </row>
    <row r="17" spans="1:5" x14ac:dyDescent="0.25">
      <c r="A17" s="1">
        <v>36982</v>
      </c>
      <c r="B17">
        <v>1474.7</v>
      </c>
      <c r="E17" s="6">
        <v>4.8</v>
      </c>
    </row>
    <row r="18" spans="1:5" x14ac:dyDescent="0.25">
      <c r="A18" s="1">
        <v>37012</v>
      </c>
      <c r="B18">
        <v>1366.3636363636299</v>
      </c>
      <c r="E18" s="6">
        <v>4.21</v>
      </c>
    </row>
    <row r="19" spans="1:5" x14ac:dyDescent="0.25">
      <c r="A19" s="1">
        <v>37043</v>
      </c>
      <c r="B19">
        <v>1302.57142857142</v>
      </c>
      <c r="E19" s="6">
        <v>3.97</v>
      </c>
    </row>
    <row r="20" spans="1:5" x14ac:dyDescent="0.25">
      <c r="A20" s="1">
        <v>37073</v>
      </c>
      <c r="B20">
        <v>1387.57142857142</v>
      </c>
      <c r="E20" s="6">
        <v>3.77</v>
      </c>
    </row>
    <row r="21" spans="1:5" x14ac:dyDescent="0.25">
      <c r="A21" s="1">
        <v>37104</v>
      </c>
      <c r="B21">
        <v>1470.1739130434701</v>
      </c>
      <c r="E21" s="6">
        <v>3.65</v>
      </c>
    </row>
    <row r="22" spans="1:5" x14ac:dyDescent="0.25">
      <c r="A22" s="1">
        <v>37135</v>
      </c>
      <c r="B22">
        <v>1485.5294117646999</v>
      </c>
      <c r="E22" s="6">
        <v>3.07</v>
      </c>
    </row>
    <row r="23" spans="1:5" x14ac:dyDescent="0.25">
      <c r="A23" s="1">
        <v>37165</v>
      </c>
      <c r="B23">
        <v>1539.27272727272</v>
      </c>
      <c r="E23" s="6">
        <v>2.4900000000000002</v>
      </c>
    </row>
    <row r="24" spans="1:5" x14ac:dyDescent="0.25">
      <c r="A24" s="1">
        <v>37196</v>
      </c>
      <c r="B24">
        <v>1410.15</v>
      </c>
      <c r="E24" s="6">
        <v>2.09</v>
      </c>
    </row>
    <row r="25" spans="1:5" x14ac:dyDescent="0.25">
      <c r="A25" s="1">
        <v>37226</v>
      </c>
      <c r="B25">
        <v>1254.75</v>
      </c>
      <c r="E25" s="6">
        <v>1.82</v>
      </c>
    </row>
    <row r="26" spans="1:5" x14ac:dyDescent="0.25">
      <c r="A26" s="1">
        <v>37257</v>
      </c>
      <c r="B26">
        <v>1144.7619047619</v>
      </c>
      <c r="E26" s="6">
        <v>1.73</v>
      </c>
    </row>
    <row r="27" spans="1:5" x14ac:dyDescent="0.25">
      <c r="A27" s="1">
        <v>37288</v>
      </c>
      <c r="B27">
        <v>1151.78947368421</v>
      </c>
      <c r="E27" s="6">
        <v>1.74</v>
      </c>
    </row>
    <row r="28" spans="1:5" x14ac:dyDescent="0.25">
      <c r="A28" s="1">
        <v>37316</v>
      </c>
      <c r="B28">
        <v>1089.45</v>
      </c>
      <c r="E28" s="6">
        <v>1.73</v>
      </c>
    </row>
    <row r="29" spans="1:5" x14ac:dyDescent="0.25">
      <c r="A29" s="1">
        <v>37347</v>
      </c>
      <c r="B29">
        <v>1001.22727272727</v>
      </c>
      <c r="E29" s="6">
        <v>1.75</v>
      </c>
    </row>
    <row r="30" spans="1:5" x14ac:dyDescent="0.25">
      <c r="A30" s="1">
        <v>37377</v>
      </c>
      <c r="B30">
        <v>1115.4090909090901</v>
      </c>
      <c r="E30" s="6">
        <v>1.75</v>
      </c>
    </row>
    <row r="31" spans="1:5" x14ac:dyDescent="0.25">
      <c r="A31" s="1">
        <v>37408</v>
      </c>
      <c r="B31">
        <v>1312.15</v>
      </c>
      <c r="E31" s="6">
        <v>1.75</v>
      </c>
    </row>
    <row r="32" spans="1:5" x14ac:dyDescent="0.25">
      <c r="A32" s="1">
        <v>37438</v>
      </c>
      <c r="B32">
        <v>1390.1818181818101</v>
      </c>
      <c r="E32" s="6">
        <v>1.73</v>
      </c>
    </row>
    <row r="33" spans="1:5" x14ac:dyDescent="0.25">
      <c r="A33" s="1">
        <v>37469</v>
      </c>
      <c r="B33">
        <v>1744.0909090908999</v>
      </c>
      <c r="E33" s="6">
        <v>1.74</v>
      </c>
    </row>
    <row r="34" spans="1:5" x14ac:dyDescent="0.25">
      <c r="A34" s="1">
        <v>37500</v>
      </c>
      <c r="B34">
        <v>1779.35</v>
      </c>
      <c r="E34" s="6">
        <v>1.75</v>
      </c>
    </row>
    <row r="35" spans="1:5" x14ac:dyDescent="0.25">
      <c r="A35" s="1">
        <v>37530</v>
      </c>
      <c r="B35">
        <v>2001.0909090908999</v>
      </c>
      <c r="E35" s="6">
        <v>1.75</v>
      </c>
    </row>
    <row r="36" spans="1:5" x14ac:dyDescent="0.25">
      <c r="A36" s="1">
        <v>37561</v>
      </c>
      <c r="B36">
        <v>1786.94736842105</v>
      </c>
      <c r="E36" s="6">
        <v>1.34</v>
      </c>
    </row>
    <row r="37" spans="1:5" x14ac:dyDescent="0.25">
      <c r="A37" s="1">
        <v>37591</v>
      </c>
      <c r="B37">
        <v>1795.23809523809</v>
      </c>
      <c r="E37" s="6">
        <v>1.24</v>
      </c>
    </row>
    <row r="38" spans="1:5" x14ac:dyDescent="0.25">
      <c r="A38" s="1">
        <v>37622</v>
      </c>
      <c r="B38">
        <v>1607.80952380952</v>
      </c>
      <c r="E38" s="6">
        <v>1.24</v>
      </c>
    </row>
    <row r="39" spans="1:5" x14ac:dyDescent="0.25">
      <c r="A39" s="1">
        <v>37653</v>
      </c>
      <c r="B39">
        <v>1525.3157894736801</v>
      </c>
      <c r="E39" s="6">
        <v>1.26</v>
      </c>
    </row>
    <row r="40" spans="1:5" x14ac:dyDescent="0.25">
      <c r="A40" s="1">
        <v>37681</v>
      </c>
      <c r="B40">
        <v>1450.19047619047</v>
      </c>
      <c r="E40" s="6">
        <v>1.25</v>
      </c>
    </row>
    <row r="41" spans="1:5" x14ac:dyDescent="0.25">
      <c r="A41" s="1">
        <v>37712</v>
      </c>
      <c r="B41">
        <v>1225.38095238095</v>
      </c>
      <c r="E41" s="6">
        <v>1.26</v>
      </c>
    </row>
    <row r="42" spans="1:5" x14ac:dyDescent="0.25">
      <c r="A42" s="1">
        <v>37742</v>
      </c>
      <c r="B42">
        <v>1108.4761904761899</v>
      </c>
      <c r="E42" s="6">
        <v>1.26</v>
      </c>
    </row>
    <row r="43" spans="1:5" x14ac:dyDescent="0.25">
      <c r="A43" s="1">
        <v>37773</v>
      </c>
      <c r="B43">
        <v>1105.0952380952299</v>
      </c>
      <c r="E43" s="6">
        <v>1.22</v>
      </c>
    </row>
    <row r="44" spans="1:5" x14ac:dyDescent="0.25">
      <c r="A44" s="1">
        <v>37803</v>
      </c>
      <c r="B44">
        <v>1172.27272727272</v>
      </c>
      <c r="E44" s="6">
        <v>1.01</v>
      </c>
    </row>
    <row r="45" spans="1:5" x14ac:dyDescent="0.25">
      <c r="A45" s="1">
        <v>37834</v>
      </c>
      <c r="B45">
        <v>1162.25</v>
      </c>
      <c r="E45" s="6">
        <v>1.03</v>
      </c>
    </row>
    <row r="46" spans="1:5" x14ac:dyDescent="0.25">
      <c r="A46" s="1">
        <v>37865</v>
      </c>
      <c r="B46">
        <v>1105.8571428571399</v>
      </c>
      <c r="E46" s="6">
        <v>1.01</v>
      </c>
    </row>
    <row r="47" spans="1:5" x14ac:dyDescent="0.25">
      <c r="A47" s="1">
        <v>37895</v>
      </c>
      <c r="B47">
        <v>1030.5</v>
      </c>
      <c r="E47" s="6">
        <v>1.01</v>
      </c>
    </row>
    <row r="48" spans="1:5" x14ac:dyDescent="0.25">
      <c r="A48" s="1">
        <v>37926</v>
      </c>
      <c r="B48">
        <v>941.77777777777703</v>
      </c>
      <c r="E48" s="6">
        <v>1</v>
      </c>
    </row>
    <row r="49" spans="1:5" x14ac:dyDescent="0.25">
      <c r="A49" s="1">
        <v>37956</v>
      </c>
      <c r="B49">
        <v>840.36363636363603</v>
      </c>
      <c r="E49" s="6">
        <v>0.98</v>
      </c>
    </row>
    <row r="50" spans="1:5" x14ac:dyDescent="0.25">
      <c r="A50" s="1">
        <v>37987</v>
      </c>
      <c r="B50">
        <v>724.36842105263099</v>
      </c>
      <c r="E50" s="6">
        <v>1</v>
      </c>
    </row>
    <row r="51" spans="1:5" x14ac:dyDescent="0.25">
      <c r="A51" s="1">
        <v>38018</v>
      </c>
      <c r="B51">
        <v>746</v>
      </c>
      <c r="E51" s="6">
        <v>1.01</v>
      </c>
    </row>
    <row r="52" spans="1:5" x14ac:dyDescent="0.25">
      <c r="A52" s="1">
        <v>38047</v>
      </c>
      <c r="B52">
        <v>723.59090909090901</v>
      </c>
      <c r="E52" s="6">
        <v>1</v>
      </c>
    </row>
    <row r="53" spans="1:5" x14ac:dyDescent="0.25">
      <c r="A53" s="1">
        <v>38078</v>
      </c>
      <c r="B53">
        <v>762.95238095238096</v>
      </c>
      <c r="E53" s="6">
        <v>1</v>
      </c>
    </row>
    <row r="54" spans="1:5" x14ac:dyDescent="0.25">
      <c r="A54" s="1">
        <v>38108</v>
      </c>
      <c r="B54">
        <v>920.5</v>
      </c>
      <c r="E54" s="6">
        <v>1</v>
      </c>
    </row>
    <row r="55" spans="1:5" x14ac:dyDescent="0.25">
      <c r="A55" s="1">
        <v>38139</v>
      </c>
      <c r="B55">
        <v>886.09090909090901</v>
      </c>
      <c r="E55" s="6">
        <v>1.03</v>
      </c>
    </row>
    <row r="56" spans="1:5" x14ac:dyDescent="0.25">
      <c r="A56" s="1">
        <v>38169</v>
      </c>
      <c r="B56">
        <v>921.61904761904702</v>
      </c>
      <c r="E56" s="6">
        <v>1.26</v>
      </c>
    </row>
    <row r="57" spans="1:5" x14ac:dyDescent="0.25">
      <c r="A57" s="1">
        <v>38200</v>
      </c>
      <c r="B57">
        <v>836.13636363636294</v>
      </c>
      <c r="E57" s="6">
        <v>1.43</v>
      </c>
    </row>
    <row r="58" spans="1:5" x14ac:dyDescent="0.25">
      <c r="A58" s="1">
        <v>38231</v>
      </c>
      <c r="B58">
        <v>801.76190476190402</v>
      </c>
      <c r="E58" s="6">
        <v>1.61</v>
      </c>
    </row>
    <row r="59" spans="1:5" x14ac:dyDescent="0.25">
      <c r="A59" s="1">
        <v>38261</v>
      </c>
      <c r="B59">
        <v>731.05</v>
      </c>
      <c r="E59" s="6">
        <v>1.76</v>
      </c>
    </row>
    <row r="60" spans="1:5" x14ac:dyDescent="0.25">
      <c r="A60" s="1">
        <v>38292</v>
      </c>
      <c r="B60">
        <v>721.95</v>
      </c>
      <c r="E60" s="6">
        <v>1.93</v>
      </c>
    </row>
    <row r="61" spans="1:5" x14ac:dyDescent="0.25">
      <c r="A61" s="1">
        <v>38322</v>
      </c>
      <c r="B61">
        <v>710.59090909090901</v>
      </c>
      <c r="E61" s="6">
        <v>2.16</v>
      </c>
    </row>
    <row r="62" spans="1:5" x14ac:dyDescent="0.25">
      <c r="A62" s="1">
        <v>38353</v>
      </c>
      <c r="B62">
        <v>682.3</v>
      </c>
      <c r="E62" s="6">
        <v>2.2799999999999998</v>
      </c>
    </row>
    <row r="63" spans="1:5" x14ac:dyDescent="0.25">
      <c r="A63" s="1">
        <v>38384</v>
      </c>
      <c r="B63">
        <v>638.36842105263099</v>
      </c>
      <c r="E63" s="6">
        <v>2.5</v>
      </c>
    </row>
    <row r="64" spans="1:5" x14ac:dyDescent="0.25">
      <c r="A64" s="1">
        <v>38412</v>
      </c>
      <c r="B64">
        <v>632.5</v>
      </c>
      <c r="E64" s="6">
        <v>2.63</v>
      </c>
    </row>
    <row r="65" spans="1:5" x14ac:dyDescent="0.25">
      <c r="A65" s="1">
        <v>38443</v>
      </c>
      <c r="B65">
        <v>737.85714285714198</v>
      </c>
      <c r="E65" s="6">
        <v>2.79</v>
      </c>
    </row>
    <row r="66" spans="1:5" x14ac:dyDescent="0.25">
      <c r="A66" s="1">
        <v>38473</v>
      </c>
      <c r="B66">
        <v>835.33333333333303</v>
      </c>
      <c r="E66" s="6">
        <v>3</v>
      </c>
    </row>
    <row r="67" spans="1:5" x14ac:dyDescent="0.25">
      <c r="A67" s="1">
        <v>38504</v>
      </c>
      <c r="B67">
        <v>819.09090909090901</v>
      </c>
      <c r="E67" s="6">
        <v>3.04</v>
      </c>
    </row>
    <row r="68" spans="1:5" x14ac:dyDescent="0.25">
      <c r="A68" s="1">
        <v>38534</v>
      </c>
      <c r="B68">
        <v>759</v>
      </c>
      <c r="E68" s="6">
        <v>3.26</v>
      </c>
    </row>
    <row r="69" spans="1:5" x14ac:dyDescent="0.25">
      <c r="A69" s="1">
        <v>38565</v>
      </c>
      <c r="B69">
        <v>714.13043478260795</v>
      </c>
      <c r="E69" s="6">
        <v>3.5</v>
      </c>
    </row>
    <row r="70" spans="1:5" x14ac:dyDescent="0.25">
      <c r="A70" s="1">
        <v>38596</v>
      </c>
      <c r="B70">
        <v>682.23809523809496</v>
      </c>
      <c r="E70" s="6">
        <v>3.62</v>
      </c>
    </row>
    <row r="71" spans="1:5" x14ac:dyDescent="0.25">
      <c r="A71" s="1">
        <v>38626</v>
      </c>
      <c r="B71">
        <v>682.6</v>
      </c>
      <c r="E71" s="6">
        <v>3.78</v>
      </c>
    </row>
    <row r="72" spans="1:5" x14ac:dyDescent="0.25">
      <c r="A72" s="1">
        <v>38657</v>
      </c>
      <c r="B72">
        <v>651.04999999999995</v>
      </c>
      <c r="E72" s="6">
        <v>4</v>
      </c>
    </row>
    <row r="73" spans="1:5" x14ac:dyDescent="0.25">
      <c r="A73" s="1">
        <v>38687</v>
      </c>
      <c r="B73">
        <v>645.45454545454504</v>
      </c>
      <c r="E73" s="6">
        <v>4.16</v>
      </c>
    </row>
    <row r="74" spans="1:5" x14ac:dyDescent="0.25">
      <c r="A74" s="1">
        <v>38718</v>
      </c>
      <c r="B74">
        <v>623.22727272727195</v>
      </c>
      <c r="E74" s="6">
        <v>4.29</v>
      </c>
    </row>
    <row r="75" spans="1:5" x14ac:dyDescent="0.25">
      <c r="A75" s="1">
        <v>38749</v>
      </c>
      <c r="B75">
        <v>568.52631578947296</v>
      </c>
      <c r="E75" s="6">
        <v>4.49</v>
      </c>
    </row>
    <row r="76" spans="1:5" x14ac:dyDescent="0.25">
      <c r="A76" s="1">
        <v>38777</v>
      </c>
      <c r="B76">
        <v>560.17391304347802</v>
      </c>
      <c r="E76" s="6">
        <v>4.59</v>
      </c>
    </row>
    <row r="77" spans="1:5" x14ac:dyDescent="0.25">
      <c r="A77" s="1">
        <v>38808</v>
      </c>
      <c r="B77">
        <v>513.4</v>
      </c>
      <c r="E77" s="6">
        <v>4.79</v>
      </c>
    </row>
    <row r="78" spans="1:5" x14ac:dyDescent="0.25">
      <c r="A78" s="1">
        <v>38838</v>
      </c>
      <c r="B78">
        <v>489</v>
      </c>
      <c r="E78" s="6">
        <v>4.9400000000000004</v>
      </c>
    </row>
    <row r="79" spans="1:5" x14ac:dyDescent="0.25">
      <c r="A79" s="1">
        <v>38869</v>
      </c>
      <c r="B79">
        <v>517.27272727272702</v>
      </c>
      <c r="E79" s="6">
        <v>4.99</v>
      </c>
    </row>
    <row r="80" spans="1:5" x14ac:dyDescent="0.25">
      <c r="A80" s="1">
        <v>38899</v>
      </c>
      <c r="B80">
        <v>503.47619047619003</v>
      </c>
      <c r="E80" s="6">
        <v>5.24</v>
      </c>
    </row>
    <row r="81" spans="1:5" x14ac:dyDescent="0.25">
      <c r="A81" s="1">
        <v>38930</v>
      </c>
      <c r="B81">
        <v>494.39130434782601</v>
      </c>
      <c r="E81" s="6">
        <v>5.25</v>
      </c>
    </row>
    <row r="82" spans="1:5" x14ac:dyDescent="0.25">
      <c r="A82" s="1">
        <v>38961</v>
      </c>
      <c r="B82">
        <v>577.90476190476102</v>
      </c>
      <c r="E82" s="6">
        <v>5.25</v>
      </c>
    </row>
    <row r="83" spans="1:5" x14ac:dyDescent="0.25">
      <c r="A83" s="1">
        <v>38991</v>
      </c>
      <c r="B83">
        <v>562.36363636363603</v>
      </c>
      <c r="E83" s="6">
        <v>5.25</v>
      </c>
    </row>
    <row r="84" spans="1:5" x14ac:dyDescent="0.25">
      <c r="A84" s="1">
        <v>39022</v>
      </c>
      <c r="B84">
        <v>528.625</v>
      </c>
      <c r="E84" s="6">
        <v>5.25</v>
      </c>
    </row>
    <row r="85" spans="1:5" x14ac:dyDescent="0.25">
      <c r="A85" s="1">
        <v>39052</v>
      </c>
      <c r="B85">
        <v>730.28571428571399</v>
      </c>
      <c r="E85" s="6">
        <v>5.24</v>
      </c>
    </row>
    <row r="86" spans="1:5" x14ac:dyDescent="0.25">
      <c r="A86" s="1">
        <v>39083</v>
      </c>
      <c r="B86">
        <v>900.63636363636294</v>
      </c>
      <c r="E86" s="6">
        <v>5.25</v>
      </c>
    </row>
    <row r="87" spans="1:5" x14ac:dyDescent="0.25">
      <c r="A87" s="1">
        <v>39114</v>
      </c>
      <c r="B87">
        <v>744.65</v>
      </c>
      <c r="E87" s="6">
        <v>5.26</v>
      </c>
    </row>
    <row r="88" spans="1:5" x14ac:dyDescent="0.25">
      <c r="A88" s="1">
        <v>39142</v>
      </c>
      <c r="B88">
        <v>695.04545454545405</v>
      </c>
      <c r="E88" s="6">
        <v>5.26</v>
      </c>
    </row>
    <row r="89" spans="1:5" x14ac:dyDescent="0.25">
      <c r="A89" s="1">
        <v>39173</v>
      </c>
      <c r="B89">
        <v>612.142857142857</v>
      </c>
      <c r="E89" s="6">
        <v>5.25</v>
      </c>
    </row>
    <row r="90" spans="1:5" x14ac:dyDescent="0.25">
      <c r="A90" s="1">
        <v>39203</v>
      </c>
      <c r="B90">
        <v>624.56521739130403</v>
      </c>
      <c r="E90" s="6">
        <v>5.25</v>
      </c>
    </row>
    <row r="91" spans="1:5" x14ac:dyDescent="0.25">
      <c r="A91" s="1">
        <v>39234</v>
      </c>
      <c r="B91">
        <v>629.85714285714198</v>
      </c>
      <c r="E91" s="6">
        <v>5.25</v>
      </c>
    </row>
    <row r="92" spans="1:5" x14ac:dyDescent="0.25">
      <c r="A92" s="1">
        <v>39264</v>
      </c>
      <c r="B92">
        <v>714</v>
      </c>
      <c r="E92" s="6">
        <v>5.26</v>
      </c>
    </row>
    <row r="93" spans="1:5" x14ac:dyDescent="0.25">
      <c r="A93" s="1">
        <v>39295</v>
      </c>
      <c r="B93">
        <v>701.78260869565202</v>
      </c>
      <c r="C93">
        <v>5.53</v>
      </c>
      <c r="D93">
        <v>10.92</v>
      </c>
      <c r="E93" s="6">
        <v>5.0199999999999996</v>
      </c>
    </row>
    <row r="94" spans="1:5" x14ac:dyDescent="0.25">
      <c r="A94" s="1">
        <v>39326</v>
      </c>
      <c r="B94">
        <v>659.95</v>
      </c>
      <c r="C94">
        <v>5.61</v>
      </c>
      <c r="D94">
        <v>10.82</v>
      </c>
      <c r="E94" s="6">
        <v>4.9400000000000004</v>
      </c>
    </row>
    <row r="95" spans="1:5" x14ac:dyDescent="0.25">
      <c r="A95" s="1">
        <v>39356</v>
      </c>
      <c r="B95">
        <v>599.08695652173901</v>
      </c>
      <c r="C95">
        <v>5.63</v>
      </c>
      <c r="D95">
        <v>10.7</v>
      </c>
      <c r="E95" s="6">
        <v>4.76</v>
      </c>
    </row>
    <row r="96" spans="1:5" x14ac:dyDescent="0.25">
      <c r="A96" s="1">
        <v>39387</v>
      </c>
      <c r="B96">
        <v>618.18181818181802</v>
      </c>
      <c r="C96">
        <v>5.79</v>
      </c>
      <c r="D96">
        <v>10.55</v>
      </c>
      <c r="E96" s="6">
        <v>4.49</v>
      </c>
    </row>
    <row r="97" spans="1:5" x14ac:dyDescent="0.25">
      <c r="A97" s="1">
        <v>39417</v>
      </c>
      <c r="B97">
        <v>604.90476190476102</v>
      </c>
      <c r="C97">
        <v>5.64</v>
      </c>
      <c r="D97">
        <v>10.72</v>
      </c>
      <c r="E97" s="6">
        <v>4.24</v>
      </c>
    </row>
    <row r="98" spans="1:5" x14ac:dyDescent="0.25">
      <c r="A98" s="1">
        <v>39448</v>
      </c>
      <c r="B98">
        <v>633.95652173913004</v>
      </c>
      <c r="C98">
        <v>5.91</v>
      </c>
      <c r="D98">
        <v>10.74</v>
      </c>
      <c r="E98" s="6">
        <v>3.94</v>
      </c>
    </row>
    <row r="99" spans="1:5" x14ac:dyDescent="0.25">
      <c r="A99" s="1">
        <v>39479</v>
      </c>
      <c r="B99">
        <v>640.04761904761904</v>
      </c>
      <c r="C99">
        <v>5.97</v>
      </c>
      <c r="D99">
        <v>10.5</v>
      </c>
      <c r="E99" s="6">
        <v>2.98</v>
      </c>
    </row>
    <row r="100" spans="1:5" x14ac:dyDescent="0.25">
      <c r="A100" s="1">
        <v>39508</v>
      </c>
      <c r="B100">
        <v>668.52380952380895</v>
      </c>
      <c r="C100">
        <v>5.96</v>
      </c>
      <c r="D100">
        <v>10.43</v>
      </c>
      <c r="E100" s="6">
        <v>2.61</v>
      </c>
    </row>
    <row r="101" spans="1:5" x14ac:dyDescent="0.25">
      <c r="A101" s="1">
        <v>39539</v>
      </c>
      <c r="B101">
        <v>601.86363636363603</v>
      </c>
      <c r="C101">
        <v>5.96</v>
      </c>
      <c r="D101">
        <v>10.17</v>
      </c>
      <c r="E101" s="6">
        <v>2.2799999999999998</v>
      </c>
    </row>
    <row r="102" spans="1:5" x14ac:dyDescent="0.25">
      <c r="A102" s="1">
        <v>39569</v>
      </c>
      <c r="B102">
        <v>561.72727272727195</v>
      </c>
      <c r="C102">
        <v>5.86</v>
      </c>
      <c r="D102">
        <v>10.14</v>
      </c>
      <c r="E102" s="6">
        <v>1.98</v>
      </c>
    </row>
    <row r="103" spans="1:5" x14ac:dyDescent="0.25">
      <c r="A103" s="1">
        <v>39600</v>
      </c>
      <c r="B103">
        <v>566.95238095238096</v>
      </c>
      <c r="C103">
        <v>5.45</v>
      </c>
      <c r="D103">
        <v>9.59</v>
      </c>
      <c r="E103" s="6">
        <v>2</v>
      </c>
    </row>
    <row r="104" spans="1:5" x14ac:dyDescent="0.25">
      <c r="A104" s="1">
        <v>39630</v>
      </c>
      <c r="B104">
        <v>662.65217391304304</v>
      </c>
      <c r="C104">
        <v>5.36</v>
      </c>
      <c r="D104">
        <v>9.52</v>
      </c>
      <c r="E104" s="6">
        <v>2.0099999999999998</v>
      </c>
    </row>
    <row r="105" spans="1:5" x14ac:dyDescent="0.25">
      <c r="A105" s="1">
        <v>39661</v>
      </c>
      <c r="B105">
        <v>699.85714285714198</v>
      </c>
      <c r="C105">
        <v>5.3</v>
      </c>
      <c r="D105">
        <v>9.31</v>
      </c>
      <c r="E105" s="6">
        <v>2</v>
      </c>
    </row>
    <row r="106" spans="1:5" x14ac:dyDescent="0.25">
      <c r="A106" s="1">
        <v>39692</v>
      </c>
      <c r="B106">
        <v>880.09090909090901</v>
      </c>
      <c r="C106">
        <v>5.29</v>
      </c>
      <c r="D106">
        <v>9.31</v>
      </c>
      <c r="E106" s="6">
        <v>1.81</v>
      </c>
    </row>
    <row r="107" spans="1:5" x14ac:dyDescent="0.25">
      <c r="A107" s="1">
        <v>39722</v>
      </c>
      <c r="B107">
        <v>1966.6521739130401</v>
      </c>
      <c r="C107">
        <v>5.08</v>
      </c>
      <c r="D107">
        <v>9.24</v>
      </c>
      <c r="E107" s="6">
        <v>0.97</v>
      </c>
    </row>
    <row r="108" spans="1:5" x14ac:dyDescent="0.25">
      <c r="A108" s="1">
        <v>39753</v>
      </c>
      <c r="B108">
        <v>3703.7</v>
      </c>
      <c r="C108">
        <v>5.14</v>
      </c>
      <c r="D108">
        <v>9.18</v>
      </c>
      <c r="E108" s="6">
        <v>0.39</v>
      </c>
    </row>
    <row r="109" spans="1:5" x14ac:dyDescent="0.25">
      <c r="A109" s="1">
        <v>39783</v>
      </c>
      <c r="B109">
        <v>4259.5217391304304</v>
      </c>
      <c r="C109">
        <v>5.09</v>
      </c>
      <c r="D109">
        <v>9.14</v>
      </c>
      <c r="E109" s="6">
        <v>0.16</v>
      </c>
    </row>
    <row r="110" spans="1:5" x14ac:dyDescent="0.25">
      <c r="A110" s="1">
        <v>39814</v>
      </c>
      <c r="B110">
        <v>3931.3636363636301</v>
      </c>
      <c r="C110">
        <v>5.0999999999999996</v>
      </c>
      <c r="D110">
        <v>9.16</v>
      </c>
      <c r="E110" s="6">
        <v>0.15</v>
      </c>
    </row>
    <row r="111" spans="1:5" x14ac:dyDescent="0.25">
      <c r="A111" s="1">
        <v>39845</v>
      </c>
      <c r="B111">
        <v>3624.95</v>
      </c>
      <c r="C111">
        <v>5.19</v>
      </c>
      <c r="D111">
        <v>9.2100000000000009</v>
      </c>
      <c r="E111" s="6">
        <v>0.22</v>
      </c>
    </row>
    <row r="112" spans="1:5" x14ac:dyDescent="0.25">
      <c r="A112" s="1">
        <v>39873</v>
      </c>
      <c r="B112">
        <v>3534.4090909090901</v>
      </c>
      <c r="C112">
        <v>5.31</v>
      </c>
      <c r="D112">
        <v>9.24</v>
      </c>
      <c r="E112" s="6">
        <v>0.18</v>
      </c>
    </row>
    <row r="113" spans="1:5" x14ac:dyDescent="0.25">
      <c r="A113" s="1">
        <v>39904</v>
      </c>
      <c r="B113">
        <v>3417.1363636363599</v>
      </c>
      <c r="C113">
        <v>5.35</v>
      </c>
      <c r="D113">
        <v>9.24</v>
      </c>
      <c r="E113" s="6">
        <v>0.15</v>
      </c>
    </row>
    <row r="114" spans="1:5" x14ac:dyDescent="0.25">
      <c r="A114" s="1">
        <v>39934</v>
      </c>
      <c r="B114">
        <v>3335.482</v>
      </c>
      <c r="C114">
        <v>5.42</v>
      </c>
      <c r="D114">
        <v>9.26</v>
      </c>
      <c r="E114" s="6">
        <v>0.18</v>
      </c>
    </row>
    <row r="115" spans="1:5" x14ac:dyDescent="0.25">
      <c r="A115" s="1">
        <v>39965</v>
      </c>
      <c r="B115">
        <v>2727.4090909090901</v>
      </c>
      <c r="C115">
        <v>5.63</v>
      </c>
      <c r="D115">
        <v>9.24</v>
      </c>
      <c r="E115" s="6">
        <v>0.21</v>
      </c>
    </row>
    <row r="116" spans="1:5" x14ac:dyDescent="0.25">
      <c r="A116" s="1">
        <v>39995</v>
      </c>
      <c r="B116">
        <v>1263.8181818181799</v>
      </c>
      <c r="C116">
        <v>5.59</v>
      </c>
      <c r="D116">
        <v>9.2200000000000006</v>
      </c>
      <c r="E116" s="6">
        <v>0.16</v>
      </c>
    </row>
    <row r="117" spans="1:5" x14ac:dyDescent="0.25">
      <c r="A117" s="1">
        <v>40026</v>
      </c>
      <c r="B117">
        <v>1130.80952380952</v>
      </c>
      <c r="C117">
        <v>5.56</v>
      </c>
      <c r="D117">
        <v>9.15</v>
      </c>
      <c r="E117" s="6">
        <v>0.16</v>
      </c>
    </row>
    <row r="118" spans="1:5" x14ac:dyDescent="0.25">
      <c r="A118" s="1">
        <v>40057</v>
      </c>
      <c r="B118">
        <v>1019.9523809523801</v>
      </c>
      <c r="C118">
        <v>5.57</v>
      </c>
      <c r="D118">
        <v>9.15</v>
      </c>
      <c r="E118" s="6">
        <v>0.15</v>
      </c>
    </row>
    <row r="119" spans="1:5" x14ac:dyDescent="0.25">
      <c r="A119" s="1">
        <v>40087</v>
      </c>
      <c r="B119">
        <v>853.19047619047603</v>
      </c>
      <c r="C119">
        <v>5.44</v>
      </c>
      <c r="D119">
        <v>9.19</v>
      </c>
      <c r="E119" s="6">
        <v>0.12</v>
      </c>
    </row>
    <row r="120" spans="1:5" x14ac:dyDescent="0.25">
      <c r="A120" s="1">
        <v>40118</v>
      </c>
      <c r="B120">
        <v>821.89473684210498</v>
      </c>
      <c r="C120">
        <v>5.44</v>
      </c>
      <c r="D120">
        <v>9.19</v>
      </c>
      <c r="E120" s="6">
        <v>0.12</v>
      </c>
    </row>
    <row r="121" spans="1:5" x14ac:dyDescent="0.25">
      <c r="A121" s="1">
        <v>40148</v>
      </c>
      <c r="B121">
        <v>819.95454545454504</v>
      </c>
      <c r="C121">
        <v>5.24</v>
      </c>
      <c r="D121">
        <v>9.19</v>
      </c>
      <c r="E121" s="6">
        <v>0.12</v>
      </c>
    </row>
    <row r="122" spans="1:5" x14ac:dyDescent="0.25">
      <c r="A122" s="1">
        <v>40179</v>
      </c>
      <c r="B122">
        <v>757.1</v>
      </c>
      <c r="C122">
        <v>5.24</v>
      </c>
      <c r="D122">
        <v>9.1300000000000008</v>
      </c>
      <c r="E122" s="6">
        <v>0.11</v>
      </c>
    </row>
    <row r="123" spans="1:5" x14ac:dyDescent="0.25">
      <c r="A123" s="1">
        <v>40210</v>
      </c>
      <c r="B123">
        <v>811.65</v>
      </c>
      <c r="C123">
        <v>5.16</v>
      </c>
      <c r="D123">
        <v>9.1</v>
      </c>
      <c r="E123" s="6">
        <v>0.13</v>
      </c>
    </row>
    <row r="124" spans="1:5" x14ac:dyDescent="0.25">
      <c r="A124" s="1">
        <v>40238</v>
      </c>
      <c r="B124">
        <v>822.04347826086905</v>
      </c>
      <c r="C124">
        <v>4.87</v>
      </c>
      <c r="D124">
        <v>9.2100000000000009</v>
      </c>
      <c r="E124" s="6">
        <v>0.16</v>
      </c>
    </row>
    <row r="125" spans="1:5" x14ac:dyDescent="0.25">
      <c r="A125" s="1">
        <v>40269</v>
      </c>
      <c r="B125">
        <v>815.68181818181802</v>
      </c>
      <c r="C125">
        <v>4.8600000000000003</v>
      </c>
      <c r="D125">
        <v>9.1199999999999992</v>
      </c>
      <c r="E125" s="6">
        <v>0.2</v>
      </c>
    </row>
    <row r="126" spans="1:5" x14ac:dyDescent="0.25">
      <c r="A126" s="1">
        <v>40299</v>
      </c>
      <c r="B126">
        <v>901.38095238095195</v>
      </c>
      <c r="C126">
        <v>4.57</v>
      </c>
      <c r="D126">
        <v>9.11</v>
      </c>
      <c r="E126" s="6">
        <v>0.2</v>
      </c>
    </row>
    <row r="127" spans="1:5" x14ac:dyDescent="0.25">
      <c r="A127" s="1">
        <v>40330</v>
      </c>
      <c r="B127">
        <v>964.68181818181802</v>
      </c>
      <c r="C127">
        <v>4.4000000000000004</v>
      </c>
      <c r="D127">
        <v>9.02</v>
      </c>
      <c r="E127" s="6">
        <v>0.18</v>
      </c>
    </row>
    <row r="128" spans="1:5" x14ac:dyDescent="0.25">
      <c r="A128" s="1">
        <v>40360</v>
      </c>
      <c r="B128">
        <v>1014.45454545454</v>
      </c>
      <c r="C128">
        <v>4.3899999999999997</v>
      </c>
      <c r="D128">
        <v>8.99</v>
      </c>
      <c r="E128" s="6">
        <v>0.18</v>
      </c>
    </row>
    <row r="129" spans="1:5" x14ac:dyDescent="0.25">
      <c r="A129" s="1">
        <v>40391</v>
      </c>
      <c r="B129">
        <v>1036.1363636363601</v>
      </c>
      <c r="C129">
        <v>4.25</v>
      </c>
      <c r="D129">
        <v>9.0399999999999991</v>
      </c>
      <c r="E129" s="6">
        <v>0.19</v>
      </c>
    </row>
    <row r="130" spans="1:5" x14ac:dyDescent="0.25">
      <c r="A130" s="1">
        <v>40422</v>
      </c>
      <c r="B130">
        <v>1035.95454545454</v>
      </c>
      <c r="C130">
        <v>4.25</v>
      </c>
      <c r="D130">
        <v>9.0399999999999991</v>
      </c>
      <c r="E130" s="6">
        <v>0.19</v>
      </c>
    </row>
    <row r="131" spans="1:5" x14ac:dyDescent="0.25">
      <c r="A131" s="1">
        <v>40452</v>
      </c>
      <c r="B131">
        <v>1016.42857142857</v>
      </c>
      <c r="C131">
        <v>4.3</v>
      </c>
      <c r="D131">
        <v>8.94</v>
      </c>
      <c r="E131" s="6">
        <v>0.19</v>
      </c>
    </row>
    <row r="132" spans="1:5" x14ac:dyDescent="0.25">
      <c r="A132" s="1">
        <v>40483</v>
      </c>
      <c r="B132">
        <v>996.68181818181802</v>
      </c>
      <c r="C132">
        <v>4.3</v>
      </c>
      <c r="D132">
        <v>8.94</v>
      </c>
      <c r="E132" s="6">
        <v>0.19</v>
      </c>
    </row>
    <row r="133" spans="1:5" x14ac:dyDescent="0.25">
      <c r="A133" s="1">
        <v>40513</v>
      </c>
      <c r="B133">
        <v>927.47826086956502</v>
      </c>
      <c r="C133">
        <v>4.28</v>
      </c>
      <c r="D133">
        <v>8.68</v>
      </c>
      <c r="E133" s="6">
        <v>0.18</v>
      </c>
    </row>
    <row r="134" spans="1:5" x14ac:dyDescent="0.25">
      <c r="A134" s="1">
        <v>40544</v>
      </c>
      <c r="B134">
        <v>864.95</v>
      </c>
      <c r="C134">
        <v>4.55</v>
      </c>
      <c r="D134">
        <v>8.59</v>
      </c>
      <c r="E134" s="6">
        <v>0.17</v>
      </c>
    </row>
    <row r="135" spans="1:5" x14ac:dyDescent="0.25">
      <c r="A135" s="1">
        <v>40575</v>
      </c>
      <c r="B135">
        <v>763.21052631578902</v>
      </c>
      <c r="C135">
        <v>4.51</v>
      </c>
      <c r="D135">
        <v>8.25</v>
      </c>
      <c r="E135" s="6">
        <v>0.16</v>
      </c>
    </row>
    <row r="136" spans="1:5" x14ac:dyDescent="0.25">
      <c r="A136" s="1">
        <v>40603</v>
      </c>
      <c r="B136">
        <v>781.04347826086905</v>
      </c>
      <c r="C136">
        <v>4.59</v>
      </c>
      <c r="D136">
        <v>8.65</v>
      </c>
      <c r="E136" s="6">
        <v>0.14000000000000001</v>
      </c>
    </row>
    <row r="137" spans="1:5" x14ac:dyDescent="0.25">
      <c r="A137" s="1">
        <v>40634</v>
      </c>
      <c r="B137">
        <v>760.6</v>
      </c>
      <c r="C137">
        <v>4.5999999999999996</v>
      </c>
      <c r="D137">
        <v>8.34</v>
      </c>
      <c r="E137" s="6">
        <v>0.1</v>
      </c>
    </row>
    <row r="138" spans="1:5" x14ac:dyDescent="0.25">
      <c r="A138" s="1">
        <v>40664</v>
      </c>
      <c r="B138">
        <v>786.142857142857</v>
      </c>
      <c r="C138">
        <v>4.5999999999999996</v>
      </c>
      <c r="D138">
        <v>8.34</v>
      </c>
      <c r="E138" s="6">
        <v>0.09</v>
      </c>
    </row>
    <row r="139" spans="1:5" x14ac:dyDescent="0.25">
      <c r="A139" s="1">
        <v>40695</v>
      </c>
      <c r="B139">
        <v>799.40909090908997</v>
      </c>
      <c r="C139">
        <v>4.58</v>
      </c>
      <c r="D139">
        <v>8.3699999999999992</v>
      </c>
      <c r="E139" s="6">
        <v>0.09</v>
      </c>
    </row>
    <row r="140" spans="1:5" x14ac:dyDescent="0.25">
      <c r="A140" s="1">
        <v>40725</v>
      </c>
      <c r="B140">
        <v>783.45</v>
      </c>
      <c r="C140">
        <v>4.58</v>
      </c>
      <c r="D140">
        <v>8.3699999999999992</v>
      </c>
      <c r="E140" s="6">
        <v>7.0000000000000007E-2</v>
      </c>
    </row>
    <row r="141" spans="1:5" x14ac:dyDescent="0.25">
      <c r="A141" s="1">
        <v>40756</v>
      </c>
      <c r="B141">
        <v>863.78260869565202</v>
      </c>
      <c r="C141">
        <v>4.58</v>
      </c>
      <c r="D141">
        <v>8.3699999999999992</v>
      </c>
      <c r="E141" s="6">
        <v>0.1</v>
      </c>
    </row>
    <row r="142" spans="1:5" x14ac:dyDescent="0.25">
      <c r="A142" s="1">
        <v>40787</v>
      </c>
      <c r="B142">
        <v>880.57142857142799</v>
      </c>
      <c r="C142">
        <v>4.58</v>
      </c>
      <c r="D142">
        <v>8.3699999999999992</v>
      </c>
      <c r="E142" s="6">
        <v>0.08</v>
      </c>
    </row>
    <row r="143" spans="1:5" x14ac:dyDescent="0.25">
      <c r="A143" s="1">
        <v>40817</v>
      </c>
      <c r="B143">
        <v>888.3</v>
      </c>
      <c r="C143">
        <v>4.53</v>
      </c>
      <c r="D143">
        <v>8.17</v>
      </c>
      <c r="E143" s="6">
        <v>7.0000000000000007E-2</v>
      </c>
    </row>
    <row r="144" spans="1:5" x14ac:dyDescent="0.25">
      <c r="A144" s="1">
        <v>40848</v>
      </c>
      <c r="B144">
        <v>868.31578947368405</v>
      </c>
      <c r="C144">
        <v>4.53</v>
      </c>
      <c r="D144">
        <v>8.17</v>
      </c>
      <c r="E144" s="6">
        <v>0.08</v>
      </c>
    </row>
    <row r="145" spans="1:5" x14ac:dyDescent="0.25">
      <c r="A145" s="1">
        <v>40878</v>
      </c>
      <c r="B145">
        <v>842</v>
      </c>
      <c r="C145">
        <v>4.53</v>
      </c>
      <c r="D145">
        <v>8.17</v>
      </c>
      <c r="E145" s="6">
        <v>7.0000000000000007E-2</v>
      </c>
    </row>
    <row r="146" spans="1:5" x14ac:dyDescent="0.25">
      <c r="A146" s="1">
        <v>40909</v>
      </c>
      <c r="B146">
        <v>808.03225806451599</v>
      </c>
      <c r="C146">
        <v>4.53</v>
      </c>
      <c r="D146">
        <v>8.17</v>
      </c>
      <c r="E146" s="6">
        <v>0.08</v>
      </c>
    </row>
    <row r="147" spans="1:5" x14ac:dyDescent="0.25">
      <c r="A147" s="1">
        <v>40940</v>
      </c>
      <c r="B147">
        <v>789.62068965517199</v>
      </c>
      <c r="C147">
        <v>4.53</v>
      </c>
      <c r="D147">
        <v>8.17</v>
      </c>
      <c r="E147" s="6">
        <v>0.1</v>
      </c>
    </row>
    <row r="148" spans="1:5" x14ac:dyDescent="0.25">
      <c r="A148" s="1">
        <v>40969</v>
      </c>
      <c r="B148">
        <v>802.19354838709603</v>
      </c>
      <c r="C148">
        <v>4.53</v>
      </c>
      <c r="D148">
        <v>8.17</v>
      </c>
      <c r="E148" s="6">
        <v>0.13</v>
      </c>
    </row>
    <row r="149" spans="1:5" x14ac:dyDescent="0.25">
      <c r="A149" s="1">
        <v>41000</v>
      </c>
      <c r="B149">
        <v>806.56666666666604</v>
      </c>
      <c r="C149">
        <v>4.53</v>
      </c>
      <c r="D149">
        <v>8.17</v>
      </c>
      <c r="E149" s="6">
        <v>0.14000000000000001</v>
      </c>
    </row>
    <row r="150" spans="1:5" x14ac:dyDescent="0.25">
      <c r="A150" s="1">
        <v>41030</v>
      </c>
      <c r="B150">
        <v>850</v>
      </c>
      <c r="C150">
        <v>4.53</v>
      </c>
      <c r="D150">
        <v>8.17</v>
      </c>
      <c r="E150" s="6">
        <v>0.16</v>
      </c>
    </row>
    <row r="151" spans="1:5" x14ac:dyDescent="0.25">
      <c r="A151" s="1">
        <v>41061</v>
      </c>
      <c r="B151">
        <v>892.3</v>
      </c>
      <c r="C151">
        <v>4.53</v>
      </c>
      <c r="D151">
        <v>8.17</v>
      </c>
      <c r="E151" s="6">
        <v>0.16</v>
      </c>
    </row>
    <row r="152" spans="1:5" x14ac:dyDescent="0.25">
      <c r="A152" s="1">
        <v>41091</v>
      </c>
      <c r="B152">
        <v>856.35483870967698</v>
      </c>
      <c r="C152">
        <v>4.53</v>
      </c>
      <c r="D152">
        <v>8.17</v>
      </c>
      <c r="E152" s="6">
        <v>0.16</v>
      </c>
    </row>
    <row r="153" spans="1:5" x14ac:dyDescent="0.25">
      <c r="A153" s="1">
        <v>41122</v>
      </c>
      <c r="B153">
        <v>805.09677419354796</v>
      </c>
      <c r="C153">
        <v>4.53</v>
      </c>
      <c r="D153">
        <v>8.17</v>
      </c>
      <c r="E153" s="6">
        <v>0.13</v>
      </c>
    </row>
    <row r="154" spans="1:5" x14ac:dyDescent="0.25">
      <c r="A154" s="1">
        <v>41153</v>
      </c>
      <c r="B154">
        <v>752.66666666666595</v>
      </c>
      <c r="C154">
        <v>4.53</v>
      </c>
      <c r="D154">
        <v>8.17</v>
      </c>
      <c r="E154" s="6">
        <v>0.14000000000000001</v>
      </c>
    </row>
    <row r="155" spans="1:5" x14ac:dyDescent="0.25">
      <c r="A155" s="1">
        <v>41183</v>
      </c>
      <c r="B155">
        <v>766.322580645161</v>
      </c>
      <c r="C155">
        <v>4.53</v>
      </c>
      <c r="D155">
        <v>8.17</v>
      </c>
      <c r="E155" s="6">
        <v>0.16</v>
      </c>
    </row>
    <row r="156" spans="1:5" x14ac:dyDescent="0.25">
      <c r="A156" s="1">
        <v>41214</v>
      </c>
      <c r="B156">
        <v>814.5</v>
      </c>
      <c r="C156">
        <v>4.53</v>
      </c>
      <c r="D156">
        <v>8.17</v>
      </c>
      <c r="E156" s="6">
        <v>0.16</v>
      </c>
    </row>
    <row r="157" spans="1:5" x14ac:dyDescent="0.25">
      <c r="A157" s="1">
        <v>41244</v>
      </c>
      <c r="B157">
        <v>826.77419354838696</v>
      </c>
      <c r="C157">
        <v>4.53</v>
      </c>
      <c r="D157">
        <v>8.17</v>
      </c>
      <c r="E157" s="6">
        <v>0.16</v>
      </c>
    </row>
    <row r="158" spans="1:5" x14ac:dyDescent="0.25">
      <c r="A158" s="1">
        <v>41275</v>
      </c>
      <c r="B158">
        <v>731.29032258064501</v>
      </c>
      <c r="C158">
        <v>4.53</v>
      </c>
      <c r="D158">
        <v>8.17</v>
      </c>
      <c r="E158" s="6">
        <v>0.14000000000000001</v>
      </c>
    </row>
    <row r="159" spans="1:5" x14ac:dyDescent="0.25">
      <c r="A159" s="1">
        <v>41306</v>
      </c>
      <c r="B159">
        <v>704.46428571428498</v>
      </c>
      <c r="C159">
        <v>4.53</v>
      </c>
      <c r="D159">
        <v>8.17</v>
      </c>
      <c r="E159" s="6">
        <v>0.15</v>
      </c>
    </row>
    <row r="160" spans="1:5" x14ac:dyDescent="0.25">
      <c r="A160" s="1">
        <v>41334</v>
      </c>
      <c r="B160">
        <v>699.74193548387098</v>
      </c>
      <c r="C160">
        <v>4.53</v>
      </c>
      <c r="D160">
        <v>8.17</v>
      </c>
      <c r="E160" s="6">
        <v>0.14000000000000001</v>
      </c>
    </row>
    <row r="161" spans="1:5" x14ac:dyDescent="0.25">
      <c r="A161" s="1">
        <v>41365</v>
      </c>
      <c r="B161">
        <v>678.03333333333296</v>
      </c>
      <c r="C161">
        <v>4.53</v>
      </c>
      <c r="D161">
        <v>8.17</v>
      </c>
      <c r="E161" s="6">
        <v>0.15</v>
      </c>
    </row>
    <row r="162" spans="1:5" x14ac:dyDescent="0.25">
      <c r="A162" s="1">
        <v>41395</v>
      </c>
      <c r="B162">
        <v>637.80645161290295</v>
      </c>
      <c r="C162">
        <v>4.53</v>
      </c>
      <c r="D162">
        <v>8.17</v>
      </c>
      <c r="E162" s="6">
        <v>0.11</v>
      </c>
    </row>
    <row r="163" spans="1:5" x14ac:dyDescent="0.25">
      <c r="A163" s="1">
        <v>41426</v>
      </c>
      <c r="B163">
        <v>643.1</v>
      </c>
      <c r="C163">
        <v>4.53</v>
      </c>
      <c r="D163">
        <v>8.17</v>
      </c>
      <c r="E163" s="6">
        <v>0.09</v>
      </c>
    </row>
    <row r="164" spans="1:5" x14ac:dyDescent="0.25">
      <c r="A164" s="1">
        <v>41456</v>
      </c>
      <c r="B164">
        <v>643.70967741935397</v>
      </c>
      <c r="C164">
        <v>4.53</v>
      </c>
      <c r="D164">
        <v>8.17</v>
      </c>
      <c r="E164" s="6">
        <v>0.09</v>
      </c>
    </row>
    <row r="165" spans="1:5" x14ac:dyDescent="0.25">
      <c r="A165" s="1">
        <v>41487</v>
      </c>
      <c r="B165">
        <v>629.83870967741905</v>
      </c>
      <c r="C165">
        <v>4.53</v>
      </c>
      <c r="D165">
        <v>8.17</v>
      </c>
      <c r="E165" s="6">
        <v>0.08</v>
      </c>
    </row>
    <row r="166" spans="1:5" x14ac:dyDescent="0.25">
      <c r="A166" s="1">
        <v>41518</v>
      </c>
      <c r="B166">
        <v>644.29999999999995</v>
      </c>
      <c r="C166">
        <v>4.53</v>
      </c>
      <c r="D166">
        <v>8.17</v>
      </c>
      <c r="E166" s="6">
        <v>0.08</v>
      </c>
    </row>
    <row r="167" spans="1:5" x14ac:dyDescent="0.25">
      <c r="A167" s="1">
        <v>41548</v>
      </c>
      <c r="B167">
        <v>568.48387096774195</v>
      </c>
      <c r="C167">
        <v>4.53</v>
      </c>
      <c r="D167">
        <v>8.17</v>
      </c>
      <c r="E167" s="6">
        <v>0.09</v>
      </c>
    </row>
    <row r="168" spans="1:5" x14ac:dyDescent="0.25">
      <c r="A168" s="1">
        <v>41579</v>
      </c>
      <c r="B168">
        <v>529.63333333333298</v>
      </c>
      <c r="C168">
        <v>4.53</v>
      </c>
      <c r="D168">
        <v>8.17</v>
      </c>
      <c r="E168" s="6">
        <v>0.08</v>
      </c>
    </row>
    <row r="169" spans="1:5" x14ac:dyDescent="0.25">
      <c r="A169" s="1">
        <v>41609</v>
      </c>
      <c r="B169">
        <v>531.45161290322505</v>
      </c>
      <c r="C169">
        <v>4.53</v>
      </c>
      <c r="D169">
        <v>8.17</v>
      </c>
      <c r="E169" s="6">
        <v>0.09</v>
      </c>
    </row>
    <row r="170" spans="1:5" x14ac:dyDescent="0.25">
      <c r="A170" s="1">
        <v>41640</v>
      </c>
      <c r="B170">
        <v>567.322580645161</v>
      </c>
      <c r="C170">
        <v>4.53</v>
      </c>
      <c r="D170">
        <v>8.17</v>
      </c>
      <c r="E170" s="6">
        <v>7.0000000000000007E-2</v>
      </c>
    </row>
    <row r="171" spans="1:5" x14ac:dyDescent="0.25">
      <c r="A171" s="1">
        <v>41671</v>
      </c>
      <c r="B171">
        <v>609.96428571428498</v>
      </c>
      <c r="C171">
        <v>4.53</v>
      </c>
      <c r="D171">
        <v>8.17</v>
      </c>
      <c r="E171" s="6">
        <v>7.0000000000000007E-2</v>
      </c>
    </row>
    <row r="172" spans="1:5" x14ac:dyDescent="0.25">
      <c r="A172" s="1">
        <v>41699</v>
      </c>
      <c r="B172">
        <v>550.51612903225805</v>
      </c>
      <c r="C172">
        <v>4.53</v>
      </c>
      <c r="D172">
        <v>8.17</v>
      </c>
      <c r="E172" s="6">
        <v>0.08</v>
      </c>
    </row>
    <row r="173" spans="1:5" x14ac:dyDescent="0.25">
      <c r="A173" s="1">
        <v>41730</v>
      </c>
      <c r="B173">
        <v>453</v>
      </c>
      <c r="C173">
        <v>4.53</v>
      </c>
      <c r="D173">
        <v>8.17</v>
      </c>
      <c r="E173" s="6">
        <v>0.09</v>
      </c>
    </row>
    <row r="174" spans="1:5" x14ac:dyDescent="0.25">
      <c r="A174" s="1">
        <v>41760</v>
      </c>
      <c r="B174">
        <v>354.77419354838702</v>
      </c>
      <c r="C174">
        <v>5.1100000000000003</v>
      </c>
      <c r="D174">
        <v>7.64</v>
      </c>
      <c r="E174" s="6">
        <v>0.09</v>
      </c>
    </row>
    <row r="175" spans="1:5" x14ac:dyDescent="0.25">
      <c r="A175" s="1">
        <v>41791</v>
      </c>
      <c r="B175">
        <v>370.46666666666601</v>
      </c>
      <c r="C175">
        <v>5.19</v>
      </c>
      <c r="D175">
        <v>8.19</v>
      </c>
      <c r="E175" s="6">
        <v>0.1</v>
      </c>
    </row>
    <row r="176" spans="1:5" x14ac:dyDescent="0.25">
      <c r="A176" s="1">
        <v>41821</v>
      </c>
      <c r="B176">
        <v>423.61290322580601</v>
      </c>
      <c r="C176">
        <v>4.9800000000000004</v>
      </c>
      <c r="D176">
        <v>8.2100000000000009</v>
      </c>
      <c r="E176" s="6">
        <v>0.09</v>
      </c>
    </row>
    <row r="177" spans="1:5" x14ac:dyDescent="0.25">
      <c r="A177" s="1">
        <v>41852</v>
      </c>
      <c r="B177">
        <v>475.96774193548299</v>
      </c>
      <c r="C177">
        <v>5.14</v>
      </c>
      <c r="D177">
        <v>8.16</v>
      </c>
      <c r="E177" s="6">
        <v>0.09</v>
      </c>
    </row>
    <row r="178" spans="1:5" x14ac:dyDescent="0.25">
      <c r="A178" s="1">
        <v>41883</v>
      </c>
      <c r="B178">
        <v>426.63333333333298</v>
      </c>
      <c r="C178">
        <v>4.9800000000000004</v>
      </c>
      <c r="D178">
        <v>7.86</v>
      </c>
      <c r="E178" s="6">
        <v>0.09</v>
      </c>
    </row>
    <row r="179" spans="1:5" x14ac:dyDescent="0.25">
      <c r="A179" s="1">
        <v>41913</v>
      </c>
      <c r="B179">
        <v>519.22580645161304</v>
      </c>
      <c r="C179">
        <v>5.08</v>
      </c>
      <c r="D179">
        <v>8.34</v>
      </c>
      <c r="E179" s="6">
        <v>0.09</v>
      </c>
    </row>
    <row r="180" spans="1:5" x14ac:dyDescent="0.25">
      <c r="A180" s="1">
        <v>41944</v>
      </c>
      <c r="B180">
        <v>546.63333333333298</v>
      </c>
      <c r="C180">
        <v>5.07</v>
      </c>
      <c r="D180">
        <v>8.1300000000000008</v>
      </c>
      <c r="E180" s="6">
        <v>0.09</v>
      </c>
    </row>
    <row r="181" spans="1:5" x14ac:dyDescent="0.25">
      <c r="A181" s="1">
        <v>41974</v>
      </c>
      <c r="B181">
        <v>823.74193548387098</v>
      </c>
      <c r="C181">
        <v>5.18</v>
      </c>
      <c r="D181">
        <v>8.19</v>
      </c>
      <c r="E181" s="6">
        <v>0.12</v>
      </c>
    </row>
    <row r="182" spans="1:5" x14ac:dyDescent="0.25">
      <c r="A182" s="1">
        <v>42005</v>
      </c>
      <c r="B182">
        <v>933.90322580645102</v>
      </c>
      <c r="C182">
        <v>5.22</v>
      </c>
      <c r="D182">
        <v>7.84</v>
      </c>
      <c r="E182" s="6">
        <v>0.11</v>
      </c>
    </row>
    <row r="183" spans="1:5" x14ac:dyDescent="0.25">
      <c r="A183" s="1">
        <v>42036</v>
      </c>
      <c r="B183">
        <v>778.03571428571399</v>
      </c>
      <c r="C183">
        <v>5.32</v>
      </c>
      <c r="D183">
        <v>7.41</v>
      </c>
      <c r="E183" s="6">
        <v>0.11</v>
      </c>
    </row>
    <row r="184" spans="1:5" x14ac:dyDescent="0.25">
      <c r="A184" s="1">
        <v>42064</v>
      </c>
      <c r="B184">
        <v>799.51612903225805</v>
      </c>
      <c r="C184">
        <v>5.31</v>
      </c>
      <c r="D184">
        <v>7.31</v>
      </c>
      <c r="E184" s="6">
        <v>0.11</v>
      </c>
    </row>
    <row r="185" spans="1:5" x14ac:dyDescent="0.25">
      <c r="A185" s="1">
        <v>42095</v>
      </c>
      <c r="B185">
        <v>782.73333333333301</v>
      </c>
      <c r="C185">
        <v>5.39</v>
      </c>
      <c r="D185">
        <v>8.09</v>
      </c>
      <c r="E185" s="6">
        <v>0.12</v>
      </c>
    </row>
    <row r="186" spans="1:5" x14ac:dyDescent="0.25">
      <c r="A186" s="1">
        <v>42125</v>
      </c>
      <c r="B186">
        <v>670.54838709677404</v>
      </c>
      <c r="C186">
        <v>5.51</v>
      </c>
      <c r="D186">
        <v>8.4499999999999993</v>
      </c>
      <c r="E186" s="6">
        <v>0.12</v>
      </c>
    </row>
    <row r="187" spans="1:5" x14ac:dyDescent="0.25">
      <c r="A187" s="1">
        <v>42156</v>
      </c>
      <c r="B187">
        <v>776.53333333333296</v>
      </c>
      <c r="C187">
        <v>5.48</v>
      </c>
      <c r="D187">
        <v>8.6999999999999993</v>
      </c>
      <c r="E187" s="6">
        <v>0.13</v>
      </c>
    </row>
    <row r="188" spans="1:5" x14ac:dyDescent="0.25">
      <c r="A188" s="1">
        <v>42186</v>
      </c>
      <c r="B188">
        <v>899.90322580645102</v>
      </c>
      <c r="C188">
        <v>5.54</v>
      </c>
      <c r="D188">
        <v>8.5399999999999991</v>
      </c>
      <c r="E188" s="6">
        <v>0.13</v>
      </c>
    </row>
    <row r="189" spans="1:5" x14ac:dyDescent="0.25">
      <c r="A189" s="1">
        <v>42217</v>
      </c>
      <c r="B189">
        <v>1163.8064516129</v>
      </c>
      <c r="C189">
        <v>5.55</v>
      </c>
      <c r="D189">
        <v>8.06</v>
      </c>
      <c r="E189" s="6">
        <v>0.14000000000000001</v>
      </c>
    </row>
    <row r="190" spans="1:5" x14ac:dyDescent="0.25">
      <c r="A190" s="1">
        <v>42248</v>
      </c>
      <c r="B190">
        <v>1342.3</v>
      </c>
      <c r="C190">
        <v>5.55</v>
      </c>
      <c r="D190">
        <v>8.06</v>
      </c>
      <c r="E190" s="6">
        <v>0.14000000000000001</v>
      </c>
    </row>
    <row r="191" spans="1:5" x14ac:dyDescent="0.25">
      <c r="A191" s="1">
        <v>42278</v>
      </c>
      <c r="B191">
        <v>1334.19354838709</v>
      </c>
      <c r="C191">
        <v>4.9800000000000004</v>
      </c>
      <c r="D191">
        <v>9.11</v>
      </c>
      <c r="E191" s="6">
        <v>0.12</v>
      </c>
    </row>
    <row r="192" spans="1:5" x14ac:dyDescent="0.25">
      <c r="A192" s="1">
        <v>42309</v>
      </c>
      <c r="B192">
        <v>1212.5999999999999</v>
      </c>
      <c r="C192">
        <v>5.1100000000000003</v>
      </c>
      <c r="D192">
        <v>9.2200000000000006</v>
      </c>
      <c r="E192" s="6">
        <v>0.12</v>
      </c>
    </row>
    <row r="193" spans="1:5" x14ac:dyDescent="0.25">
      <c r="A193" s="1">
        <v>42339</v>
      </c>
      <c r="B193">
        <v>1234.83870967741</v>
      </c>
      <c r="C193">
        <v>5.14</v>
      </c>
      <c r="D193">
        <v>9.1199999999999992</v>
      </c>
      <c r="E193" s="6">
        <v>0.24</v>
      </c>
    </row>
    <row r="194" spans="1:5" ht="15.75" x14ac:dyDescent="0.25">
      <c r="A194" s="1">
        <v>42370</v>
      </c>
      <c r="B194" s="2">
        <v>1518.258064516129</v>
      </c>
      <c r="C194">
        <v>5.62</v>
      </c>
      <c r="D194">
        <v>9.15</v>
      </c>
      <c r="E194" s="6">
        <v>0.34</v>
      </c>
    </row>
    <row r="195" spans="1:5" ht="15.75" x14ac:dyDescent="0.25">
      <c r="A195" s="1">
        <v>42401</v>
      </c>
      <c r="B195" s="2">
        <v>1568.5172413793102</v>
      </c>
      <c r="C195">
        <v>5.83</v>
      </c>
      <c r="D195">
        <v>8.8800000000000008</v>
      </c>
      <c r="E195" s="6">
        <v>0.38</v>
      </c>
    </row>
    <row r="196" spans="1:5" ht="15.75" x14ac:dyDescent="0.25">
      <c r="A196" s="1">
        <v>42430</v>
      </c>
      <c r="B196" s="2">
        <v>1186.9354838709678</v>
      </c>
      <c r="C196">
        <v>5.95</v>
      </c>
      <c r="D196">
        <v>8.86</v>
      </c>
      <c r="E196" s="6">
        <v>0.36</v>
      </c>
    </row>
    <row r="197" spans="1:5" ht="15.75" x14ac:dyDescent="0.25">
      <c r="A197" s="1">
        <v>42461</v>
      </c>
      <c r="B197" s="2">
        <v>1076.5999999999999</v>
      </c>
      <c r="C197">
        <v>5.85</v>
      </c>
      <c r="D197">
        <v>9.0299999999999994</v>
      </c>
      <c r="E197" s="6">
        <v>0.37</v>
      </c>
    </row>
    <row r="198" spans="1:5" ht="15.75" x14ac:dyDescent="0.25">
      <c r="A198" s="1">
        <v>42491</v>
      </c>
      <c r="B198" s="2">
        <v>910.54838709677415</v>
      </c>
      <c r="C198">
        <v>5.47</v>
      </c>
      <c r="D198">
        <v>8.89</v>
      </c>
      <c r="E198" s="6">
        <v>0.37</v>
      </c>
    </row>
    <row r="199" spans="1:5" ht="15.75" x14ac:dyDescent="0.25">
      <c r="A199" s="1">
        <v>42522</v>
      </c>
      <c r="B199" s="2">
        <v>893.36666666666667</v>
      </c>
      <c r="C199">
        <v>6</v>
      </c>
      <c r="D199">
        <v>8.66</v>
      </c>
      <c r="E199" s="6">
        <v>0.38</v>
      </c>
    </row>
    <row r="200" spans="1:5" ht="15.75" x14ac:dyDescent="0.25">
      <c r="A200" s="1">
        <v>42552</v>
      </c>
      <c r="B200" s="2">
        <v>880.12903225806451</v>
      </c>
      <c r="C200">
        <v>6.01</v>
      </c>
      <c r="D200">
        <v>8.67</v>
      </c>
      <c r="E200" s="6">
        <v>0.39</v>
      </c>
    </row>
    <row r="201" spans="1:5" ht="15.75" x14ac:dyDescent="0.25">
      <c r="A201" s="1">
        <v>42583</v>
      </c>
      <c r="B201" s="2">
        <v>865.32258064516134</v>
      </c>
      <c r="C201">
        <v>5.91</v>
      </c>
      <c r="D201">
        <v>8.2100000000000009</v>
      </c>
      <c r="E201" s="6">
        <v>0.4</v>
      </c>
    </row>
    <row r="202" spans="1:5" ht="15.75" x14ac:dyDescent="0.25">
      <c r="A202" s="1">
        <v>42614</v>
      </c>
      <c r="B202" s="2">
        <v>856.9666666666667</v>
      </c>
      <c r="C202">
        <v>5.78</v>
      </c>
      <c r="D202">
        <v>8.7799999999999994</v>
      </c>
      <c r="E202" s="6">
        <v>0.4</v>
      </c>
    </row>
    <row r="203" spans="1:5" ht="15.75" x14ac:dyDescent="0.25">
      <c r="A203" s="1">
        <v>42644</v>
      </c>
      <c r="B203" s="2">
        <v>773.0322580645161</v>
      </c>
      <c r="C203">
        <v>5.75</v>
      </c>
      <c r="D203">
        <v>8.7100000000000009</v>
      </c>
      <c r="E203" s="6">
        <v>0.4</v>
      </c>
    </row>
    <row r="204" spans="1:5" ht="15.75" x14ac:dyDescent="0.25">
      <c r="A204" s="1">
        <v>42675</v>
      </c>
      <c r="B204" s="2">
        <v>763.56666666666672</v>
      </c>
      <c r="C204">
        <v>5.51</v>
      </c>
      <c r="D204">
        <v>8.3800000000000008</v>
      </c>
      <c r="E204" s="6">
        <v>0.41</v>
      </c>
    </row>
    <row r="205" spans="1:5" ht="15.75" x14ac:dyDescent="0.25">
      <c r="A205" s="1">
        <v>42705</v>
      </c>
      <c r="B205" s="2">
        <v>670.58064516129036</v>
      </c>
      <c r="C205">
        <v>5.12</v>
      </c>
      <c r="D205">
        <v>8.1</v>
      </c>
      <c r="E205" s="6">
        <v>0.54</v>
      </c>
    </row>
    <row r="206" spans="1:5" ht="15.75" x14ac:dyDescent="0.25">
      <c r="A206" s="1">
        <v>42736</v>
      </c>
      <c r="B206" s="2">
        <v>611.54838709677415</v>
      </c>
      <c r="C206">
        <v>5.08</v>
      </c>
      <c r="D206">
        <v>8.02</v>
      </c>
      <c r="E206" s="6">
        <v>0.65</v>
      </c>
    </row>
    <row r="207" spans="1:5" ht="15.75" x14ac:dyDescent="0.25">
      <c r="A207" s="1">
        <v>42767</v>
      </c>
      <c r="B207" s="2">
        <v>609.28571428571433</v>
      </c>
      <c r="C207">
        <v>5.07</v>
      </c>
      <c r="D207">
        <v>8.25</v>
      </c>
      <c r="E207" s="6">
        <v>0.66</v>
      </c>
    </row>
    <row r="208" spans="1:5" ht="15.75" x14ac:dyDescent="0.25">
      <c r="A208" s="1">
        <v>42795</v>
      </c>
      <c r="B208" s="2">
        <v>613.90322580645159</v>
      </c>
      <c r="C208">
        <v>4.8899999999999997</v>
      </c>
      <c r="D208">
        <v>8.14</v>
      </c>
      <c r="E208" s="6">
        <v>0.79</v>
      </c>
    </row>
    <row r="209" spans="1:5" ht="15.75" x14ac:dyDescent="0.25">
      <c r="A209" s="1">
        <v>42826</v>
      </c>
      <c r="B209" s="2">
        <v>704.7</v>
      </c>
      <c r="C209">
        <v>4.8099999999999996</v>
      </c>
      <c r="D209">
        <v>8.1300000000000008</v>
      </c>
      <c r="E209" s="6">
        <v>0.9</v>
      </c>
    </row>
    <row r="210" spans="1:5" ht="15.75" x14ac:dyDescent="0.25">
      <c r="A210" s="1">
        <v>42856</v>
      </c>
      <c r="B210" s="2">
        <v>665.38709677419354</v>
      </c>
      <c r="C210">
        <v>4.82</v>
      </c>
      <c r="D210">
        <v>7.37</v>
      </c>
      <c r="E210" s="6">
        <v>0.91</v>
      </c>
    </row>
    <row r="211" spans="1:5" ht="15.75" x14ac:dyDescent="0.25">
      <c r="A211" s="1">
        <v>42887</v>
      </c>
      <c r="B211" s="2">
        <v>711.3</v>
      </c>
      <c r="C211">
        <v>4.8</v>
      </c>
      <c r="D211">
        <v>7.72</v>
      </c>
      <c r="E211" s="6">
        <v>1.04</v>
      </c>
    </row>
    <row r="212" spans="1:5" ht="15.75" x14ac:dyDescent="0.25">
      <c r="A212" s="1">
        <v>42917</v>
      </c>
      <c r="B212" s="2">
        <v>689</v>
      </c>
      <c r="C212">
        <v>4.84</v>
      </c>
      <c r="D212">
        <v>8.15</v>
      </c>
      <c r="E212" s="6">
        <v>1.1499999999999999</v>
      </c>
    </row>
    <row r="213" spans="1:5" ht="15.75" x14ac:dyDescent="0.25">
      <c r="A213" s="1">
        <v>42948</v>
      </c>
      <c r="B213" s="2">
        <v>641.06451612903231</v>
      </c>
      <c r="C213">
        <v>4.96</v>
      </c>
      <c r="D213">
        <v>7.58</v>
      </c>
      <c r="E213" s="6">
        <v>1.1599999999999999</v>
      </c>
    </row>
    <row r="214" spans="1:5" ht="15.75" x14ac:dyDescent="0.25">
      <c r="A214" s="1">
        <v>42979</v>
      </c>
      <c r="B214" s="2">
        <v>628.5333333333333</v>
      </c>
      <c r="C214">
        <v>4.97</v>
      </c>
      <c r="D214">
        <v>8.19</v>
      </c>
      <c r="E214" s="6">
        <v>1.1499999999999999</v>
      </c>
    </row>
    <row r="215" spans="1:5" ht="15.75" x14ac:dyDescent="0.25">
      <c r="A215" s="1">
        <v>43009</v>
      </c>
      <c r="B215" s="2">
        <v>572.51612903225805</v>
      </c>
      <c r="C215">
        <v>4.8</v>
      </c>
      <c r="D215">
        <v>7.86</v>
      </c>
      <c r="E215" s="6">
        <v>1.1499999999999999</v>
      </c>
    </row>
    <row r="216" spans="1:5" ht="15.75" x14ac:dyDescent="0.25">
      <c r="A216" s="1">
        <v>43040</v>
      </c>
      <c r="B216" s="2">
        <v>540.73333333333335</v>
      </c>
      <c r="C216">
        <v>4.91</v>
      </c>
      <c r="D216">
        <v>7.79</v>
      </c>
      <c r="E216" s="6">
        <v>1.1599999999999999</v>
      </c>
    </row>
    <row r="217" spans="1:5" ht="15.75" x14ac:dyDescent="0.25">
      <c r="A217" s="1">
        <v>43070</v>
      </c>
      <c r="B217" s="2">
        <v>469.90322580645159</v>
      </c>
      <c r="C217">
        <v>4.95</v>
      </c>
      <c r="D217">
        <v>7.83</v>
      </c>
      <c r="E217" s="6">
        <v>1.3</v>
      </c>
    </row>
    <row r="218" spans="1:5" ht="15.75" x14ac:dyDescent="0.25">
      <c r="A218" s="1">
        <v>43101</v>
      </c>
      <c r="B218" s="3">
        <v>452.06451612903226</v>
      </c>
      <c r="C218">
        <v>4.9800000000000004</v>
      </c>
      <c r="D218">
        <v>7.72</v>
      </c>
      <c r="E218" s="6">
        <v>1.41</v>
      </c>
    </row>
    <row r="219" spans="1:5" ht="15.75" x14ac:dyDescent="0.25">
      <c r="A219" s="1">
        <v>43132</v>
      </c>
      <c r="B219" s="3">
        <v>493.57142857142856</v>
      </c>
      <c r="C219">
        <v>5.0599999999999996</v>
      </c>
      <c r="D219">
        <v>7.41</v>
      </c>
      <c r="E219" s="6">
        <v>1.42</v>
      </c>
    </row>
    <row r="220" spans="1:5" ht="15.75" x14ac:dyDescent="0.25">
      <c r="A220" s="1">
        <v>43160</v>
      </c>
      <c r="B220" s="3">
        <v>546</v>
      </c>
      <c r="C220">
        <v>4.96</v>
      </c>
      <c r="D220">
        <v>7.26</v>
      </c>
      <c r="E220" s="6">
        <v>1.51</v>
      </c>
    </row>
    <row r="221" spans="1:5" ht="15.75" x14ac:dyDescent="0.25">
      <c r="A221" s="1">
        <v>43191</v>
      </c>
      <c r="B221" s="3">
        <v>594</v>
      </c>
      <c r="C221">
        <v>4.99</v>
      </c>
      <c r="D221">
        <v>7.63</v>
      </c>
      <c r="E221" s="6">
        <v>1.69</v>
      </c>
    </row>
    <row r="222" spans="1:5" ht="15.75" x14ac:dyDescent="0.25">
      <c r="A222" s="1">
        <v>43221</v>
      </c>
      <c r="B222" s="3">
        <v>685.35483870967744</v>
      </c>
      <c r="C222">
        <v>4.99</v>
      </c>
      <c r="D222">
        <v>6.67</v>
      </c>
      <c r="E222" s="6">
        <v>1.7</v>
      </c>
    </row>
    <row r="223" spans="1:5" ht="15.75" x14ac:dyDescent="0.25">
      <c r="A223" s="1">
        <v>43252</v>
      </c>
      <c r="B223" s="3">
        <v>712</v>
      </c>
      <c r="C223">
        <v>5.1100000000000003</v>
      </c>
      <c r="D223">
        <v>7.33</v>
      </c>
      <c r="E223" s="6">
        <v>1.82</v>
      </c>
    </row>
    <row r="224" spans="1:5" ht="15.75" x14ac:dyDescent="0.25">
      <c r="A224" s="1">
        <v>43282</v>
      </c>
      <c r="B224" s="3">
        <v>653</v>
      </c>
      <c r="C224">
        <v>5.14</v>
      </c>
      <c r="D224">
        <v>7.48</v>
      </c>
      <c r="E224" s="6">
        <v>1.91</v>
      </c>
    </row>
    <row r="225" spans="1:5" ht="15.75" x14ac:dyDescent="0.25">
      <c r="A225" s="1">
        <v>43313</v>
      </c>
      <c r="B225" s="3">
        <v>678.9677419354839</v>
      </c>
      <c r="C225">
        <v>5.25</v>
      </c>
      <c r="D225">
        <v>7.63</v>
      </c>
      <c r="E225" s="6">
        <v>1.91</v>
      </c>
    </row>
    <row r="226" spans="1:5" ht="15.75" x14ac:dyDescent="0.25">
      <c r="A226" s="1">
        <v>43344</v>
      </c>
      <c r="B226" s="3">
        <v>689</v>
      </c>
      <c r="C226">
        <v>5.08</v>
      </c>
      <c r="D226">
        <v>8.01</v>
      </c>
      <c r="E226" s="6">
        <v>1.95</v>
      </c>
    </row>
    <row r="227" spans="1:5" ht="15.75" x14ac:dyDescent="0.25">
      <c r="A227" s="1">
        <v>43374</v>
      </c>
      <c r="B227" s="3">
        <v>671.70967741935488</v>
      </c>
      <c r="C227">
        <v>5.27</v>
      </c>
      <c r="D227">
        <v>8.34</v>
      </c>
      <c r="E227" s="6">
        <v>2.19</v>
      </c>
    </row>
    <row r="228" spans="1:5" ht="15.75" x14ac:dyDescent="0.25">
      <c r="A228" s="1">
        <v>43405</v>
      </c>
      <c r="B228" s="3">
        <v>745.5333333333333</v>
      </c>
      <c r="C228">
        <v>5.32</v>
      </c>
      <c r="D228">
        <v>8.4700000000000006</v>
      </c>
      <c r="E228" s="6">
        <v>2.2000000000000002</v>
      </c>
    </row>
    <row r="229" spans="1:5" ht="15.75" x14ac:dyDescent="0.25">
      <c r="A229" s="1">
        <v>43435</v>
      </c>
      <c r="B229" s="3">
        <v>766</v>
      </c>
      <c r="C229">
        <v>5.43</v>
      </c>
      <c r="D229">
        <v>8.69</v>
      </c>
      <c r="E229" s="6">
        <v>2.27</v>
      </c>
    </row>
    <row r="230" spans="1:5" ht="15.75" x14ac:dyDescent="0.25">
      <c r="A230" s="1">
        <v>43466</v>
      </c>
      <c r="B230" s="3">
        <v>712</v>
      </c>
      <c r="C230">
        <v>5.62</v>
      </c>
      <c r="D230">
        <v>7.99</v>
      </c>
      <c r="E230" s="6">
        <v>2.4</v>
      </c>
    </row>
    <row r="231" spans="1:5" ht="15.75" x14ac:dyDescent="0.25">
      <c r="A231" s="1">
        <v>43497</v>
      </c>
      <c r="B231" s="3">
        <v>658.89285714285711</v>
      </c>
      <c r="C231">
        <v>5.7</v>
      </c>
      <c r="D231">
        <v>8.82</v>
      </c>
      <c r="E231" s="6">
        <v>2.4</v>
      </c>
    </row>
    <row r="232" spans="1:5" ht="15.75" x14ac:dyDescent="0.25">
      <c r="A232" s="1">
        <v>43525</v>
      </c>
      <c r="B232" s="3">
        <v>611.80645161290317</v>
      </c>
      <c r="C232">
        <v>5.67</v>
      </c>
      <c r="D232">
        <v>8.75</v>
      </c>
      <c r="E232" s="6">
        <v>2.41</v>
      </c>
    </row>
    <row r="233" spans="1:5" ht="15.75" x14ac:dyDescent="0.25">
      <c r="A233" s="1">
        <v>43556</v>
      </c>
      <c r="B233" s="3">
        <v>551.63333333333333</v>
      </c>
      <c r="C233">
        <v>5.84</v>
      </c>
      <c r="D233">
        <v>8.6199999999999992</v>
      </c>
      <c r="E233" s="6">
        <v>2.42</v>
      </c>
    </row>
    <row r="234" spans="1:5" ht="15.75" x14ac:dyDescent="0.25">
      <c r="A234" s="1">
        <v>43586</v>
      </c>
      <c r="B234" s="3">
        <v>573.45161290322585</v>
      </c>
      <c r="C234">
        <v>5.61</v>
      </c>
      <c r="D234">
        <v>8.6199999999999992</v>
      </c>
      <c r="E234" s="6">
        <v>2.39</v>
      </c>
    </row>
    <row r="235" spans="1:5" ht="15.75" x14ac:dyDescent="0.25">
      <c r="A235" s="1">
        <v>43617</v>
      </c>
      <c r="B235" s="3">
        <v>590</v>
      </c>
      <c r="C235">
        <v>5.89</v>
      </c>
      <c r="D235">
        <v>8.02</v>
      </c>
      <c r="E235" s="6">
        <v>2.38</v>
      </c>
    </row>
    <row r="236" spans="1:5" ht="15.75" x14ac:dyDescent="0.25">
      <c r="A236" s="1">
        <v>43647</v>
      </c>
      <c r="B236" s="3">
        <v>577.77419354838707</v>
      </c>
      <c r="C236">
        <v>5.93</v>
      </c>
      <c r="D236">
        <v>8.26</v>
      </c>
      <c r="E236" s="6">
        <v>2.4</v>
      </c>
    </row>
    <row r="237" spans="1:5" ht="15.75" x14ac:dyDescent="0.25">
      <c r="A237" s="1">
        <v>43678</v>
      </c>
      <c r="B237" s="3">
        <v>702.29032258064512</v>
      </c>
      <c r="C237">
        <v>5.92</v>
      </c>
      <c r="D237">
        <v>8.74</v>
      </c>
      <c r="E237" s="6">
        <v>2.13</v>
      </c>
    </row>
    <row r="238" spans="1:5" ht="15.75" x14ac:dyDescent="0.25">
      <c r="A238" s="1">
        <v>43709</v>
      </c>
      <c r="B238" s="3">
        <v>648.23333333333335</v>
      </c>
      <c r="C238">
        <v>5.98</v>
      </c>
      <c r="D238">
        <v>8.65</v>
      </c>
      <c r="E238" s="6">
        <v>2.04</v>
      </c>
    </row>
    <row r="239" spans="1:5" ht="15.75" x14ac:dyDescent="0.25">
      <c r="A239" s="1">
        <v>43739</v>
      </c>
      <c r="B239" s="3">
        <v>762.77419354838707</v>
      </c>
      <c r="C239">
        <v>6.03</v>
      </c>
      <c r="D239">
        <v>8.7899999999999991</v>
      </c>
      <c r="E239" s="6">
        <v>1.83</v>
      </c>
    </row>
    <row r="240" spans="1:5" ht="15.75" x14ac:dyDescent="0.25">
      <c r="A240" s="1">
        <v>43770</v>
      </c>
      <c r="B240" s="3">
        <v>978.9</v>
      </c>
      <c r="C240">
        <v>6.05</v>
      </c>
      <c r="D240">
        <v>8.68</v>
      </c>
      <c r="E240" s="6">
        <v>1.55</v>
      </c>
    </row>
    <row r="241" spans="1:5" ht="15.75" x14ac:dyDescent="0.25">
      <c r="A241" s="1">
        <v>43800</v>
      </c>
      <c r="B241" s="3">
        <v>937.87096774193549</v>
      </c>
      <c r="C241">
        <v>6.17</v>
      </c>
      <c r="D241">
        <v>8.7799999999999994</v>
      </c>
      <c r="E241" s="6">
        <v>1.55</v>
      </c>
    </row>
    <row r="242" spans="1:5" ht="15.75" x14ac:dyDescent="0.25">
      <c r="A242" s="1">
        <v>43831</v>
      </c>
      <c r="B242" s="3">
        <v>858.54838709677415</v>
      </c>
      <c r="C242">
        <v>6.22</v>
      </c>
      <c r="D242">
        <v>8.68</v>
      </c>
      <c r="E242" s="6">
        <v>1.55</v>
      </c>
    </row>
    <row r="243" spans="1:5" ht="15.75" x14ac:dyDescent="0.25">
      <c r="A243" s="1">
        <v>43862</v>
      </c>
      <c r="B243" s="2">
        <v>1179.8620689655172</v>
      </c>
      <c r="C243">
        <v>6.25</v>
      </c>
      <c r="D243">
        <v>8.81</v>
      </c>
      <c r="E243" s="6">
        <v>1.58</v>
      </c>
    </row>
    <row r="244" spans="1:5" ht="15.75" x14ac:dyDescent="0.25">
      <c r="A244" s="1">
        <v>43891</v>
      </c>
      <c r="B244" s="2">
        <v>3580.4193548387098</v>
      </c>
      <c r="C244">
        <v>6.24</v>
      </c>
      <c r="D244">
        <v>8.77</v>
      </c>
      <c r="E244" s="6">
        <v>0.65</v>
      </c>
    </row>
    <row r="245" spans="1:5" ht="15.75" x14ac:dyDescent="0.25">
      <c r="A245" s="1">
        <v>43922</v>
      </c>
      <c r="B245" s="4">
        <v>5032.7</v>
      </c>
      <c r="C245">
        <v>7.24</v>
      </c>
      <c r="D245">
        <v>8.4</v>
      </c>
      <c r="E245" s="6">
        <v>0.05</v>
      </c>
    </row>
    <row r="246" spans="1:5" ht="15.75" x14ac:dyDescent="0.25">
      <c r="A246" s="1">
        <v>43952</v>
      </c>
      <c r="B246" s="4">
        <v>4304.9677419354839</v>
      </c>
      <c r="C246">
        <v>5.97</v>
      </c>
      <c r="D246">
        <v>8.98</v>
      </c>
      <c r="E246" s="6">
        <v>0.05</v>
      </c>
    </row>
    <row r="247" spans="1:5" ht="15.75" x14ac:dyDescent="0.25">
      <c r="A247" s="1">
        <v>43983</v>
      </c>
      <c r="B247" s="4">
        <v>3287.4666666666667</v>
      </c>
      <c r="C247">
        <v>5.98</v>
      </c>
      <c r="D247">
        <v>9.1</v>
      </c>
      <c r="E247" s="6">
        <v>0.08</v>
      </c>
    </row>
    <row r="248" spans="1:5" ht="15.75" x14ac:dyDescent="0.25">
      <c r="A248" s="1">
        <v>44013</v>
      </c>
      <c r="B248" s="4">
        <v>2862.3548387096776</v>
      </c>
      <c r="C248">
        <v>6.24</v>
      </c>
      <c r="D248">
        <v>9.1199999999999992</v>
      </c>
      <c r="E248" s="6">
        <v>0.09</v>
      </c>
    </row>
    <row r="249" spans="1:5" ht="15.75" x14ac:dyDescent="0.25">
      <c r="A249" s="1">
        <v>44044</v>
      </c>
      <c r="B249" s="4">
        <v>2779.6129032258063</v>
      </c>
      <c r="C249">
        <v>6.37</v>
      </c>
      <c r="D249">
        <v>9.0299999999999994</v>
      </c>
      <c r="E249" s="6">
        <v>0.1</v>
      </c>
    </row>
    <row r="250" spans="1:5" ht="15.75" x14ac:dyDescent="0.25">
      <c r="A250" s="1">
        <v>44075</v>
      </c>
      <c r="B250" s="4">
        <v>1413.4333333333334</v>
      </c>
      <c r="C250">
        <v>6.36</v>
      </c>
      <c r="D250">
        <v>9.02</v>
      </c>
      <c r="E250" s="6">
        <v>0.09</v>
      </c>
    </row>
    <row r="251" spans="1:5" ht="15.75" x14ac:dyDescent="0.25">
      <c r="A251" s="1">
        <v>44105</v>
      </c>
      <c r="B251" s="4">
        <v>982.83870967741939</v>
      </c>
      <c r="C251">
        <v>6.31</v>
      </c>
      <c r="D251">
        <v>8.9600000000000009</v>
      </c>
      <c r="E251" s="6">
        <v>0.09</v>
      </c>
    </row>
    <row r="252" spans="1:5" ht="15.75" x14ac:dyDescent="0.25">
      <c r="A252" s="1">
        <v>44136</v>
      </c>
      <c r="B252" s="4">
        <v>1028.2333333333333</v>
      </c>
      <c r="C252">
        <v>6.07</v>
      </c>
      <c r="D252">
        <v>8.83</v>
      </c>
      <c r="E252" s="6">
        <v>0.09</v>
      </c>
    </row>
    <row r="253" spans="1:5" ht="15.75" x14ac:dyDescent="0.25">
      <c r="A253" s="1">
        <v>44166</v>
      </c>
      <c r="B253" s="4">
        <v>1041.0645161290322</v>
      </c>
      <c r="C253">
        <v>5.89</v>
      </c>
      <c r="D253">
        <v>8.5</v>
      </c>
      <c r="E253" s="6">
        <v>0.09</v>
      </c>
    </row>
    <row r="254" spans="1:5" ht="15.75" x14ac:dyDescent="0.25">
      <c r="A254" s="1">
        <v>44197</v>
      </c>
      <c r="B254" s="5">
        <v>1181.6774193548388</v>
      </c>
      <c r="C254">
        <v>5.82</v>
      </c>
      <c r="D254">
        <v>8.58</v>
      </c>
      <c r="E254" s="6">
        <v>0.09</v>
      </c>
    </row>
    <row r="255" spans="1:5" ht="15.75" x14ac:dyDescent="0.25">
      <c r="A255" s="1">
        <v>44228</v>
      </c>
      <c r="B255" s="5">
        <v>1202.1428571428571</v>
      </c>
      <c r="C255">
        <v>5.7</v>
      </c>
      <c r="D255">
        <v>8.3800000000000008</v>
      </c>
      <c r="E255" s="6">
        <v>0.08</v>
      </c>
    </row>
    <row r="256" spans="1:5" ht="15.75" x14ac:dyDescent="0.25">
      <c r="A256" s="1">
        <v>44256</v>
      </c>
      <c r="B256" s="5">
        <v>1263.5806451612902</v>
      </c>
      <c r="C256">
        <v>5.53</v>
      </c>
      <c r="D256">
        <v>8.1199999999999992</v>
      </c>
      <c r="E256" s="6">
        <v>7.0000000000000007E-2</v>
      </c>
    </row>
    <row r="257" spans="1:5" ht="15.75" x14ac:dyDescent="0.25">
      <c r="A257" s="1">
        <v>44287</v>
      </c>
      <c r="B257" s="5">
        <v>937.26666666666665</v>
      </c>
      <c r="C257">
        <v>5.55</v>
      </c>
      <c r="D257">
        <v>8.2799999999999994</v>
      </c>
      <c r="E257" s="6">
        <v>7.0000000000000007E-2</v>
      </c>
    </row>
    <row r="258" spans="1:5" ht="15.75" x14ac:dyDescent="0.25">
      <c r="A258" s="1">
        <v>44317</v>
      </c>
      <c r="B258" s="5">
        <v>735.09677419354841</v>
      </c>
      <c r="C258">
        <v>5.54</v>
      </c>
      <c r="D258">
        <v>9.33</v>
      </c>
      <c r="E258" s="6">
        <v>0.06</v>
      </c>
    </row>
    <row r="259" spans="1:5" ht="15.75" x14ac:dyDescent="0.25">
      <c r="A259" s="1">
        <v>44348</v>
      </c>
      <c r="B259" s="5">
        <v>757.43333333333328</v>
      </c>
      <c r="C259">
        <v>5.51</v>
      </c>
      <c r="D259">
        <v>8.06</v>
      </c>
      <c r="E259" s="6">
        <v>0.08</v>
      </c>
    </row>
    <row r="260" spans="1:5" ht="15.75" x14ac:dyDescent="0.25">
      <c r="A260" s="1">
        <v>44378</v>
      </c>
      <c r="B260" s="5">
        <v>776.80645161290317</v>
      </c>
      <c r="C260">
        <v>5.66</v>
      </c>
      <c r="D260">
        <v>8.1199999999999992</v>
      </c>
      <c r="E260" s="6">
        <v>0.1</v>
      </c>
    </row>
    <row r="261" spans="1:5" ht="15.75" x14ac:dyDescent="0.25">
      <c r="A261" s="1">
        <v>44409</v>
      </c>
      <c r="B261" s="5">
        <v>792.80645161290317</v>
      </c>
      <c r="C261">
        <v>5.52</v>
      </c>
      <c r="D261">
        <v>7.87</v>
      </c>
      <c r="E261" s="6">
        <v>0.09</v>
      </c>
    </row>
    <row r="262" spans="1:5" ht="15.75" x14ac:dyDescent="0.25">
      <c r="A262" s="1">
        <v>44440</v>
      </c>
      <c r="B262" s="5">
        <v>797.1</v>
      </c>
      <c r="C262">
        <v>5.51</v>
      </c>
      <c r="D262">
        <v>7.57</v>
      </c>
      <c r="E262" s="6">
        <v>0.08</v>
      </c>
    </row>
    <row r="263" spans="1:5" ht="15.75" x14ac:dyDescent="0.25">
      <c r="A263" s="1">
        <v>44470</v>
      </c>
      <c r="B263" s="5">
        <v>825.41935483870964</v>
      </c>
      <c r="C263">
        <v>5.47</v>
      </c>
      <c r="D263">
        <v>7.49</v>
      </c>
      <c r="E263" s="6">
        <v>0.08</v>
      </c>
    </row>
    <row r="264" spans="1:5" ht="15.75" x14ac:dyDescent="0.25">
      <c r="A264" s="1">
        <v>44501</v>
      </c>
      <c r="B264" s="5">
        <v>833.83333333333337</v>
      </c>
      <c r="C264">
        <v>5.48</v>
      </c>
      <c r="D264">
        <v>7.64</v>
      </c>
      <c r="E264" s="6">
        <v>0.08</v>
      </c>
    </row>
    <row r="265" spans="1:5" ht="15.75" x14ac:dyDescent="0.25">
      <c r="A265" s="1">
        <v>44531</v>
      </c>
      <c r="B265" s="5">
        <v>867.0322580645161</v>
      </c>
      <c r="C265">
        <v>5.91</v>
      </c>
      <c r="D265">
        <v>7.44</v>
      </c>
      <c r="E265" s="6">
        <v>0.08</v>
      </c>
    </row>
    <row r="266" spans="1:5" ht="15.75" x14ac:dyDescent="0.25">
      <c r="A266" s="1">
        <v>44562</v>
      </c>
      <c r="B266" s="7">
        <v>818</v>
      </c>
      <c r="C266">
        <v>5.57</v>
      </c>
      <c r="D266">
        <v>7.39</v>
      </c>
      <c r="E266" s="6">
        <v>0.08</v>
      </c>
    </row>
    <row r="267" spans="1:5" ht="15.75" x14ac:dyDescent="0.25">
      <c r="A267" s="1">
        <v>44593</v>
      </c>
      <c r="B267" s="7">
        <v>761</v>
      </c>
      <c r="C267">
        <v>5.71</v>
      </c>
      <c r="D267">
        <v>7.38</v>
      </c>
      <c r="E267" s="6">
        <v>0.08</v>
      </c>
    </row>
    <row r="268" spans="1:5" ht="15.75" x14ac:dyDescent="0.25">
      <c r="A268" s="1">
        <v>44621</v>
      </c>
      <c r="B268" s="7">
        <v>792</v>
      </c>
      <c r="C268">
        <v>5.51</v>
      </c>
      <c r="D268">
        <v>7.23</v>
      </c>
      <c r="E268" s="6">
        <v>0.2</v>
      </c>
    </row>
    <row r="269" spans="1:5" ht="15.75" x14ac:dyDescent="0.25">
      <c r="A269" s="1">
        <v>44652</v>
      </c>
      <c r="B269" s="7">
        <v>803</v>
      </c>
      <c r="C269">
        <v>5.79</v>
      </c>
      <c r="D269">
        <v>7.04</v>
      </c>
      <c r="E269" s="6">
        <v>0.33</v>
      </c>
    </row>
    <row r="270" spans="1:5" ht="15.75" x14ac:dyDescent="0.25">
      <c r="A270" s="1">
        <v>44682</v>
      </c>
      <c r="B270" s="7">
        <v>805</v>
      </c>
      <c r="C270">
        <v>5.54</v>
      </c>
      <c r="D270">
        <v>6.74</v>
      </c>
      <c r="E270" s="6">
        <v>0.77</v>
      </c>
    </row>
    <row r="271" spans="1:5" ht="15.75" x14ac:dyDescent="0.25">
      <c r="A271" s="1">
        <v>44713</v>
      </c>
      <c r="B271" s="7">
        <v>960</v>
      </c>
      <c r="C271">
        <v>6.1</v>
      </c>
      <c r="D271">
        <v>7.11</v>
      </c>
      <c r="E271" s="6">
        <v>1.21</v>
      </c>
    </row>
    <row r="272" spans="1:5" ht="15.75" x14ac:dyDescent="0.25">
      <c r="A272" s="1">
        <v>44743</v>
      </c>
      <c r="B272" s="8">
        <v>1344</v>
      </c>
      <c r="C272">
        <v>5.67</v>
      </c>
      <c r="D272">
        <v>7.31</v>
      </c>
      <c r="E272" s="6">
        <v>1.68</v>
      </c>
    </row>
    <row r="273" spans="1:5" ht="15.75" x14ac:dyDescent="0.25">
      <c r="A273" s="1">
        <v>44774</v>
      </c>
      <c r="B273" s="8">
        <v>1427</v>
      </c>
      <c r="C273">
        <v>5.76</v>
      </c>
      <c r="D273">
        <v>8.09</v>
      </c>
      <c r="E273" s="6">
        <v>2.33</v>
      </c>
    </row>
    <row r="274" spans="1:5" ht="15.75" x14ac:dyDescent="0.25">
      <c r="A274" s="1">
        <v>44805</v>
      </c>
      <c r="B274" s="8">
        <v>1540</v>
      </c>
      <c r="C274">
        <v>5.93</v>
      </c>
      <c r="D274">
        <v>8.4499999999999993</v>
      </c>
      <c r="E274" s="6">
        <v>2.56</v>
      </c>
    </row>
    <row r="275" spans="1:5" ht="15.75" x14ac:dyDescent="0.25">
      <c r="A275" s="1">
        <v>44835</v>
      </c>
      <c r="B275" s="8">
        <v>1682</v>
      </c>
      <c r="C275">
        <v>6.13</v>
      </c>
      <c r="D275">
        <v>8.35</v>
      </c>
      <c r="E275" s="6">
        <v>3.08</v>
      </c>
    </row>
    <row r="276" spans="1:5" ht="15.75" x14ac:dyDescent="0.25">
      <c r="A276" s="1">
        <v>44866</v>
      </c>
      <c r="B276" s="8">
        <v>1413</v>
      </c>
      <c r="C276">
        <v>6.26</v>
      </c>
      <c r="D276">
        <v>8.49</v>
      </c>
      <c r="E276" s="6">
        <v>3.78</v>
      </c>
    </row>
    <row r="277" spans="1:5" ht="15.75" x14ac:dyDescent="0.25">
      <c r="A277" s="1">
        <v>44896</v>
      </c>
      <c r="B277" s="8">
        <v>1294</v>
      </c>
      <c r="C277">
        <v>6.35</v>
      </c>
      <c r="D277">
        <v>8.48</v>
      </c>
      <c r="E277" s="6">
        <v>4.0999999999999996</v>
      </c>
    </row>
    <row r="278" spans="1:5" ht="15.75" x14ac:dyDescent="0.25">
      <c r="A278" s="1">
        <v>44927</v>
      </c>
      <c r="B278" s="9">
        <v>1130</v>
      </c>
      <c r="C278">
        <v>6.65</v>
      </c>
      <c r="D278">
        <v>8.5399999999999991</v>
      </c>
      <c r="E278" s="6">
        <v>4.33</v>
      </c>
    </row>
    <row r="279" spans="1:5" ht="15.75" x14ac:dyDescent="0.25">
      <c r="A279" s="1">
        <v>44958</v>
      </c>
      <c r="B279" s="9">
        <v>1505</v>
      </c>
      <c r="C279">
        <v>6.8</v>
      </c>
      <c r="D279">
        <v>8.7799999999999994</v>
      </c>
      <c r="E279" s="6">
        <v>4.57</v>
      </c>
    </row>
    <row r="280" spans="1:5" ht="15.75" x14ac:dyDescent="0.25">
      <c r="A280" s="1">
        <v>44986</v>
      </c>
      <c r="B280" s="9">
        <v>1796</v>
      </c>
      <c r="C280">
        <v>6.92</v>
      </c>
      <c r="D280">
        <v>8.9600000000000009</v>
      </c>
      <c r="E280" s="6">
        <v>4.6500000000000004</v>
      </c>
    </row>
    <row r="281" spans="1:5" ht="15.75" x14ac:dyDescent="0.25">
      <c r="A281" s="1">
        <v>45017</v>
      </c>
      <c r="B281" s="9">
        <v>1892</v>
      </c>
      <c r="C281">
        <v>6.97</v>
      </c>
      <c r="D281">
        <v>9.0399999999999991</v>
      </c>
      <c r="E281" s="6">
        <v>4.83</v>
      </c>
    </row>
    <row r="282" spans="1:5" ht="15.75" x14ac:dyDescent="0.25">
      <c r="A282" s="1">
        <v>45047</v>
      </c>
      <c r="B282" s="9">
        <v>1780</v>
      </c>
      <c r="C282">
        <v>6.86</v>
      </c>
      <c r="D282">
        <v>8.9600000000000009</v>
      </c>
      <c r="E282" s="6">
        <v>5.0599999999999996</v>
      </c>
    </row>
    <row r="283" spans="1:5" ht="15.75" x14ac:dyDescent="0.25">
      <c r="A283" s="1">
        <v>45078</v>
      </c>
      <c r="B283" s="9">
        <v>1877</v>
      </c>
      <c r="C283">
        <v>7.03</v>
      </c>
      <c r="D283">
        <v>9.0299999999999994</v>
      </c>
      <c r="E283" s="6">
        <v>5.08</v>
      </c>
    </row>
    <row r="284" spans="1:5" ht="15.75" x14ac:dyDescent="0.25">
      <c r="A284" s="1">
        <v>45108</v>
      </c>
      <c r="B284" s="9">
        <v>1861</v>
      </c>
      <c r="C284">
        <v>7.13</v>
      </c>
      <c r="D284">
        <v>9.02</v>
      </c>
      <c r="E284" s="6">
        <v>5.12</v>
      </c>
    </row>
    <row r="285" spans="1:5" ht="15.75" x14ac:dyDescent="0.25">
      <c r="A285" s="1">
        <v>45139</v>
      </c>
      <c r="B285" s="9">
        <v>1860</v>
      </c>
      <c r="C285">
        <v>7.31</v>
      </c>
      <c r="D285">
        <v>9.2899999999999991</v>
      </c>
      <c r="E285" s="6">
        <v>5.33</v>
      </c>
    </row>
    <row r="286" spans="1:5" ht="15.75" x14ac:dyDescent="0.25">
      <c r="A286" s="1">
        <v>45170</v>
      </c>
      <c r="B286" s="9">
        <v>1782</v>
      </c>
      <c r="C286">
        <v>7.4</v>
      </c>
      <c r="D286">
        <v>9.49</v>
      </c>
      <c r="E286" s="6">
        <v>5.33</v>
      </c>
    </row>
    <row r="287" spans="1:5" ht="15.75" x14ac:dyDescent="0.25">
      <c r="A287" s="1">
        <v>45200</v>
      </c>
      <c r="B287" s="9">
        <v>1792</v>
      </c>
      <c r="C287">
        <v>7.51</v>
      </c>
      <c r="D287">
        <v>9.48</v>
      </c>
      <c r="E287" s="6">
        <v>5.33</v>
      </c>
    </row>
    <row r="288" spans="1:5" ht="15.75" x14ac:dyDescent="0.25">
      <c r="A288" s="1">
        <v>45231</v>
      </c>
      <c r="B288" s="9">
        <v>1921</v>
      </c>
      <c r="C288">
        <v>7.52</v>
      </c>
      <c r="D288">
        <v>9.8000000000000007</v>
      </c>
      <c r="E288" s="6">
        <v>5.33</v>
      </c>
    </row>
    <row r="289" spans="1:5" ht="15.75" x14ac:dyDescent="0.25">
      <c r="A289" s="1">
        <v>45261</v>
      </c>
      <c r="B289" s="9">
        <v>2069</v>
      </c>
      <c r="C289">
        <v>7.7</v>
      </c>
      <c r="D289">
        <v>9.94</v>
      </c>
      <c r="E289" s="6">
        <v>5.33</v>
      </c>
    </row>
    <row r="290" spans="1:5" ht="15.75" x14ac:dyDescent="0.25">
      <c r="A290" s="1">
        <v>45292</v>
      </c>
      <c r="B290" s="8">
        <v>1884</v>
      </c>
      <c r="C290">
        <v>7.74</v>
      </c>
      <c r="D290">
        <v>10.14</v>
      </c>
      <c r="E290" s="6">
        <v>5.33</v>
      </c>
    </row>
    <row r="291" spans="1:5" ht="15.75" x14ac:dyDescent="0.25">
      <c r="A291" s="1">
        <v>45323</v>
      </c>
      <c r="B291" s="8">
        <v>1570</v>
      </c>
      <c r="C291">
        <v>7.95</v>
      </c>
      <c r="D291">
        <v>10.34</v>
      </c>
      <c r="E291" s="6">
        <v>5.33</v>
      </c>
    </row>
    <row r="292" spans="1:5" ht="15.75" x14ac:dyDescent="0.25">
      <c r="A292" s="1">
        <v>45352</v>
      </c>
      <c r="B292" s="8">
        <v>1257</v>
      </c>
      <c r="C292">
        <v>7.93</v>
      </c>
      <c r="D292">
        <v>10.53</v>
      </c>
      <c r="E292" s="6">
        <v>5.33</v>
      </c>
    </row>
    <row r="293" spans="1:5" ht="15.75" x14ac:dyDescent="0.25">
      <c r="A293" s="1">
        <v>45383</v>
      </c>
      <c r="B293" s="8">
        <v>1175</v>
      </c>
      <c r="C293">
        <v>8.11</v>
      </c>
      <c r="D293">
        <v>10.87</v>
      </c>
      <c r="E293" s="6">
        <v>5.33</v>
      </c>
    </row>
    <row r="294" spans="1:5" ht="15.75" x14ac:dyDescent="0.25">
      <c r="A294" s="1">
        <v>45413</v>
      </c>
      <c r="B294" s="8">
        <v>1206</v>
      </c>
      <c r="C294">
        <v>8.27</v>
      </c>
      <c r="D294">
        <v>11.12</v>
      </c>
      <c r="E294" s="6">
        <v>5.33</v>
      </c>
    </row>
    <row r="295" spans="1:5" ht="15.75" x14ac:dyDescent="0.25">
      <c r="A295" s="1">
        <v>45444</v>
      </c>
      <c r="B295" s="8">
        <v>1367</v>
      </c>
      <c r="C295">
        <v>8.44</v>
      </c>
      <c r="D295">
        <v>11.4</v>
      </c>
      <c r="E295" s="6">
        <v>5.33</v>
      </c>
    </row>
    <row r="296" spans="1:5" ht="15.75" x14ac:dyDescent="0.25">
      <c r="A296" s="1">
        <v>45474</v>
      </c>
      <c r="B296" s="8">
        <v>1322</v>
      </c>
      <c r="C296">
        <v>8.4499999999999993</v>
      </c>
      <c r="D296">
        <v>11.63</v>
      </c>
      <c r="E296" s="6">
        <v>5.33</v>
      </c>
    </row>
    <row r="297" spans="1:5" ht="15.75" x14ac:dyDescent="0.25">
      <c r="A297" s="1">
        <v>45505</v>
      </c>
      <c r="B297" s="8">
        <v>1339</v>
      </c>
      <c r="C297">
        <v>8.3699999999999992</v>
      </c>
      <c r="D297">
        <v>11.12</v>
      </c>
      <c r="E297" s="6">
        <v>5.33</v>
      </c>
    </row>
    <row r="298" spans="1:5" ht="15.75" x14ac:dyDescent="0.25">
      <c r="A298" s="1">
        <v>45536</v>
      </c>
      <c r="B298" s="8">
        <v>1211</v>
      </c>
      <c r="C298">
        <v>8.25</v>
      </c>
      <c r="D298">
        <v>11.68</v>
      </c>
      <c r="E298" s="6">
        <v>5.13</v>
      </c>
    </row>
    <row r="299" spans="1:5" ht="15.75" x14ac:dyDescent="0.25">
      <c r="A299" s="1">
        <v>45566</v>
      </c>
      <c r="B299" s="8">
        <v>1250</v>
      </c>
      <c r="C299">
        <v>7.85</v>
      </c>
      <c r="D299">
        <v>11.25</v>
      </c>
      <c r="E299" s="6">
        <v>4.83</v>
      </c>
    </row>
    <row r="300" spans="1:5" x14ac:dyDescent="0.25">
      <c r="A300" s="1">
        <v>45597</v>
      </c>
      <c r="B300">
        <v>1278</v>
      </c>
      <c r="C300">
        <v>7.59</v>
      </c>
      <c r="D300">
        <v>10.73</v>
      </c>
      <c r="E300" s="6">
        <v>4.6399999999999997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7996-353D-4740-A9CF-76CA0015B853}">
  <dimension ref="A2:E63"/>
  <sheetViews>
    <sheetView workbookViewId="0">
      <selection activeCell="G31" sqref="G31"/>
    </sheetView>
  </sheetViews>
  <sheetFormatPr defaultRowHeight="15" x14ac:dyDescent="0.25"/>
  <cols>
    <col min="4" max="4" width="12" bestFit="1" customWidth="1"/>
  </cols>
  <sheetData>
    <row r="2" spans="1:5" x14ac:dyDescent="0.25">
      <c r="A2" t="s">
        <v>13</v>
      </c>
    </row>
    <row r="3" spans="1:5" x14ac:dyDescent="0.25">
      <c r="A3" t="s">
        <v>5</v>
      </c>
      <c r="B3" t="s">
        <v>6</v>
      </c>
      <c r="C3" t="s">
        <v>3</v>
      </c>
      <c r="D3" t="s">
        <v>6</v>
      </c>
      <c r="E3" t="s">
        <v>3</v>
      </c>
    </row>
    <row r="4" spans="1:5" x14ac:dyDescent="0.25">
      <c r="D4" t="s">
        <v>14</v>
      </c>
      <c r="E4" t="s">
        <v>15</v>
      </c>
    </row>
    <row r="5" spans="1:5" x14ac:dyDescent="0.25">
      <c r="A5">
        <v>1</v>
      </c>
      <c r="B5">
        <v>7.1019879964268097E-3</v>
      </c>
      <c r="C5">
        <v>-1.20247004693315E-2</v>
      </c>
      <c r="D5">
        <f>B5/7.8208</f>
        <v>9.0808970903575204E-4</v>
      </c>
      <c r="E5">
        <f>C5/1.65806</f>
        <v>-7.2522710090898394E-3</v>
      </c>
    </row>
    <row r="6" spans="1:5" x14ac:dyDescent="0.25">
      <c r="A6">
        <v>2</v>
      </c>
      <c r="B6">
        <v>4.8864804694641301E-2</v>
      </c>
      <c r="C6">
        <v>-3.45939777764478E-2</v>
      </c>
      <c r="D6">
        <f>B6/7.8208</f>
        <v>6.2480570650881367E-3</v>
      </c>
      <c r="E6">
        <f>C6/1.65806</f>
        <v>-2.0864129028170149E-2</v>
      </c>
    </row>
    <row r="7" spans="1:5" x14ac:dyDescent="0.25">
      <c r="A7">
        <v>3</v>
      </c>
      <c r="B7">
        <v>2.65027394004607E-2</v>
      </c>
      <c r="C7">
        <v>1.55688607258079E-2</v>
      </c>
      <c r="D7">
        <f>B7/7.8208</f>
        <v>3.3887504347970411E-3</v>
      </c>
      <c r="E7">
        <f>C7/1.65806</f>
        <v>9.3898053905213923E-3</v>
      </c>
    </row>
    <row r="8" spans="1:5" x14ac:dyDescent="0.25">
      <c r="A8">
        <v>4</v>
      </c>
      <c r="B8">
        <v>2.6150652769894499E-2</v>
      </c>
      <c r="C8">
        <v>1.5702122600196301E-2</v>
      </c>
      <c r="D8">
        <f>B8/7.8208</f>
        <v>3.3437311745466575E-3</v>
      </c>
      <c r="E8">
        <f>C8/1.65806</f>
        <v>9.4701775570222423E-3</v>
      </c>
    </row>
    <row r="9" spans="1:5" x14ac:dyDescent="0.25">
      <c r="A9">
        <v>5</v>
      </c>
      <c r="B9">
        <v>4.62025075124088E-2</v>
      </c>
      <c r="C9">
        <v>1.5807785197831999E-2</v>
      </c>
      <c r="D9">
        <f>B9/7.8208</f>
        <v>5.9076446798804211E-3</v>
      </c>
      <c r="E9">
        <f>C9/1.65806</f>
        <v>9.533904199987937E-3</v>
      </c>
    </row>
    <row r="10" spans="1:5" x14ac:dyDescent="0.25">
      <c r="A10">
        <v>6</v>
      </c>
      <c r="B10">
        <v>6.4224912557104205E-2</v>
      </c>
      <c r="C10">
        <v>1.5895546224937499E-2</v>
      </c>
      <c r="D10">
        <f>B10/7.8208</f>
        <v>8.212064310186196E-3</v>
      </c>
      <c r="E10">
        <f>C10/1.65806</f>
        <v>9.5868341464949991E-3</v>
      </c>
    </row>
    <row r="11" spans="1:5" x14ac:dyDescent="0.25">
      <c r="A11">
        <v>7</v>
      </c>
      <c r="B11">
        <v>7.4117108347501501E-2</v>
      </c>
      <c r="C11">
        <v>2.3673055741298899E-2</v>
      </c>
      <c r="D11">
        <f>B11/7.8208</f>
        <v>9.4769215869861777E-3</v>
      </c>
      <c r="E11">
        <f>C11/1.65806</f>
        <v>1.4277562778969939E-2</v>
      </c>
    </row>
    <row r="12" spans="1:5" x14ac:dyDescent="0.25">
      <c r="A12">
        <v>8</v>
      </c>
      <c r="B12">
        <v>8.3944688828279102E-2</v>
      </c>
      <c r="C12">
        <v>3.2938018966841301E-2</v>
      </c>
      <c r="D12">
        <f>B12/7.8208</f>
        <v>1.0733516881684623E-2</v>
      </c>
      <c r="E12">
        <f>C12/1.65806</f>
        <v>1.9865396286528413E-2</v>
      </c>
    </row>
    <row r="13" spans="1:5" x14ac:dyDescent="0.25">
      <c r="A13">
        <v>9</v>
      </c>
      <c r="B13">
        <v>9.2378029866045402E-2</v>
      </c>
      <c r="C13">
        <v>4.2410083230310099E-2</v>
      </c>
      <c r="D13">
        <f>B13/7.8208</f>
        <v>1.18118389251797E-2</v>
      </c>
      <c r="E13">
        <f>C13/1.65806</f>
        <v>2.5578135429544225E-2</v>
      </c>
    </row>
    <row r="14" spans="1:5" x14ac:dyDescent="0.25">
      <c r="A14">
        <v>10</v>
      </c>
      <c r="B14">
        <v>9.6121916773103E-2</v>
      </c>
      <c r="C14">
        <v>5.3642937169722002E-2</v>
      </c>
      <c r="D14">
        <f>B14/7.8208</f>
        <v>1.2290547868901262E-2</v>
      </c>
      <c r="E14">
        <f>C14/1.65806</f>
        <v>3.2352832327974861E-2</v>
      </c>
    </row>
    <row r="15" spans="1:5" x14ac:dyDescent="0.25">
      <c r="A15">
        <v>11</v>
      </c>
      <c r="B15">
        <v>9.5672614551223001E-2</v>
      </c>
      <c r="C15">
        <v>6.7369116434345899E-2</v>
      </c>
      <c r="D15">
        <f>B15/7.8208</f>
        <v>1.2233098219008668E-2</v>
      </c>
      <c r="E15">
        <f>C15/1.65806</f>
        <v>4.0631289841348263E-2</v>
      </c>
    </row>
    <row r="16" spans="1:5" x14ac:dyDescent="0.25">
      <c r="A16">
        <v>12</v>
      </c>
      <c r="B16">
        <v>9.2444677461833005E-2</v>
      </c>
      <c r="C16">
        <v>8.17861009545469E-2</v>
      </c>
      <c r="D16">
        <f>B16/7.8208</f>
        <v>1.1820360763839122E-2</v>
      </c>
      <c r="E16">
        <f>C16/1.65806</f>
        <v>4.932638200942481E-2</v>
      </c>
    </row>
    <row r="17" spans="1:5" x14ac:dyDescent="0.25">
      <c r="A17">
        <v>13</v>
      </c>
      <c r="B17">
        <v>8.6789774364795097E-2</v>
      </c>
      <c r="C17">
        <v>9.5825179719438006E-2</v>
      </c>
      <c r="D17">
        <f>B17/7.8208</f>
        <v>1.1097301345744054E-2</v>
      </c>
      <c r="E17">
        <f>C17/1.65806</f>
        <v>5.7793553743192644E-2</v>
      </c>
    </row>
    <row r="18" spans="1:5" x14ac:dyDescent="0.25">
      <c r="A18">
        <v>14</v>
      </c>
      <c r="B18">
        <v>7.9056512979266705E-2</v>
      </c>
      <c r="C18">
        <v>0.10935478627265401</v>
      </c>
      <c r="D18">
        <f>B18/7.8208</f>
        <v>1.0108494396898872E-2</v>
      </c>
      <c r="E18">
        <f>C18/1.65806</f>
        <v>6.5953455407315772E-2</v>
      </c>
    </row>
    <row r="19" spans="1:5" x14ac:dyDescent="0.25">
      <c r="A19">
        <v>15</v>
      </c>
      <c r="B19">
        <v>7.0019411893137595E-2</v>
      </c>
      <c r="C19">
        <v>0.121934315900219</v>
      </c>
      <c r="D19">
        <f>B19/7.8208</f>
        <v>8.9529730837174699E-3</v>
      </c>
      <c r="E19">
        <f>C19/1.65806</f>
        <v>7.3540351917433022E-2</v>
      </c>
    </row>
    <row r="20" spans="1:5" x14ac:dyDescent="0.25">
      <c r="A20">
        <v>16</v>
      </c>
      <c r="B20">
        <v>6.0379439125098099E-2</v>
      </c>
      <c r="C20">
        <v>0.13293791942413999</v>
      </c>
      <c r="D20">
        <f>B20/7.8208</f>
        <v>7.7203660910773958E-3</v>
      </c>
      <c r="E20">
        <f>C20/1.65806</f>
        <v>8.017678457000349E-2</v>
      </c>
    </row>
    <row r="21" spans="1:5" x14ac:dyDescent="0.25">
      <c r="A21">
        <v>17</v>
      </c>
      <c r="B21">
        <v>5.0610298186445697E-2</v>
      </c>
      <c r="C21">
        <v>0.14205784878244501</v>
      </c>
      <c r="D21">
        <f>B21/7.8208</f>
        <v>6.4712431191752372E-3</v>
      </c>
      <c r="E21">
        <f>C21/1.65806</f>
        <v>8.5677146051677866E-2</v>
      </c>
    </row>
    <row r="22" spans="1:5" x14ac:dyDescent="0.25">
      <c r="A22">
        <v>18</v>
      </c>
      <c r="B22">
        <v>4.1105358048970503E-2</v>
      </c>
      <c r="C22">
        <v>0.149197949750488</v>
      </c>
      <c r="D22">
        <f>B22/7.8208</f>
        <v>5.2559019600258924E-3</v>
      </c>
      <c r="E22">
        <f>C22/1.65806</f>
        <v>8.9983444356952103E-2</v>
      </c>
    </row>
    <row r="23" spans="1:5" x14ac:dyDescent="0.25">
      <c r="A23">
        <v>19</v>
      </c>
      <c r="B23">
        <v>3.2199189460317502E-2</v>
      </c>
      <c r="C23">
        <v>0.15429067772779001</v>
      </c>
      <c r="D23">
        <f>B23/7.8208</f>
        <v>4.1171222202738217E-3</v>
      </c>
      <c r="E23">
        <f>C23/1.65806</f>
        <v>9.3054942359015957E-2</v>
      </c>
    </row>
    <row r="24" spans="1:5" x14ac:dyDescent="0.25">
      <c r="A24">
        <v>20</v>
      </c>
      <c r="B24">
        <v>2.4114951572285399E-2</v>
      </c>
      <c r="C24">
        <v>0.157340647448386</v>
      </c>
      <c r="D24">
        <f>B24/7.8208</f>
        <v>3.0834379567672614E-3</v>
      </c>
      <c r="E24">
        <f>C24/1.65806</f>
        <v>9.4894423270802011E-2</v>
      </c>
    </row>
    <row r="25" spans="1:5" x14ac:dyDescent="0.25">
      <c r="A25">
        <v>21</v>
      </c>
      <c r="B25">
        <v>1.6973217753606398E-2</v>
      </c>
      <c r="C25">
        <v>0.15845875144157701</v>
      </c>
      <c r="D25">
        <f>B25/7.8208</f>
        <v>2.1702661816702124E-3</v>
      </c>
      <c r="E25">
        <f>C25/1.65806</f>
        <v>9.556876798280943E-2</v>
      </c>
    </row>
    <row r="26" spans="1:5" x14ac:dyDescent="0.25">
      <c r="A26">
        <v>22</v>
      </c>
      <c r="B26">
        <v>1.08259370212337E-2</v>
      </c>
      <c r="C26">
        <v>0.157814682900696</v>
      </c>
      <c r="D26">
        <f>B26/7.8208</f>
        <v>1.3842493122485807E-3</v>
      </c>
      <c r="E26">
        <f>C26/1.65806</f>
        <v>9.5180320917636271E-2</v>
      </c>
    </row>
    <row r="27" spans="1:5" x14ac:dyDescent="0.25">
      <c r="A27">
        <v>23</v>
      </c>
      <c r="B27">
        <v>5.6704806017380304E-3</v>
      </c>
      <c r="C27">
        <v>0.15560327913986599</v>
      </c>
      <c r="D27">
        <f>B27/7.8208</f>
        <v>7.2505122260357381E-4</v>
      </c>
      <c r="E27">
        <f>C27/1.65806</f>
        <v>9.3846591281296202E-2</v>
      </c>
    </row>
    <row r="28" spans="1:5" x14ac:dyDescent="0.25">
      <c r="A28">
        <v>24</v>
      </c>
      <c r="B28">
        <v>1.4581156411927101E-3</v>
      </c>
      <c r="C28">
        <v>0.15203998081829201</v>
      </c>
      <c r="D28">
        <f>B28/7.8208</f>
        <v>1.8644072744383055E-4</v>
      </c>
      <c r="E28">
        <f>C28/1.65806</f>
        <v>9.1697514455624046E-2</v>
      </c>
    </row>
    <row r="30" spans="1:5" x14ac:dyDescent="0.25">
      <c r="A30" t="s">
        <v>4</v>
      </c>
    </row>
    <row r="31" spans="1:5" x14ac:dyDescent="0.25">
      <c r="A31" t="s">
        <v>5</v>
      </c>
      <c r="B31" t="s">
        <v>6</v>
      </c>
      <c r="C31" t="s">
        <v>3</v>
      </c>
      <c r="D31" t="s">
        <v>6</v>
      </c>
      <c r="E31" t="s">
        <v>3</v>
      </c>
    </row>
    <row r="32" spans="1:5" x14ac:dyDescent="0.25">
      <c r="D32" t="s">
        <v>14</v>
      </c>
      <c r="E32" t="s">
        <v>15</v>
      </c>
    </row>
    <row r="33" spans="1:5" x14ac:dyDescent="0.25">
      <c r="A33">
        <v>1</v>
      </c>
      <c r="B33">
        <v>4.5083882737266702E-4</v>
      </c>
      <c r="C33">
        <v>-7.5495073042909002E-3</v>
      </c>
      <c r="D33">
        <f>B33/7.8208</f>
        <v>5.764612665873913E-5</v>
      </c>
      <c r="E33">
        <f>C33/1.658057</f>
        <v>-4.5532254345242058E-3</v>
      </c>
    </row>
    <row r="34" spans="1:5" x14ac:dyDescent="0.25">
      <c r="A34">
        <v>2</v>
      </c>
      <c r="B34">
        <v>-9.9410624822646992E-3</v>
      </c>
      <c r="C34">
        <v>1.88203182976255E-2</v>
      </c>
      <c r="D34">
        <f>B34/7.8208</f>
        <v>-1.2711055751668241E-3</v>
      </c>
      <c r="E34">
        <f>C34/1.658057</f>
        <v>1.1350827081110904E-2</v>
      </c>
    </row>
    <row r="35" spans="1:5" x14ac:dyDescent="0.25">
      <c r="A35">
        <v>3</v>
      </c>
      <c r="B35">
        <v>2.0622710407599401E-2</v>
      </c>
      <c r="C35">
        <v>-8.9854102935782898E-4</v>
      </c>
      <c r="D35">
        <f>B35/7.8208</f>
        <v>2.6369054837867482E-3</v>
      </c>
      <c r="E35">
        <f>C35/1.658057</f>
        <v>-5.4192408907403607E-4</v>
      </c>
    </row>
    <row r="36" spans="1:5" x14ac:dyDescent="0.25">
      <c r="A36">
        <v>4</v>
      </c>
      <c r="B36">
        <v>5.1474983287643099E-2</v>
      </c>
      <c r="C36">
        <v>3.7410992805208599E-3</v>
      </c>
      <c r="D36">
        <f>B36/7.8208</f>
        <v>6.5818053508136121E-3</v>
      </c>
      <c r="E36">
        <f>C36/1.658057</f>
        <v>2.2563152415875087E-3</v>
      </c>
    </row>
    <row r="37" spans="1:5" x14ac:dyDescent="0.25">
      <c r="A37">
        <v>5</v>
      </c>
      <c r="B37">
        <v>5.9771074788427997E-2</v>
      </c>
      <c r="C37">
        <v>1.5323188930452101E-2</v>
      </c>
      <c r="D37">
        <f>B37/7.8208</f>
        <v>7.6425780979475239E-3</v>
      </c>
      <c r="E37">
        <f>C37/1.658057</f>
        <v>9.2416538939566629E-3</v>
      </c>
    </row>
    <row r="38" spans="1:5" x14ac:dyDescent="0.25">
      <c r="A38">
        <v>6</v>
      </c>
      <c r="B38">
        <v>6.9411978720059497E-2</v>
      </c>
      <c r="C38">
        <v>2.46036736135525E-2</v>
      </c>
      <c r="D38">
        <f>B38/7.8208</f>
        <v>8.8753041530354303E-3</v>
      </c>
      <c r="E38">
        <f>C38/1.658057</f>
        <v>1.4838858744634534E-2</v>
      </c>
    </row>
    <row r="39" spans="1:5" x14ac:dyDescent="0.25">
      <c r="A39">
        <v>7</v>
      </c>
      <c r="B39">
        <v>8.2255583375395194E-2</v>
      </c>
      <c r="C39">
        <v>3.41394506595602E-2</v>
      </c>
      <c r="D39">
        <f>B39/7.8208</f>
        <v>1.0517540836665711E-2</v>
      </c>
      <c r="E39">
        <f>C39/1.658057</f>
        <v>2.0590034395415961E-2</v>
      </c>
    </row>
    <row r="40" spans="1:5" x14ac:dyDescent="0.25">
      <c r="A40">
        <v>8</v>
      </c>
      <c r="B40">
        <v>9.0030154549130395E-2</v>
      </c>
      <c r="C40">
        <v>4.4354522986588797E-2</v>
      </c>
      <c r="D40">
        <f>B40/7.8208</f>
        <v>1.151162982676074E-2</v>
      </c>
      <c r="E40">
        <f>C40/1.658057</f>
        <v>2.6750903609820891E-2</v>
      </c>
    </row>
    <row r="41" spans="1:5" x14ac:dyDescent="0.25">
      <c r="A41">
        <v>9</v>
      </c>
      <c r="B41">
        <v>9.2312268041441201E-2</v>
      </c>
      <c r="C41">
        <v>5.7775974428155102E-2</v>
      </c>
      <c r="D41">
        <f>B41/7.8208</f>
        <v>1.1803430344906045E-2</v>
      </c>
      <c r="E41">
        <f>C41/1.658057</f>
        <v>3.4845590005744741E-2</v>
      </c>
    </row>
    <row r="42" spans="1:5" x14ac:dyDescent="0.25">
      <c r="A42">
        <v>10</v>
      </c>
      <c r="B42">
        <v>9.25201056562929E-2</v>
      </c>
      <c r="C42">
        <v>7.2311401624576804E-2</v>
      </c>
      <c r="D42">
        <f>B42/7.8208</f>
        <v>1.1830005326346781E-2</v>
      </c>
      <c r="E42">
        <f>C42/1.658057</f>
        <v>4.3612132528964211E-2</v>
      </c>
    </row>
    <row r="43" spans="1:5" x14ac:dyDescent="0.25">
      <c r="A43">
        <v>11</v>
      </c>
      <c r="B43">
        <v>9.0856252627064996E-2</v>
      </c>
      <c r="C43">
        <v>8.6194482913274598E-2</v>
      </c>
      <c r="D43">
        <f>B43/7.8208</f>
        <v>1.1617258161193867E-2</v>
      </c>
      <c r="E43">
        <f>C43/1.658057</f>
        <v>5.1985235075316834E-2</v>
      </c>
    </row>
    <row r="44" spans="1:5" x14ac:dyDescent="0.25">
      <c r="A44">
        <v>12</v>
      </c>
      <c r="B44">
        <v>8.6852951085839097E-2</v>
      </c>
      <c r="C44">
        <v>9.9726032919424099E-2</v>
      </c>
      <c r="D44">
        <f>B44/7.8208</f>
        <v>1.1105379383929918E-2</v>
      </c>
      <c r="E44">
        <f>C44/1.658057</f>
        <v>6.0146323630263676E-2</v>
      </c>
    </row>
    <row r="45" spans="1:5" x14ac:dyDescent="0.25">
      <c r="A45">
        <v>13</v>
      </c>
      <c r="B45">
        <v>8.1217885056616604E-2</v>
      </c>
      <c r="C45">
        <v>0.11297295111587</v>
      </c>
      <c r="D45">
        <f>B45/7.8208</f>
        <v>1.0384856415790789E-2</v>
      </c>
      <c r="E45">
        <f>C45/1.658057</f>
        <v>6.8135746307798825E-2</v>
      </c>
    </row>
    <row r="46" spans="1:5" x14ac:dyDescent="0.25">
      <c r="A46">
        <v>14</v>
      </c>
      <c r="B46">
        <v>7.4774035101300207E-2</v>
      </c>
      <c r="C46">
        <v>0.12511823110245099</v>
      </c>
      <c r="D46">
        <f>B46/7.8208</f>
        <v>9.5609189726498824E-3</v>
      </c>
      <c r="E46">
        <f>C46/1.658057</f>
        <v>7.546075382357241E-2</v>
      </c>
    </row>
    <row r="47" spans="1:5" x14ac:dyDescent="0.25">
      <c r="A47">
        <v>15</v>
      </c>
      <c r="B47">
        <v>6.7868361080442405E-2</v>
      </c>
      <c r="C47">
        <v>0.13573915011755899</v>
      </c>
      <c r="D47">
        <f>B47/7.8208</f>
        <v>8.6779307846310359E-3</v>
      </c>
      <c r="E47">
        <f>C47/1.658057</f>
        <v>8.1866395496390659E-2</v>
      </c>
    </row>
    <row r="48" spans="1:5" x14ac:dyDescent="0.25">
      <c r="A48">
        <v>16</v>
      </c>
      <c r="B48">
        <v>6.0770886533195803E-2</v>
      </c>
      <c r="C48">
        <v>0.14483734022245301</v>
      </c>
      <c r="D48">
        <f>B48/7.8208</f>
        <v>7.7704181839704121E-3</v>
      </c>
      <c r="E48">
        <f>C48/1.658057</f>
        <v>8.7353655647817302E-2</v>
      </c>
    </row>
    <row r="49" spans="1:5" x14ac:dyDescent="0.25">
      <c r="A49">
        <v>17</v>
      </c>
      <c r="B49">
        <v>5.3814727451410402E-2</v>
      </c>
      <c r="C49">
        <v>0.15233974629427299</v>
      </c>
      <c r="D49">
        <f>B49/7.8208</f>
        <v>6.8809747661889324E-3</v>
      </c>
      <c r="E49">
        <f>C49/1.658057</f>
        <v>9.187847359546325E-2</v>
      </c>
    </row>
    <row r="50" spans="1:5" x14ac:dyDescent="0.25">
      <c r="A50">
        <v>18</v>
      </c>
      <c r="B50">
        <v>4.7243479077736697E-2</v>
      </c>
      <c r="C50">
        <v>0.1581457668148</v>
      </c>
      <c r="D50">
        <f>B50/7.8208</f>
        <v>6.0407476316664144E-3</v>
      </c>
      <c r="E50">
        <f>C50/1.658057</f>
        <v>9.5380174996878883E-2</v>
      </c>
    </row>
    <row r="51" spans="1:5" x14ac:dyDescent="0.25">
      <c r="A51">
        <v>19</v>
      </c>
      <c r="B51">
        <v>4.1184808596443301E-2</v>
      </c>
      <c r="C51">
        <v>0.16229155823726299</v>
      </c>
      <c r="D51">
        <f>B51/7.8208</f>
        <v>5.2660608373111826E-3</v>
      </c>
      <c r="E51">
        <f>C51/1.658057</f>
        <v>9.7880566372122918E-2</v>
      </c>
    </row>
    <row r="52" spans="1:5" x14ac:dyDescent="0.25">
      <c r="A52">
        <v>20</v>
      </c>
      <c r="B52">
        <v>3.5715654377496402E-2</v>
      </c>
      <c r="C52">
        <v>0.16488974272219101</v>
      </c>
      <c r="D52">
        <f>B52/7.8208</f>
        <v>4.5667520429491099E-3</v>
      </c>
      <c r="E52">
        <f>C52/1.658057</f>
        <v>9.9447571900236856E-2</v>
      </c>
    </row>
    <row r="53" spans="1:5" x14ac:dyDescent="0.25">
      <c r="A53">
        <v>21</v>
      </c>
      <c r="B53">
        <v>3.0878457289671701E-2</v>
      </c>
      <c r="C53">
        <v>0.16605829844428299</v>
      </c>
      <c r="D53">
        <f>B53/7.8208</f>
        <v>3.9482479144936199E-3</v>
      </c>
      <c r="E53">
        <f>C53/1.658057</f>
        <v>0.10015234605582499</v>
      </c>
    </row>
    <row r="54" spans="1:5" x14ac:dyDescent="0.25">
      <c r="A54">
        <v>22</v>
      </c>
      <c r="B54">
        <v>2.6672724688690301E-2</v>
      </c>
      <c r="C54">
        <v>0.165932337153153</v>
      </c>
      <c r="D54">
        <f>B54/7.8208</f>
        <v>3.4104854603992305E-3</v>
      </c>
      <c r="E54">
        <f>C54/1.658057</f>
        <v>0.10007637683936862</v>
      </c>
    </row>
    <row r="55" spans="1:5" x14ac:dyDescent="0.25">
      <c r="A55">
        <v>23</v>
      </c>
      <c r="B55">
        <v>2.3065597109901501E-2</v>
      </c>
      <c r="C55">
        <v>0.16467049949078899</v>
      </c>
      <c r="D55">
        <f>B55/7.8208</f>
        <v>2.9492631329149834E-3</v>
      </c>
      <c r="E55">
        <f>C55/1.658057</f>
        <v>9.9315342892788969E-2</v>
      </c>
    </row>
    <row r="56" spans="1:5" x14ac:dyDescent="0.25">
      <c r="A56">
        <v>24</v>
      </c>
      <c r="B56">
        <v>2.0007592984539399E-2</v>
      </c>
      <c r="C56">
        <v>0.162435540765409</v>
      </c>
      <c r="D56">
        <f>B56/7.8208</f>
        <v>2.5582540129576769E-3</v>
      </c>
      <c r="E56">
        <f>C56/1.658057</f>
        <v>9.7967404477294212E-2</v>
      </c>
    </row>
    <row r="58" spans="1:5" x14ac:dyDescent="0.25">
      <c r="A58" t="s">
        <v>7</v>
      </c>
    </row>
    <row r="59" spans="1:5" x14ac:dyDescent="0.25">
      <c r="A59" t="s">
        <v>8</v>
      </c>
    </row>
    <row r="60" spans="1:5" x14ac:dyDescent="0.25">
      <c r="A60" t="s">
        <v>9</v>
      </c>
    </row>
    <row r="61" spans="1:5" x14ac:dyDescent="0.25">
      <c r="A61" t="s">
        <v>10</v>
      </c>
    </row>
    <row r="62" spans="1:5" x14ac:dyDescent="0.25">
      <c r="A62" t="s">
        <v>11</v>
      </c>
    </row>
    <row r="63" spans="1:5" x14ac:dyDescent="0.25">
      <c r="A63" t="s">
        <v>12</v>
      </c>
    </row>
  </sheetData>
  <sortState xmlns:xlrd2="http://schemas.microsoft.com/office/spreadsheetml/2017/richdata2" ref="A33:E56">
    <sortCondition ref="A33:A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impulse-response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Gonzalez-Astudillo</dc:creator>
  <cp:lastModifiedBy>Manuel Gonzalez-Astudillo</cp:lastModifiedBy>
  <dcterms:created xsi:type="dcterms:W3CDTF">2024-12-09T20:37:10Z</dcterms:created>
  <dcterms:modified xsi:type="dcterms:W3CDTF">2024-12-09T23:43:07Z</dcterms:modified>
</cp:coreProperties>
</file>