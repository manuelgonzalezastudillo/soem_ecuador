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13_ncr:1_{E80EACB7-C980-4C83-BAF2-4BE65A1A2FC4}" xr6:coauthVersionLast="47" xr6:coauthVersionMax="47" xr10:uidLastSave="{00000000-0000-0000-0000-000000000000}"/>
  <bookViews>
    <workbookView xWindow="28680" yWindow="-8265" windowWidth="16440" windowHeight="29040" activeTab="1" xr2:uid="{00000000-000D-0000-FFFF-FFFF00000000}"/>
  </bookViews>
  <sheets>
    <sheet name="mixed frequency" sheetId="1" r:id="rId1"/>
    <sheet name="quarter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6" i="2"/>
  <c r="B10" i="2"/>
  <c r="B12" i="2"/>
  <c r="B14" i="2"/>
  <c r="B16" i="2"/>
  <c r="B18" i="2"/>
  <c r="B20" i="2"/>
  <c r="B22" i="2"/>
  <c r="B24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3" i="2"/>
  <c r="B2" i="2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6" i="1"/>
</calcChain>
</file>

<file path=xl/sharedStrings.xml><?xml version="1.0" encoding="utf-8"?>
<sst xmlns="http://schemas.openxmlformats.org/spreadsheetml/2006/main" count="60" uniqueCount="59">
  <si>
    <t>Hombre</t>
  </si>
  <si>
    <t>Mujer</t>
  </si>
  <si>
    <t>dic-07</t>
  </si>
  <si>
    <t>jun-08</t>
  </si>
  <si>
    <t>dic-08</t>
  </si>
  <si>
    <t>dic-09</t>
  </si>
  <si>
    <t>jun-10</t>
  </si>
  <si>
    <t>dic-10</t>
  </si>
  <si>
    <t>jun-11</t>
  </si>
  <si>
    <t>dic-11</t>
  </si>
  <si>
    <t>jun-12</t>
  </si>
  <si>
    <t>dic-12</t>
  </si>
  <si>
    <t>jun-13</t>
  </si>
  <si>
    <t>dic-13</t>
  </si>
  <si>
    <t>mar-14</t>
  </si>
  <si>
    <t>jun-14</t>
  </si>
  <si>
    <t>sep-14</t>
  </si>
  <si>
    <t>dic-14</t>
  </si>
  <si>
    <t>mar-15</t>
  </si>
  <si>
    <t>jun-15</t>
  </si>
  <si>
    <t>sep-15</t>
  </si>
  <si>
    <t>dic-15</t>
  </si>
  <si>
    <t>mar-16</t>
  </si>
  <si>
    <t>jun-16</t>
  </si>
  <si>
    <t>sep-16</t>
  </si>
  <si>
    <t>dic-16</t>
  </si>
  <si>
    <t>mar-17</t>
  </si>
  <si>
    <t>jun-17</t>
  </si>
  <si>
    <t>sep-17</t>
  </si>
  <si>
    <t>dic-17</t>
  </si>
  <si>
    <t>mar-18</t>
  </si>
  <si>
    <t>jun-18</t>
  </si>
  <si>
    <t>sep-18</t>
  </si>
  <si>
    <t>dic-18</t>
  </si>
  <si>
    <t>mar-19</t>
  </si>
  <si>
    <t>jun-19</t>
  </si>
  <si>
    <t>sep-19</t>
  </si>
  <si>
    <t>dic-19</t>
  </si>
  <si>
    <t>Nota.- Las horas corresponden a las horas efectivamente trabajadas en la semana de referencia.</t>
  </si>
  <si>
    <t>Total</t>
  </si>
  <si>
    <t>Tabla.- Horas de trabajo promedio a la semana por personas ocupadas, a nivel nacional</t>
  </si>
  <si>
    <t>sep-20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</si>
  <si>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</si>
  <si>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</si>
  <si>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</si>
  <si>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</si>
  <si>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</si>
  <si>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</si>
  <si>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</si>
  <si>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</si>
  <si>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</si>
  <si>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</si>
  <si>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</si>
  <si>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sep-21</t>
  </si>
  <si>
    <t>oct-21</t>
  </si>
  <si>
    <t>nov-21</t>
  </si>
  <si>
    <t>dic-21</t>
  </si>
  <si>
    <t>Tasa desempleo</t>
  </si>
  <si>
    <t>Total horas trabajadas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</si>
</sst>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&quot;&quot;;\-#,##0.0&quot;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0"/>
      <name val="Arial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164" fontId="4" fillId="2" borderId="0" xfId="1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quotePrefix="1" applyFont="1" applyFill="1" applyBorder="1" applyAlignment="1">
      <alignment horizontal="right" vertical="center" indent="1"/>
    </xf>
    <xf numFmtId="164" fontId="3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7" fontId="2" fillId="0" borderId="0" xfId="0" quotePrefix="1" applyNumberFormat="1" applyFont="1" applyBorder="1" applyAlignment="1">
      <alignment horizontal="right" vertical="center" indent="1"/>
    </xf>
    <xf numFmtId="166" fontId="7" fillId="3" borderId="1" xfId="2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4" fontId="8" fillId="3" borderId="1" xfId="1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7" fontId="3" fillId="0" borderId="0" xfId="0" quotePrefix="1" applyNumberFormat="1" applyFont="1" applyFill="1" applyBorder="1" applyAlignment="1">
      <alignment horizontal="right" vertical="center" indent="1"/>
    </xf>
  </cellXfs>
  <cellStyles count="3">
    <cellStyle name="Normal" xfId="0" builtinId="0"/>
    <cellStyle name="Normal_Hoja1" xfId="2" xr:uid="{C6B50567-8945-4C28-B597-68E76F545AB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Horas</a:t>
            </a:r>
            <a:r>
              <a:rPr lang="es-EC" baseline="0"/>
              <a:t> promedio trabajadas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58780071226822E-2"/>
          <c:y val="0.10994516081221284"/>
          <c:w val="0.92930950256251754"/>
          <c:h val="0.70383524202649417"/>
        </c:manualLayout>
      </c:layout>
      <c:lineChart>
        <c:grouping val="standard"/>
        <c:varyColors val="0"/>
        <c:ser>
          <c:idx val="0"/>
          <c:order val="0"/>
          <c:tx>
            <c:strRef>
              <c:f>'mixed frequency'!$C$5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'mixed frequency'!$B$6:$B$57</c:f>
              <c:strCache>
                <c:ptCount val="52"/>
                <c:pt idx="0">
                  <c:v>dic-07</c:v>
                </c:pt>
                <c:pt idx="1">
                  <c:v>jun-08</c:v>
                </c:pt>
                <c:pt idx="2">
                  <c:v>dic-08</c:v>
                </c:pt>
                <c:pt idx="3">
                  <c:v>dic-09</c:v>
                </c:pt>
                <c:pt idx="4">
                  <c:v>jun-10</c:v>
                </c:pt>
                <c:pt idx="5">
                  <c:v>dic-10</c:v>
                </c:pt>
                <c:pt idx="6">
                  <c:v>jun-11</c:v>
                </c:pt>
                <c:pt idx="7">
                  <c:v>dic-11</c:v>
                </c:pt>
                <c:pt idx="8">
                  <c:v>jun-12</c:v>
                </c:pt>
                <c:pt idx="9">
                  <c:v>dic-12</c:v>
                </c:pt>
                <c:pt idx="10">
                  <c:v>jun-13</c:v>
                </c:pt>
                <c:pt idx="11">
                  <c:v>dic-13</c:v>
                </c:pt>
                <c:pt idx="12">
                  <c:v>mar-14</c:v>
                </c:pt>
                <c:pt idx="13">
                  <c:v>jun-14</c:v>
                </c:pt>
                <c:pt idx="14">
                  <c:v>sep-14</c:v>
                </c:pt>
                <c:pt idx="15">
                  <c:v>dic-14</c:v>
                </c:pt>
                <c:pt idx="16">
                  <c:v>mar-15</c:v>
                </c:pt>
                <c:pt idx="17">
                  <c:v>jun-15</c:v>
                </c:pt>
                <c:pt idx="18">
                  <c:v>sep-15</c:v>
                </c:pt>
                <c:pt idx="19">
                  <c:v>dic-15</c:v>
                </c:pt>
                <c:pt idx="20">
                  <c:v>mar-16</c:v>
                </c:pt>
                <c:pt idx="21">
                  <c:v>jun-16</c:v>
                </c:pt>
                <c:pt idx="22">
                  <c:v>sep-16</c:v>
                </c:pt>
                <c:pt idx="23">
                  <c:v>dic-16</c:v>
                </c:pt>
                <c:pt idx="24">
                  <c:v>mar-17</c:v>
                </c:pt>
                <c:pt idx="25">
                  <c:v>jun-17</c:v>
                </c:pt>
                <c:pt idx="26">
                  <c:v>sep-17</c:v>
                </c:pt>
                <c:pt idx="27">
                  <c:v>dic-17</c:v>
                </c:pt>
                <c:pt idx="28">
                  <c:v>mar-18</c:v>
                </c:pt>
                <c:pt idx="29">
                  <c:v>jun-18</c:v>
                </c:pt>
                <c:pt idx="30">
                  <c:v>sep-18</c:v>
                </c:pt>
                <c:pt idx="31">
                  <c:v>dic-18</c:v>
                </c:pt>
                <c:pt idx="32">
                  <c:v>mar-19</c:v>
                </c:pt>
                <c:pt idx="33">
                  <c:v>jun-19</c:v>
                </c:pt>
                <c:pt idx="34">
                  <c:v>sep-19</c:v>
                </c:pt>
                <c:pt idx="35">
                  <c:v>dic-19</c:v>
                </c:pt>
                <c:pt idx="36">
                  <c:v>sep-20</c:v>
                </c:pt>
                <c:pt idx="37">
                  <c:v>oct-20</c:v>
                </c:pt>
                <c:pt idx="38">
                  <c:v>nov-20</c:v>
                </c:pt>
                <c:pt idx="39">
                  <c:v>dic-20</c:v>
                </c:pt>
                <c:pt idx="40">
                  <c:v>ene-21</c:v>
                </c:pt>
                <c:pt idx="41">
                  <c:v>feb-21</c:v>
                </c:pt>
                <c:pt idx="42">
                  <c:v>mar-21</c:v>
                </c:pt>
                <c:pt idx="43">
                  <c:v>abr-21</c:v>
                </c:pt>
                <c:pt idx="44">
                  <c:v>may-21</c:v>
                </c:pt>
                <c:pt idx="45">
                  <c:v>jun-21</c:v>
                </c:pt>
                <c:pt idx="46">
                  <c:v>jul-21</c:v>
                </c:pt>
                <c:pt idx="47">
                  <c:v>ago-21</c:v>
                </c:pt>
                <c:pt idx="48">
                  <c:v>sep-21</c:v>
                </c:pt>
                <c:pt idx="49">
                  <c:v>oct-21</c:v>
                </c:pt>
                <c:pt idx="50">
                  <c:v>nov-21</c:v>
                </c:pt>
                <c:pt idx="51">
                  <c:v>dic-21</c:v>
                </c:pt>
              </c:strCache>
            </c:strRef>
          </c:cat>
          <c:val>
            <c:numRef>
              <c:f>'mixed frequency'!$C$6:$C$57</c:f>
              <c:numCache>
                <c:formatCode>0.0</c:formatCode>
                <c:ptCount val="52"/>
                <c:pt idx="0">
                  <c:v>41.858029671641425</c:v>
                </c:pt>
                <c:pt idx="1">
                  <c:v>41.986479685299301</c:v>
                </c:pt>
                <c:pt idx="2">
                  <c:v>42.365512160162005</c:v>
                </c:pt>
                <c:pt idx="3">
                  <c:v>41.644332644534444</c:v>
                </c:pt>
                <c:pt idx="4">
                  <c:v>40.751966742161827</c:v>
                </c:pt>
                <c:pt idx="5">
                  <c:v>41.623720676758573</c:v>
                </c:pt>
                <c:pt idx="6">
                  <c:v>41.250910922079363</c:v>
                </c:pt>
                <c:pt idx="7">
                  <c:v>41.117578031225563</c:v>
                </c:pt>
                <c:pt idx="8">
                  <c:v>39.959030728441221</c:v>
                </c:pt>
                <c:pt idx="9">
                  <c:v>40.617173684054713</c:v>
                </c:pt>
                <c:pt idx="10">
                  <c:v>39.454294820721415</c:v>
                </c:pt>
                <c:pt idx="11">
                  <c:v>40.609413371459191</c:v>
                </c:pt>
                <c:pt idx="12">
                  <c:v>38.989491836608529</c:v>
                </c:pt>
                <c:pt idx="13">
                  <c:v>40.155044051344312</c:v>
                </c:pt>
                <c:pt idx="14">
                  <c:v>39.208389328741525</c:v>
                </c:pt>
                <c:pt idx="15">
                  <c:v>39.47077328973905</c:v>
                </c:pt>
                <c:pt idx="16">
                  <c:v>38.837513944149968</c:v>
                </c:pt>
                <c:pt idx="17">
                  <c:v>39.114535954430337</c:v>
                </c:pt>
                <c:pt idx="18">
                  <c:v>38.416101054879121</c:v>
                </c:pt>
                <c:pt idx="19">
                  <c:v>38.950364404808496</c:v>
                </c:pt>
                <c:pt idx="20">
                  <c:v>37.560706219300364</c:v>
                </c:pt>
                <c:pt idx="21">
                  <c:v>37.764573572650839</c:v>
                </c:pt>
                <c:pt idx="22">
                  <c:v>36.710558699886505</c:v>
                </c:pt>
                <c:pt idx="23">
                  <c:v>37.90440136607242</c:v>
                </c:pt>
                <c:pt idx="24">
                  <c:v>36.476726087024019</c:v>
                </c:pt>
                <c:pt idx="25">
                  <c:v>37.146955087990435</c:v>
                </c:pt>
                <c:pt idx="26">
                  <c:v>37.115611277441523</c:v>
                </c:pt>
                <c:pt idx="27">
                  <c:v>38.003240497846889</c:v>
                </c:pt>
                <c:pt idx="28">
                  <c:v>37.577922518681611</c:v>
                </c:pt>
                <c:pt idx="29">
                  <c:v>37.286745506822541</c:v>
                </c:pt>
                <c:pt idx="30">
                  <c:v>37.25156856398479</c:v>
                </c:pt>
                <c:pt idx="31">
                  <c:v>37.573483070263528</c:v>
                </c:pt>
                <c:pt idx="32">
                  <c:v>35.821771333479496</c:v>
                </c:pt>
                <c:pt idx="33">
                  <c:v>36.318717088190112</c:v>
                </c:pt>
                <c:pt idx="34">
                  <c:v>36.671649967366541</c:v>
                </c:pt>
                <c:pt idx="35">
                  <c:v>37.609736558626764</c:v>
                </c:pt>
                <c:pt idx="36">
                  <c:v>34.67330723219149</c:v>
                </c:pt>
                <c:pt idx="37">
                  <c:v>33.67915235367866</c:v>
                </c:pt>
                <c:pt idx="38">
                  <c:v>33.7338824571667</c:v>
                </c:pt>
                <c:pt idx="39">
                  <c:v>34.381499112827889</c:v>
                </c:pt>
                <c:pt idx="40">
                  <c:v>34.460835112216351</c:v>
                </c:pt>
                <c:pt idx="41">
                  <c:v>34.314020360835123</c:v>
                </c:pt>
                <c:pt idx="42">
                  <c:v>34.388981042328219</c:v>
                </c:pt>
                <c:pt idx="43">
                  <c:v>33.927968419680802</c:v>
                </c:pt>
                <c:pt idx="44">
                  <c:v>33.538354838304237</c:v>
                </c:pt>
                <c:pt idx="45">
                  <c:v>34.464209839176199</c:v>
                </c:pt>
                <c:pt idx="46">
                  <c:v>34.209291972465344</c:v>
                </c:pt>
                <c:pt idx="47">
                  <c:v>34.573481221661254</c:v>
                </c:pt>
                <c:pt idx="48">
                  <c:v>34.747156719098477</c:v>
                </c:pt>
                <c:pt idx="49">
                  <c:v>34.334523507592039</c:v>
                </c:pt>
                <c:pt idx="50">
                  <c:v>34.311273105593777</c:v>
                </c:pt>
                <c:pt idx="51">
                  <c:v>35.086421534326007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E-46FC-A43B-39FF6A384A8D}"/>
            </c:ext>
          </c:extLst>
        </c:ser>
        <c:ser>
          <c:idx val="1"/>
          <c:order val="1"/>
          <c:tx>
            <c:strRef>
              <c:f>'mixed frequency'!$D$5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'mixed frequency'!$B$6:$B$57</c:f>
              <c:strCache>
                <c:ptCount val="52"/>
                <c:pt idx="0">
                  <c:v>dic-07</c:v>
                </c:pt>
                <c:pt idx="1">
                  <c:v>jun-08</c:v>
                </c:pt>
                <c:pt idx="2">
                  <c:v>dic-08</c:v>
                </c:pt>
                <c:pt idx="3">
                  <c:v>dic-09</c:v>
                </c:pt>
                <c:pt idx="4">
                  <c:v>jun-10</c:v>
                </c:pt>
                <c:pt idx="5">
                  <c:v>dic-10</c:v>
                </c:pt>
                <c:pt idx="6">
                  <c:v>jun-11</c:v>
                </c:pt>
                <c:pt idx="7">
                  <c:v>dic-11</c:v>
                </c:pt>
                <c:pt idx="8">
                  <c:v>jun-12</c:v>
                </c:pt>
                <c:pt idx="9">
                  <c:v>dic-12</c:v>
                </c:pt>
                <c:pt idx="10">
                  <c:v>jun-13</c:v>
                </c:pt>
                <c:pt idx="11">
                  <c:v>dic-13</c:v>
                </c:pt>
                <c:pt idx="12">
                  <c:v>mar-14</c:v>
                </c:pt>
                <c:pt idx="13">
                  <c:v>jun-14</c:v>
                </c:pt>
                <c:pt idx="14">
                  <c:v>sep-14</c:v>
                </c:pt>
                <c:pt idx="15">
                  <c:v>dic-14</c:v>
                </c:pt>
                <c:pt idx="16">
                  <c:v>mar-15</c:v>
                </c:pt>
                <c:pt idx="17">
                  <c:v>jun-15</c:v>
                </c:pt>
                <c:pt idx="18">
                  <c:v>sep-15</c:v>
                </c:pt>
                <c:pt idx="19">
                  <c:v>dic-15</c:v>
                </c:pt>
                <c:pt idx="20">
                  <c:v>mar-16</c:v>
                </c:pt>
                <c:pt idx="21">
                  <c:v>jun-16</c:v>
                </c:pt>
                <c:pt idx="22">
                  <c:v>sep-16</c:v>
                </c:pt>
                <c:pt idx="23">
                  <c:v>dic-16</c:v>
                </c:pt>
                <c:pt idx="24">
                  <c:v>mar-17</c:v>
                </c:pt>
                <c:pt idx="25">
                  <c:v>jun-17</c:v>
                </c:pt>
                <c:pt idx="26">
                  <c:v>sep-17</c:v>
                </c:pt>
                <c:pt idx="27">
                  <c:v>dic-17</c:v>
                </c:pt>
                <c:pt idx="28">
                  <c:v>mar-18</c:v>
                </c:pt>
                <c:pt idx="29">
                  <c:v>jun-18</c:v>
                </c:pt>
                <c:pt idx="30">
                  <c:v>sep-18</c:v>
                </c:pt>
                <c:pt idx="31">
                  <c:v>dic-18</c:v>
                </c:pt>
                <c:pt idx="32">
                  <c:v>mar-19</c:v>
                </c:pt>
                <c:pt idx="33">
                  <c:v>jun-19</c:v>
                </c:pt>
                <c:pt idx="34">
                  <c:v>sep-19</c:v>
                </c:pt>
                <c:pt idx="35">
                  <c:v>dic-19</c:v>
                </c:pt>
                <c:pt idx="36">
                  <c:v>sep-20</c:v>
                </c:pt>
                <c:pt idx="37">
                  <c:v>oct-20</c:v>
                </c:pt>
                <c:pt idx="38">
                  <c:v>nov-20</c:v>
                </c:pt>
                <c:pt idx="39">
                  <c:v>dic-20</c:v>
                </c:pt>
                <c:pt idx="40">
                  <c:v>ene-21</c:v>
                </c:pt>
                <c:pt idx="41">
                  <c:v>feb-21</c:v>
                </c:pt>
                <c:pt idx="42">
                  <c:v>mar-21</c:v>
                </c:pt>
                <c:pt idx="43">
                  <c:v>abr-21</c:v>
                </c:pt>
                <c:pt idx="44">
                  <c:v>may-21</c:v>
                </c:pt>
                <c:pt idx="45">
                  <c:v>jun-21</c:v>
                </c:pt>
                <c:pt idx="46">
                  <c:v>jul-21</c:v>
                </c:pt>
                <c:pt idx="47">
                  <c:v>ago-21</c:v>
                </c:pt>
                <c:pt idx="48">
                  <c:v>sep-21</c:v>
                </c:pt>
                <c:pt idx="49">
                  <c:v>oct-21</c:v>
                </c:pt>
                <c:pt idx="50">
                  <c:v>nov-21</c:v>
                </c:pt>
                <c:pt idx="51">
                  <c:v>dic-21</c:v>
                </c:pt>
              </c:strCache>
            </c:strRef>
          </c:cat>
          <c:val>
            <c:numRef>
              <c:f>'mixed frequency'!$D$6:$D$57</c:f>
              <c:numCache>
                <c:formatCode>0.0</c:formatCode>
                <c:ptCount val="52"/>
                <c:pt idx="0">
                  <c:v>44.538656672648195</c:v>
                </c:pt>
                <c:pt idx="1">
                  <c:v>44.787557769032745</c:v>
                </c:pt>
                <c:pt idx="2">
                  <c:v>45.035096915775718</c:v>
                </c:pt>
                <c:pt idx="3">
                  <c:v>43.937110703395788</c:v>
                </c:pt>
                <c:pt idx="4">
                  <c:v>43.315612748016996</c:v>
                </c:pt>
                <c:pt idx="5">
                  <c:v>43.735931587692313</c:v>
                </c:pt>
                <c:pt idx="6">
                  <c:v>43.387298918862491</c:v>
                </c:pt>
                <c:pt idx="7">
                  <c:v>43.48818447442622</c:v>
                </c:pt>
                <c:pt idx="8">
                  <c:v>42.050247609548393</c:v>
                </c:pt>
                <c:pt idx="9">
                  <c:v>42.493188733400963</c:v>
                </c:pt>
                <c:pt idx="10">
                  <c:v>41.852261592793575</c:v>
                </c:pt>
                <c:pt idx="11">
                  <c:v>42.80753884915022</c:v>
                </c:pt>
                <c:pt idx="12">
                  <c:v>41.257064267408957</c:v>
                </c:pt>
                <c:pt idx="13">
                  <c:v>42.097944163475965</c:v>
                </c:pt>
                <c:pt idx="14">
                  <c:v>41.557971643988019</c:v>
                </c:pt>
                <c:pt idx="15">
                  <c:v>41.824731736115517</c:v>
                </c:pt>
                <c:pt idx="16">
                  <c:v>41.387016957409642</c:v>
                </c:pt>
                <c:pt idx="17">
                  <c:v>41.790560994811912</c:v>
                </c:pt>
                <c:pt idx="18">
                  <c:v>41.142632311799552</c:v>
                </c:pt>
                <c:pt idx="19">
                  <c:v>41.460221443966354</c:v>
                </c:pt>
                <c:pt idx="20">
                  <c:v>40.717719948068243</c:v>
                </c:pt>
                <c:pt idx="21">
                  <c:v>41.025286906880297</c:v>
                </c:pt>
                <c:pt idx="22">
                  <c:v>40.11265529843493</c:v>
                </c:pt>
                <c:pt idx="23">
                  <c:v>40.77719325254693</c:v>
                </c:pt>
                <c:pt idx="24">
                  <c:v>39.820984788843028</c:v>
                </c:pt>
                <c:pt idx="25">
                  <c:v>40.413624373461722</c:v>
                </c:pt>
                <c:pt idx="26">
                  <c:v>40.375951920894416</c:v>
                </c:pt>
                <c:pt idx="27">
                  <c:v>40.949842212697149</c:v>
                </c:pt>
                <c:pt idx="28">
                  <c:v>40.324572471742229</c:v>
                </c:pt>
                <c:pt idx="29">
                  <c:v>40.135092508950933</c:v>
                </c:pt>
                <c:pt idx="30">
                  <c:v>40.096344666568307</c:v>
                </c:pt>
                <c:pt idx="31">
                  <c:v>40.046070801244134</c:v>
                </c:pt>
                <c:pt idx="32">
                  <c:v>38.284715148190813</c:v>
                </c:pt>
                <c:pt idx="33">
                  <c:v>38.877625938465293</c:v>
                </c:pt>
                <c:pt idx="34">
                  <c:v>39.471416797119907</c:v>
                </c:pt>
                <c:pt idx="35">
                  <c:v>39.961896219493923</c:v>
                </c:pt>
                <c:pt idx="36">
                  <c:v>37.036466370171539</c:v>
                </c:pt>
                <c:pt idx="37">
                  <c:v>35.909798396756997</c:v>
                </c:pt>
                <c:pt idx="38">
                  <c:v>36.01598623056293</c:v>
                </c:pt>
                <c:pt idx="39">
                  <c:v>36.662547507143508</c:v>
                </c:pt>
                <c:pt idx="40">
                  <c:v>36.932294586316686</c:v>
                </c:pt>
                <c:pt idx="41">
                  <c:v>36.366612137772904</c:v>
                </c:pt>
                <c:pt idx="42">
                  <c:v>36.966744287013988</c:v>
                </c:pt>
                <c:pt idx="43">
                  <c:v>36.646712001340902</c:v>
                </c:pt>
                <c:pt idx="44">
                  <c:v>36.04446829127086</c:v>
                </c:pt>
                <c:pt idx="45">
                  <c:v>37.018871822177829</c:v>
                </c:pt>
                <c:pt idx="46">
                  <c:v>36.879154737176066</c:v>
                </c:pt>
                <c:pt idx="47">
                  <c:v>37.03098352662311</c:v>
                </c:pt>
                <c:pt idx="48">
                  <c:v>37.37543369459523</c:v>
                </c:pt>
                <c:pt idx="49">
                  <c:v>37.269371237201376</c:v>
                </c:pt>
                <c:pt idx="50">
                  <c:v>36.669474892543946</c:v>
                </c:pt>
                <c:pt idx="51">
                  <c:v>37.897995945393383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E-46FC-A43B-39FF6A384A8D}"/>
            </c:ext>
          </c:extLst>
        </c:ser>
        <c:ser>
          <c:idx val="2"/>
          <c:order val="2"/>
          <c:tx>
            <c:strRef>
              <c:f>'mixed frequency'!$E$5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'mixed frequency'!$B$6:$B$57</c:f>
              <c:strCache>
                <c:ptCount val="52"/>
                <c:pt idx="0">
                  <c:v>dic-07</c:v>
                </c:pt>
                <c:pt idx="1">
                  <c:v>jun-08</c:v>
                </c:pt>
                <c:pt idx="2">
                  <c:v>dic-08</c:v>
                </c:pt>
                <c:pt idx="3">
                  <c:v>dic-09</c:v>
                </c:pt>
                <c:pt idx="4">
                  <c:v>jun-10</c:v>
                </c:pt>
                <c:pt idx="5">
                  <c:v>dic-10</c:v>
                </c:pt>
                <c:pt idx="6">
                  <c:v>jun-11</c:v>
                </c:pt>
                <c:pt idx="7">
                  <c:v>dic-11</c:v>
                </c:pt>
                <c:pt idx="8">
                  <c:v>jun-12</c:v>
                </c:pt>
                <c:pt idx="9">
                  <c:v>dic-12</c:v>
                </c:pt>
                <c:pt idx="10">
                  <c:v>jun-13</c:v>
                </c:pt>
                <c:pt idx="11">
                  <c:v>dic-13</c:v>
                </c:pt>
                <c:pt idx="12">
                  <c:v>mar-14</c:v>
                </c:pt>
                <c:pt idx="13">
                  <c:v>jun-14</c:v>
                </c:pt>
                <c:pt idx="14">
                  <c:v>sep-14</c:v>
                </c:pt>
                <c:pt idx="15">
                  <c:v>dic-14</c:v>
                </c:pt>
                <c:pt idx="16">
                  <c:v>mar-15</c:v>
                </c:pt>
                <c:pt idx="17">
                  <c:v>jun-15</c:v>
                </c:pt>
                <c:pt idx="18">
                  <c:v>sep-15</c:v>
                </c:pt>
                <c:pt idx="19">
                  <c:v>dic-15</c:v>
                </c:pt>
                <c:pt idx="20">
                  <c:v>mar-16</c:v>
                </c:pt>
                <c:pt idx="21">
                  <c:v>jun-16</c:v>
                </c:pt>
                <c:pt idx="22">
                  <c:v>sep-16</c:v>
                </c:pt>
                <c:pt idx="23">
                  <c:v>dic-16</c:v>
                </c:pt>
                <c:pt idx="24">
                  <c:v>mar-17</c:v>
                </c:pt>
                <c:pt idx="25">
                  <c:v>jun-17</c:v>
                </c:pt>
                <c:pt idx="26">
                  <c:v>sep-17</c:v>
                </c:pt>
                <c:pt idx="27">
                  <c:v>dic-17</c:v>
                </c:pt>
                <c:pt idx="28">
                  <c:v>mar-18</c:v>
                </c:pt>
                <c:pt idx="29">
                  <c:v>jun-18</c:v>
                </c:pt>
                <c:pt idx="30">
                  <c:v>sep-18</c:v>
                </c:pt>
                <c:pt idx="31">
                  <c:v>dic-18</c:v>
                </c:pt>
                <c:pt idx="32">
                  <c:v>mar-19</c:v>
                </c:pt>
                <c:pt idx="33">
                  <c:v>jun-19</c:v>
                </c:pt>
                <c:pt idx="34">
                  <c:v>sep-19</c:v>
                </c:pt>
                <c:pt idx="35">
                  <c:v>dic-19</c:v>
                </c:pt>
                <c:pt idx="36">
                  <c:v>sep-20</c:v>
                </c:pt>
                <c:pt idx="37">
                  <c:v>oct-20</c:v>
                </c:pt>
                <c:pt idx="38">
                  <c:v>nov-20</c:v>
                </c:pt>
                <c:pt idx="39">
                  <c:v>dic-20</c:v>
                </c:pt>
                <c:pt idx="40">
                  <c:v>ene-21</c:v>
                </c:pt>
                <c:pt idx="41">
                  <c:v>feb-21</c:v>
                </c:pt>
                <c:pt idx="42">
                  <c:v>mar-21</c:v>
                </c:pt>
                <c:pt idx="43">
                  <c:v>abr-21</c:v>
                </c:pt>
                <c:pt idx="44">
                  <c:v>may-21</c:v>
                </c:pt>
                <c:pt idx="45">
                  <c:v>jun-21</c:v>
                </c:pt>
                <c:pt idx="46">
                  <c:v>jul-21</c:v>
                </c:pt>
                <c:pt idx="47">
                  <c:v>ago-21</c:v>
                </c:pt>
                <c:pt idx="48">
                  <c:v>sep-21</c:v>
                </c:pt>
                <c:pt idx="49">
                  <c:v>oct-21</c:v>
                </c:pt>
                <c:pt idx="50">
                  <c:v>nov-21</c:v>
                </c:pt>
                <c:pt idx="51">
                  <c:v>dic-21</c:v>
                </c:pt>
              </c:strCache>
            </c:strRef>
          </c:cat>
          <c:val>
            <c:numRef>
              <c:f>'mixed frequency'!$E$6:$E$57</c:f>
              <c:numCache>
                <c:formatCode>0.0</c:formatCode>
                <c:ptCount val="52"/>
                <c:pt idx="0">
                  <c:v>37.778383413694542</c:v>
                </c:pt>
                <c:pt idx="1">
                  <c:v>37.798633400964917</c:v>
                </c:pt>
                <c:pt idx="2">
                  <c:v>38.271032374076142</c:v>
                </c:pt>
                <c:pt idx="3">
                  <c:v>38.14665142030411</c:v>
                </c:pt>
                <c:pt idx="4">
                  <c:v>36.875627736624345</c:v>
                </c:pt>
                <c:pt idx="5">
                  <c:v>38.297796979937637</c:v>
                </c:pt>
                <c:pt idx="6">
                  <c:v>37.981625199841886</c:v>
                </c:pt>
                <c:pt idx="7">
                  <c:v>37.413268910662275</c:v>
                </c:pt>
                <c:pt idx="8">
                  <c:v>36.788690125181375</c:v>
                </c:pt>
                <c:pt idx="9">
                  <c:v>37.737916304371566</c:v>
                </c:pt>
                <c:pt idx="10">
                  <c:v>35.910265565345611</c:v>
                </c:pt>
                <c:pt idx="11">
                  <c:v>37.149253261988846</c:v>
                </c:pt>
                <c:pt idx="12">
                  <c:v>35.493253104453466</c:v>
                </c:pt>
                <c:pt idx="13">
                  <c:v>37.073232538544502</c:v>
                </c:pt>
                <c:pt idx="14">
                  <c:v>35.536389183507566</c:v>
                </c:pt>
                <c:pt idx="15">
                  <c:v>35.907970976534692</c:v>
                </c:pt>
                <c:pt idx="16">
                  <c:v>35.090543289625145</c:v>
                </c:pt>
                <c:pt idx="17">
                  <c:v>35.182089021146943</c:v>
                </c:pt>
                <c:pt idx="18">
                  <c:v>34.509020704483177</c:v>
                </c:pt>
                <c:pt idx="19">
                  <c:v>35.208168097067777</c:v>
                </c:pt>
                <c:pt idx="20">
                  <c:v>33.201372287335168</c:v>
                </c:pt>
                <c:pt idx="21">
                  <c:v>33.179117891536009</c:v>
                </c:pt>
                <c:pt idx="22">
                  <c:v>32.098972907544074</c:v>
                </c:pt>
                <c:pt idx="23">
                  <c:v>33.836587310838489</c:v>
                </c:pt>
                <c:pt idx="24">
                  <c:v>31.948740274918634</c:v>
                </c:pt>
                <c:pt idx="25">
                  <c:v>32.664107810247579</c:v>
                </c:pt>
                <c:pt idx="26">
                  <c:v>32.64747133914922</c:v>
                </c:pt>
                <c:pt idx="27">
                  <c:v>33.877648897296147</c:v>
                </c:pt>
                <c:pt idx="28">
                  <c:v>33.680310679463183</c:v>
                </c:pt>
                <c:pt idx="29">
                  <c:v>33.28437941781214</c:v>
                </c:pt>
                <c:pt idx="30">
                  <c:v>33.345435644057858</c:v>
                </c:pt>
                <c:pt idx="31">
                  <c:v>34.053162166391665</c:v>
                </c:pt>
                <c:pt idx="32">
                  <c:v>32.325445793486708</c:v>
                </c:pt>
                <c:pt idx="33">
                  <c:v>32.782942020214477</c:v>
                </c:pt>
                <c:pt idx="34">
                  <c:v>32.839078508239908</c:v>
                </c:pt>
                <c:pt idx="35">
                  <c:v>34.290522987980808</c:v>
                </c:pt>
                <c:pt idx="36">
                  <c:v>31.189303207165004</c:v>
                </c:pt>
                <c:pt idx="37">
                  <c:v>30.399381940308043</c:v>
                </c:pt>
                <c:pt idx="38">
                  <c:v>30.407134265982432</c:v>
                </c:pt>
                <c:pt idx="39">
                  <c:v>31.044230844198786</c:v>
                </c:pt>
                <c:pt idx="40">
                  <c:v>30.957399975964709</c:v>
                </c:pt>
                <c:pt idx="41">
                  <c:v>31.378956955384094</c:v>
                </c:pt>
                <c:pt idx="42">
                  <c:v>30.522839207625754</c:v>
                </c:pt>
                <c:pt idx="43">
                  <c:v>30.066766013967715</c:v>
                </c:pt>
                <c:pt idx="44">
                  <c:v>30.092477131771084</c:v>
                </c:pt>
                <c:pt idx="45">
                  <c:v>30.782100065469407</c:v>
                </c:pt>
                <c:pt idx="46">
                  <c:v>30.314468510790032</c:v>
                </c:pt>
                <c:pt idx="47">
                  <c:v>31.079833889273107</c:v>
                </c:pt>
                <c:pt idx="48">
                  <c:v>31.072048274475392</c:v>
                </c:pt>
                <c:pt idx="49">
                  <c:v>30.130789869652798</c:v>
                </c:pt>
                <c:pt idx="50">
                  <c:v>31.015095454670849</c:v>
                </c:pt>
                <c:pt idx="51">
                  <c:v>31.244531948477196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CE-46FC-A43B-39FF6A384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918352"/>
        <c:axId val="1576919440"/>
      </c:lineChart>
      <c:catAx>
        <c:axId val="157691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19440"/>
        <c:crosses val="autoZero"/>
        <c:auto val="1"/>
        <c:lblAlgn val="ctr"/>
        <c:lblOffset val="100"/>
        <c:noMultiLvlLbl val="0"/>
      </c:catAx>
      <c:valAx>
        <c:axId val="1576919440"/>
        <c:scaling>
          <c:orientation val="minMax"/>
          <c:max val="45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1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quarterly!$B$1</c:f>
              <c:strCache>
                <c:ptCount val="1"/>
                <c:pt idx="0">
                  <c:v>Total horas trabajadas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quarterly!$A$2:$A$58</c:f>
              <c:numCache>
                <c:formatCode>mmm\-yy</c:formatCode>
                <c:ptCount val="57"/>
                <c:pt idx="0">
                  <c:v>39417</c:v>
                </c:pt>
                <c:pt idx="1">
                  <c:v>39508</c:v>
                </c:pt>
                <c:pt idx="2">
                  <c:v>39600</c:v>
                </c:pt>
                <c:pt idx="3">
                  <c:v>39692</c:v>
                </c:pt>
                <c:pt idx="4">
                  <c:v>39783</c:v>
                </c:pt>
                <c:pt idx="5">
                  <c:v>39873</c:v>
                </c:pt>
                <c:pt idx="6">
                  <c:v>39965</c:v>
                </c:pt>
                <c:pt idx="7">
                  <c:v>40057</c:v>
                </c:pt>
                <c:pt idx="8">
                  <c:v>40148</c:v>
                </c:pt>
                <c:pt idx="9">
                  <c:v>40238</c:v>
                </c:pt>
                <c:pt idx="10">
                  <c:v>40330</c:v>
                </c:pt>
                <c:pt idx="11">
                  <c:v>40422</c:v>
                </c:pt>
                <c:pt idx="12">
                  <c:v>40513</c:v>
                </c:pt>
                <c:pt idx="13">
                  <c:v>40603</c:v>
                </c:pt>
                <c:pt idx="14">
                  <c:v>40695</c:v>
                </c:pt>
                <c:pt idx="15">
                  <c:v>40787</c:v>
                </c:pt>
                <c:pt idx="16">
                  <c:v>40878</c:v>
                </c:pt>
                <c:pt idx="17">
                  <c:v>40969</c:v>
                </c:pt>
                <c:pt idx="18">
                  <c:v>41061</c:v>
                </c:pt>
                <c:pt idx="19">
                  <c:v>41153</c:v>
                </c:pt>
                <c:pt idx="20">
                  <c:v>41244</c:v>
                </c:pt>
                <c:pt idx="21">
                  <c:v>41334</c:v>
                </c:pt>
                <c:pt idx="22">
                  <c:v>41426</c:v>
                </c:pt>
                <c:pt idx="23">
                  <c:v>41518</c:v>
                </c:pt>
                <c:pt idx="24">
                  <c:v>41609</c:v>
                </c:pt>
                <c:pt idx="25">
                  <c:v>41699</c:v>
                </c:pt>
                <c:pt idx="26">
                  <c:v>41791</c:v>
                </c:pt>
                <c:pt idx="27">
                  <c:v>41883</c:v>
                </c:pt>
                <c:pt idx="28">
                  <c:v>41974</c:v>
                </c:pt>
                <c:pt idx="29">
                  <c:v>42064</c:v>
                </c:pt>
                <c:pt idx="30">
                  <c:v>42156</c:v>
                </c:pt>
                <c:pt idx="31">
                  <c:v>42248</c:v>
                </c:pt>
                <c:pt idx="32">
                  <c:v>42339</c:v>
                </c:pt>
                <c:pt idx="33">
                  <c:v>42430</c:v>
                </c:pt>
                <c:pt idx="34">
                  <c:v>42522</c:v>
                </c:pt>
                <c:pt idx="35">
                  <c:v>42614</c:v>
                </c:pt>
                <c:pt idx="36">
                  <c:v>42705</c:v>
                </c:pt>
                <c:pt idx="37">
                  <c:v>42795</c:v>
                </c:pt>
                <c:pt idx="38">
                  <c:v>42887</c:v>
                </c:pt>
                <c:pt idx="39">
                  <c:v>42979</c:v>
                </c:pt>
                <c:pt idx="40">
                  <c:v>43070</c:v>
                </c:pt>
                <c:pt idx="41">
                  <c:v>43160</c:v>
                </c:pt>
                <c:pt idx="42">
                  <c:v>43252</c:v>
                </c:pt>
                <c:pt idx="43">
                  <c:v>43344</c:v>
                </c:pt>
                <c:pt idx="44">
                  <c:v>43435</c:v>
                </c:pt>
                <c:pt idx="45">
                  <c:v>43525</c:v>
                </c:pt>
                <c:pt idx="46">
                  <c:v>43617</c:v>
                </c:pt>
                <c:pt idx="47">
                  <c:v>43709</c:v>
                </c:pt>
                <c:pt idx="48">
                  <c:v>43800</c:v>
                </c:pt>
                <c:pt idx="49">
                  <c:v>43891</c:v>
                </c:pt>
                <c:pt idx="50">
                  <c:v>43983</c:v>
                </c:pt>
                <c:pt idx="51">
                  <c:v>44075</c:v>
                </c:pt>
                <c:pt idx="52">
                  <c:v>44166</c:v>
                </c:pt>
                <c:pt idx="53">
                  <c:v>44256</c:v>
                </c:pt>
                <c:pt idx="54">
                  <c:v>44348</c:v>
                </c:pt>
                <c:pt idx="55">
                  <c:v>44440</c:v>
                </c:pt>
                <c:pt idx="56">
                  <c:v>44531</c:v>
                </c:pt>
              </c:numCache>
            </c:numRef>
          </c:cat>
          <c:val>
            <c:numRef>
              <c:f>quarterly!$B$2:$B$58</c:f>
              <c:numCache>
                <c:formatCode>General</c:formatCode>
                <c:ptCount val="57"/>
                <c:pt idx="0">
                  <c:v>39.765816910344647</c:v>
                </c:pt>
                <c:pt idx="2">
                  <c:v>39.793649488549569</c:v>
                </c:pt>
                <c:pt idx="4">
                  <c:v>39.844144385203222</c:v>
                </c:pt>
                <c:pt idx="8">
                  <c:v>38.949398793185111</c:v>
                </c:pt>
                <c:pt idx="10">
                  <c:v>38.224069675621749</c:v>
                </c:pt>
                <c:pt idx="12">
                  <c:v>39.534685224609717</c:v>
                </c:pt>
                <c:pt idx="14">
                  <c:v>39.17882593221691</c:v>
                </c:pt>
                <c:pt idx="16">
                  <c:v>39.388394846478484</c:v>
                </c:pt>
                <c:pt idx="18">
                  <c:v>38.315673393752988</c:v>
                </c:pt>
                <c:pt idx="20">
                  <c:v>38.943186414879897</c:v>
                </c:pt>
                <c:pt idx="22">
                  <c:v>37.91016300765984</c:v>
                </c:pt>
                <c:pt idx="24">
                  <c:v>38.922977170369151</c:v>
                </c:pt>
                <c:pt idx="25">
                  <c:v>37.097129489877503</c:v>
                </c:pt>
                <c:pt idx="26">
                  <c:v>38.28617111831511</c:v>
                </c:pt>
                <c:pt idx="27">
                  <c:v>37.680587812631686</c:v>
                </c:pt>
                <c:pt idx="28">
                  <c:v>37.970763242863619</c:v>
                </c:pt>
                <c:pt idx="29">
                  <c:v>37.347193151902935</c:v>
                </c:pt>
                <c:pt idx="30">
                  <c:v>37.36630218484288</c:v>
                </c:pt>
                <c:pt idx="31">
                  <c:v>36.770737503508826</c:v>
                </c:pt>
                <c:pt idx="32">
                  <c:v>37.091327816773905</c:v>
                </c:pt>
                <c:pt idx="33">
                  <c:v>35.415561645412843</c:v>
                </c:pt>
                <c:pt idx="34">
                  <c:v>35.754432174491612</c:v>
                </c:pt>
                <c:pt idx="35">
                  <c:v>34.800694175484679</c:v>
                </c:pt>
                <c:pt idx="36">
                  <c:v>35.92859542369758</c:v>
                </c:pt>
                <c:pt idx="37">
                  <c:v>34.873099446932763</c:v>
                </c:pt>
                <c:pt idx="38">
                  <c:v>35.478245566437828</c:v>
                </c:pt>
                <c:pt idx="39">
                  <c:v>35.579560767156778</c:v>
                </c:pt>
                <c:pt idx="40">
                  <c:v>36.246103347680204</c:v>
                </c:pt>
                <c:pt idx="41">
                  <c:v>35.9115305870478</c:v>
                </c:pt>
                <c:pt idx="42">
                  <c:v>35.744142054819726</c:v>
                </c:pt>
                <c:pt idx="43">
                  <c:v>35.75177082191567</c:v>
                </c:pt>
                <c:pt idx="44">
                  <c:v>36.187507512148024</c:v>
                </c:pt>
                <c:pt idx="45">
                  <c:v>34.170604468610428</c:v>
                </c:pt>
                <c:pt idx="46">
                  <c:v>34.703233225180178</c:v>
                </c:pt>
                <c:pt idx="47">
                  <c:v>34.891009544904406</c:v>
                </c:pt>
                <c:pt idx="48">
                  <c:v>36.164914369098568</c:v>
                </c:pt>
                <c:pt idx="51">
                  <c:v>32.540763674822024</c:v>
                </c:pt>
                <c:pt idx="52">
                  <c:v>32.087950779595523</c:v>
                </c:pt>
                <c:pt idx="53">
                  <c:v>32.595534905147893</c:v>
                </c:pt>
                <c:pt idx="54">
                  <c:v>32.102367832360734</c:v>
                </c:pt>
                <c:pt idx="55">
                  <c:v>32.798723585144849</c:v>
                </c:pt>
                <c:pt idx="56">
                  <c:v>33.064261836731418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91-462B-A0D7-34A385D67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748447"/>
        <c:axId val="757758847"/>
      </c:lineChart>
      <c:dateAx>
        <c:axId val="7577484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58847"/>
        <c:crosses val="autoZero"/>
        <c:auto val="1"/>
        <c:lblOffset val="100"/>
        <c:baseTimeUnit val="months"/>
      </c:dateAx>
      <c:valAx>
        <c:axId val="75775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4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746760</xdr:colOff>
      <xdr:row>18</xdr:row>
      <xdr:rowOff>7621</xdr:rowOff>
    </xdr:from>
    <xdr:to>
      <xdr:col>17</xdr:col>
      <xdr:colOff>304799</xdr:colOff>
      <xdr:row>39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28</xdr:row>
      <xdr:rowOff>123825</xdr:rowOff>
    </xdr:from>
    <xdr:to>
      <xdr:col>12</xdr:col>
      <xdr:colOff>314325</xdr:colOff>
      <xdr:row>51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8A745-4194-4F2F-9F50-EEC32C64D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7"/>
  <sheetViews>
    <sheetView showGridLines="0" zoomScaleNormal="100" workbookViewId="0">
      <pane ySplit="5" topLeftCell="A6" activePane="bottomLeft" state="frozen"/>
      <selection pane="bottomLeft" activeCell="G5" sqref="G5"/>
    </sheetView>
  </sheetViews>
  <sheetFormatPr defaultColWidth="11.42578125" defaultRowHeight="15.75" x14ac:dyDescent="0.25"/>
  <cols>
    <col min="1" max="1" width="2.85546875" style="1" customWidth="1"/>
    <col min="2" max="16384" width="11.42578125" style="1"/>
  </cols>
  <sheetData>
    <row r="2" spans="2:7" ht="21" x14ac:dyDescent="0.25">
      <c r="B2" s="9" t="s">
        <v>40</v>
      </c>
    </row>
    <row r="3" spans="2:7" x14ac:dyDescent="0.25">
      <c r="B3" s="2" t="s">
        <v>38</v>
      </c>
    </row>
    <row r="4" spans="2:7" x14ac:dyDescent="0.25">
      <c r="B4" s="2"/>
    </row>
    <row r="5" spans="2:7" s="6" customFormat="1" ht="22.5" customHeight="1" x14ac:dyDescent="0.25">
      <c r="B5" s="3"/>
      <c r="C5" s="4" t="s">
        <v>39</v>
      </c>
      <c r="D5" s="5" t="s">
        <v>0</v>
      </c>
      <c r="E5" s="5" t="s">
        <v>1</v>
      </c>
      <c r="F5" s="6" t="s">
        <v>57</v>
      </c>
      <c r="G5" s="6" t="s">
        <v>58</v>
      </c>
    </row>
    <row r="6" spans="2:7" x14ac:dyDescent="0.25">
      <c r="B6" s="7" t="s">
        <v>2</v>
      </c>
      <c r="C6" s="8">
        <v>41.858029671641425</v>
      </c>
      <c r="D6" s="8">
        <v>44.538656672648195</v>
      </c>
      <c r="E6" s="8">
        <v>37.778383413694542</v>
      </c>
      <c r="F6" s="11">
        <v>4.9983546232570069</v>
      </c>
      <c r="G6" s="1">
        <f>C6*(1-F6/100)</f>
        <v>39.765816910344647</v>
      </c>
    </row>
    <row r="7" spans="2:7" x14ac:dyDescent="0.25">
      <c r="B7" s="7" t="s">
        <v>3</v>
      </c>
      <c r="C7" s="8">
        <v>41.986479685299301</v>
      </c>
      <c r="D7" s="8">
        <v>44.787557769032745</v>
      </c>
      <c r="E7" s="8">
        <v>37.798633400964917</v>
      </c>
      <c r="F7" s="11">
        <v>5.222705530889054</v>
      </c>
      <c r="G7" s="1">
        <f t="shared" ref="G7:G57" si="0">C7*(1-F7/100)</f>
        <v>39.793649488549569</v>
      </c>
    </row>
    <row r="8" spans="2:7" x14ac:dyDescent="0.25">
      <c r="B8" s="7" t="s">
        <v>4</v>
      </c>
      <c r="C8" s="8">
        <v>42.365512160162005</v>
      </c>
      <c r="D8" s="8">
        <v>45.035096915775718</v>
      </c>
      <c r="E8" s="8">
        <v>38.271032374076142</v>
      </c>
      <c r="F8" s="11">
        <v>5.9514629858050654</v>
      </c>
      <c r="G8" s="1">
        <f t="shared" si="0"/>
        <v>39.844144385203222</v>
      </c>
    </row>
    <row r="9" spans="2:7" x14ac:dyDescent="0.25">
      <c r="B9" s="7" t="s">
        <v>5</v>
      </c>
      <c r="C9" s="8">
        <v>41.644332644534444</v>
      </c>
      <c r="D9" s="8">
        <v>43.937110703395788</v>
      </c>
      <c r="E9" s="8">
        <v>38.14665142030411</v>
      </c>
      <c r="F9" s="11">
        <v>6.4713099723619232</v>
      </c>
      <c r="G9" s="1">
        <f t="shared" si="0"/>
        <v>38.949398793185111</v>
      </c>
    </row>
    <row r="10" spans="2:7" x14ac:dyDescent="0.25">
      <c r="B10" s="7" t="s">
        <v>6</v>
      </c>
      <c r="C10" s="8">
        <v>40.751966742161827</v>
      </c>
      <c r="D10" s="8">
        <v>43.315612748016996</v>
      </c>
      <c r="E10" s="8">
        <v>36.875627736624345</v>
      </c>
      <c r="F10" s="11">
        <v>6.2031289987403806</v>
      </c>
      <c r="G10" s="1">
        <f t="shared" si="0"/>
        <v>38.224069675621749</v>
      </c>
    </row>
    <row r="11" spans="2:7" x14ac:dyDescent="0.25">
      <c r="B11" s="7" t="s">
        <v>7</v>
      </c>
      <c r="C11" s="8">
        <v>41.623720676758573</v>
      </c>
      <c r="D11" s="8">
        <v>43.735931587692313</v>
      </c>
      <c r="E11" s="8">
        <v>38.297796979937637</v>
      </c>
      <c r="F11" s="11">
        <v>5.0188580409999517</v>
      </c>
      <c r="G11" s="1">
        <f t="shared" si="0"/>
        <v>39.534685224609717</v>
      </c>
    </row>
    <row r="12" spans="2:7" x14ac:dyDescent="0.25">
      <c r="B12" s="7" t="s">
        <v>8</v>
      </c>
      <c r="C12" s="8">
        <v>41.250910922079363</v>
      </c>
      <c r="D12" s="8">
        <v>43.387298918862491</v>
      </c>
      <c r="E12" s="8">
        <v>37.981625199841886</v>
      </c>
      <c r="F12" s="11">
        <v>5.0231254135854257</v>
      </c>
      <c r="G12" s="1">
        <f t="shared" si="0"/>
        <v>39.17882593221691</v>
      </c>
    </row>
    <row r="13" spans="2:7" x14ac:dyDescent="0.25">
      <c r="B13" s="7" t="s">
        <v>9</v>
      </c>
      <c r="C13" s="8">
        <v>41.117578031225563</v>
      </c>
      <c r="D13" s="8">
        <v>43.48818447442622</v>
      </c>
      <c r="E13" s="8">
        <v>37.413268910662275</v>
      </c>
      <c r="F13" s="11">
        <v>4.2054597268202416</v>
      </c>
      <c r="G13" s="1">
        <f t="shared" si="0"/>
        <v>39.388394846478484</v>
      </c>
    </row>
    <row r="14" spans="2:7" x14ac:dyDescent="0.25">
      <c r="B14" s="7" t="s">
        <v>10</v>
      </c>
      <c r="C14" s="8">
        <v>39.959030728441221</v>
      </c>
      <c r="D14" s="8">
        <v>42.050247609548393</v>
      </c>
      <c r="E14" s="8">
        <v>36.788690125181375</v>
      </c>
      <c r="F14" s="11">
        <v>4.1126055981096528</v>
      </c>
      <c r="G14" s="1">
        <f t="shared" si="0"/>
        <v>38.315673393752988</v>
      </c>
    </row>
    <row r="15" spans="2:7" x14ac:dyDescent="0.25">
      <c r="B15" s="7" t="s">
        <v>11</v>
      </c>
      <c r="C15" s="8">
        <v>40.617173684054713</v>
      </c>
      <c r="D15" s="8">
        <v>42.493188733400963</v>
      </c>
      <c r="E15" s="8">
        <v>37.737916304371566</v>
      </c>
      <c r="F15" s="11">
        <v>4.1213780215140456</v>
      </c>
      <c r="G15" s="1">
        <f t="shared" si="0"/>
        <v>38.943186414879897</v>
      </c>
    </row>
    <row r="16" spans="2:7" x14ac:dyDescent="0.25">
      <c r="B16" s="7" t="s">
        <v>12</v>
      </c>
      <c r="C16" s="8">
        <v>39.454294820721415</v>
      </c>
      <c r="D16" s="8">
        <v>41.852261592793575</v>
      </c>
      <c r="E16" s="8">
        <v>35.910265565345611</v>
      </c>
      <c r="F16" s="11">
        <v>3.9137230055132091</v>
      </c>
      <c r="G16" s="1">
        <f t="shared" si="0"/>
        <v>37.91016300765984</v>
      </c>
    </row>
    <row r="17" spans="2:7" x14ac:dyDescent="0.25">
      <c r="B17" s="7" t="s">
        <v>13</v>
      </c>
      <c r="C17" s="8">
        <v>40.609413371459191</v>
      </c>
      <c r="D17" s="8">
        <v>42.80753884915022</v>
      </c>
      <c r="E17" s="8">
        <v>37.149253261988846</v>
      </c>
      <c r="F17" s="11">
        <v>4.1528208882605826</v>
      </c>
      <c r="G17" s="1">
        <f t="shared" si="0"/>
        <v>38.922977170369151</v>
      </c>
    </row>
    <row r="18" spans="2:7" x14ac:dyDescent="0.25">
      <c r="B18" s="7" t="s">
        <v>14</v>
      </c>
      <c r="C18" s="8">
        <v>38.989491836608529</v>
      </c>
      <c r="D18" s="8">
        <v>41.257064267408957</v>
      </c>
      <c r="E18" s="8">
        <v>35.493253104453466</v>
      </c>
      <c r="F18" s="11">
        <v>4.8535188780127196</v>
      </c>
      <c r="G18" s="1">
        <f t="shared" si="0"/>
        <v>37.097129489877503</v>
      </c>
    </row>
    <row r="19" spans="2:7" x14ac:dyDescent="0.25">
      <c r="B19" s="7" t="s">
        <v>15</v>
      </c>
      <c r="C19" s="8">
        <v>40.155044051344312</v>
      </c>
      <c r="D19" s="8">
        <v>42.097944163475965</v>
      </c>
      <c r="E19" s="8">
        <v>37.073232538544502</v>
      </c>
      <c r="F19" s="11">
        <v>4.6541424052220233</v>
      </c>
      <c r="G19" s="1">
        <f t="shared" si="0"/>
        <v>38.28617111831511</v>
      </c>
    </row>
    <row r="20" spans="2:7" x14ac:dyDescent="0.25">
      <c r="B20" s="7" t="s">
        <v>16</v>
      </c>
      <c r="C20" s="8">
        <v>39.208389328741525</v>
      </c>
      <c r="D20" s="8">
        <v>41.557971643988019</v>
      </c>
      <c r="E20" s="8">
        <v>35.536389183507566</v>
      </c>
      <c r="F20" s="11">
        <v>3.896618918211693</v>
      </c>
      <c r="G20" s="1">
        <f t="shared" si="0"/>
        <v>37.680587812631686</v>
      </c>
    </row>
    <row r="21" spans="2:7" x14ac:dyDescent="0.25">
      <c r="B21" s="7" t="s">
        <v>17</v>
      </c>
      <c r="C21" s="8">
        <v>39.47077328973905</v>
      </c>
      <c r="D21" s="8">
        <v>41.824731736115517</v>
      </c>
      <c r="E21" s="8">
        <v>35.907970976534692</v>
      </c>
      <c r="F21" s="11">
        <v>3.8003056992688302</v>
      </c>
      <c r="G21" s="1">
        <f t="shared" si="0"/>
        <v>37.970763242863619</v>
      </c>
    </row>
    <row r="22" spans="2:7" x14ac:dyDescent="0.25">
      <c r="B22" s="7" t="s">
        <v>18</v>
      </c>
      <c r="C22" s="8">
        <v>38.837513944149968</v>
      </c>
      <c r="D22" s="8">
        <v>41.387016957409642</v>
      </c>
      <c r="E22" s="8">
        <v>35.090543289625145</v>
      </c>
      <c r="F22" s="11">
        <v>3.83732283788859</v>
      </c>
      <c r="G22" s="1">
        <f t="shared" si="0"/>
        <v>37.347193151902935</v>
      </c>
    </row>
    <row r="23" spans="2:7" x14ac:dyDescent="0.25">
      <c r="B23" s="7" t="s">
        <v>19</v>
      </c>
      <c r="C23" s="8">
        <v>39.114535954430337</v>
      </c>
      <c r="D23" s="8">
        <v>41.790560994811912</v>
      </c>
      <c r="E23" s="8">
        <v>35.182089021146943</v>
      </c>
      <c r="F23" s="11">
        <v>4.4695245052228287</v>
      </c>
      <c r="G23" s="1">
        <f t="shared" si="0"/>
        <v>37.36630218484288</v>
      </c>
    </row>
    <row r="24" spans="2:7" x14ac:dyDescent="0.25">
      <c r="B24" s="7" t="s">
        <v>20</v>
      </c>
      <c r="C24" s="8">
        <v>38.416101054879121</v>
      </c>
      <c r="D24" s="8">
        <v>41.142632311799552</v>
      </c>
      <c r="E24" s="8">
        <v>34.509020704483177</v>
      </c>
      <c r="F24" s="11">
        <v>4.2830050582692376</v>
      </c>
      <c r="G24" s="1">
        <f t="shared" si="0"/>
        <v>36.770737503508826</v>
      </c>
    </row>
    <row r="25" spans="2:7" x14ac:dyDescent="0.25">
      <c r="B25" s="7" t="s">
        <v>21</v>
      </c>
      <c r="C25" s="8">
        <v>38.950364404808496</v>
      </c>
      <c r="D25" s="8">
        <v>41.460221443966354</v>
      </c>
      <c r="E25" s="8">
        <v>35.208168097067777</v>
      </c>
      <c r="F25" s="11">
        <v>4.7728349052495478</v>
      </c>
      <c r="G25" s="1">
        <f t="shared" si="0"/>
        <v>37.091327816773905</v>
      </c>
    </row>
    <row r="26" spans="2:7" x14ac:dyDescent="0.25">
      <c r="B26" s="7" t="s">
        <v>22</v>
      </c>
      <c r="C26" s="8">
        <v>37.560706219300364</v>
      </c>
      <c r="D26" s="8">
        <v>40.717719948068243</v>
      </c>
      <c r="E26" s="8">
        <v>33.201372287335168</v>
      </c>
      <c r="F26" s="11">
        <v>5.7111401509944244</v>
      </c>
      <c r="G26" s="1">
        <f t="shared" si="0"/>
        <v>35.415561645412843</v>
      </c>
    </row>
    <row r="27" spans="2:7" x14ac:dyDescent="0.25">
      <c r="B27" s="7" t="s">
        <v>23</v>
      </c>
      <c r="C27" s="8">
        <v>37.764573572650839</v>
      </c>
      <c r="D27" s="8">
        <v>41.025286906880297</v>
      </c>
      <c r="E27" s="8">
        <v>33.179117891536009</v>
      </c>
      <c r="F27" s="11">
        <v>5.3228229740027428</v>
      </c>
      <c r="G27" s="1">
        <f t="shared" si="0"/>
        <v>35.754432174491612</v>
      </c>
    </row>
    <row r="28" spans="2:7" x14ac:dyDescent="0.25">
      <c r="B28" s="7" t="s">
        <v>24</v>
      </c>
      <c r="C28" s="8">
        <v>36.710558699886505</v>
      </c>
      <c r="D28" s="8">
        <v>40.11265529843493</v>
      </c>
      <c r="E28" s="8">
        <v>32.098972907544074</v>
      </c>
      <c r="F28" s="11">
        <v>5.202493756674234</v>
      </c>
      <c r="G28" s="1">
        <f t="shared" si="0"/>
        <v>34.800694175484679</v>
      </c>
    </row>
    <row r="29" spans="2:7" x14ac:dyDescent="0.25">
      <c r="B29" s="7" t="s">
        <v>25</v>
      </c>
      <c r="C29" s="8">
        <v>37.90440136607242</v>
      </c>
      <c r="D29" s="8">
        <v>40.77719325254693</v>
      </c>
      <c r="E29" s="8">
        <v>33.836587310838489</v>
      </c>
      <c r="F29" s="11">
        <v>5.2126029462724919</v>
      </c>
      <c r="G29" s="1">
        <f t="shared" si="0"/>
        <v>35.92859542369758</v>
      </c>
    </row>
    <row r="30" spans="2:7" x14ac:dyDescent="0.25">
      <c r="B30" s="7" t="s">
        <v>26</v>
      </c>
      <c r="C30" s="8">
        <v>36.476726087024019</v>
      </c>
      <c r="D30" s="8">
        <v>39.820984788843028</v>
      </c>
      <c r="E30" s="8">
        <v>31.948740274918634</v>
      </c>
      <c r="F30" s="11">
        <v>4.3963009077772526</v>
      </c>
      <c r="G30" s="1">
        <f t="shared" si="0"/>
        <v>34.873099446932763</v>
      </c>
    </row>
    <row r="31" spans="2:7" x14ac:dyDescent="0.25">
      <c r="B31" s="7" t="s">
        <v>27</v>
      </c>
      <c r="C31" s="8">
        <v>37.146955087990435</v>
      </c>
      <c r="D31" s="8">
        <v>40.413624373461722</v>
      </c>
      <c r="E31" s="8">
        <v>32.664107810247579</v>
      </c>
      <c r="F31" s="11">
        <v>4.4921838616379643</v>
      </c>
      <c r="G31" s="1">
        <f t="shared" si="0"/>
        <v>35.478245566437828</v>
      </c>
    </row>
    <row r="32" spans="2:7" x14ac:dyDescent="0.25">
      <c r="B32" s="7" t="s">
        <v>28</v>
      </c>
      <c r="C32" s="8">
        <v>37.115611277441523</v>
      </c>
      <c r="D32" s="8">
        <v>40.375951920894416</v>
      </c>
      <c r="E32" s="8">
        <v>32.64747133914922</v>
      </c>
      <c r="F32" s="11">
        <v>4.1385564117553475</v>
      </c>
      <c r="G32" s="1">
        <f t="shared" si="0"/>
        <v>35.579560767156778</v>
      </c>
    </row>
    <row r="33" spans="2:7" x14ac:dyDescent="0.25">
      <c r="B33" s="7" t="s">
        <v>29</v>
      </c>
      <c r="C33" s="8">
        <v>38.003240497846889</v>
      </c>
      <c r="D33" s="8">
        <v>40.949842212697149</v>
      </c>
      <c r="E33" s="8">
        <v>33.877648897296147</v>
      </c>
      <c r="F33" s="11">
        <v>4.6236508443700632</v>
      </c>
      <c r="G33" s="1">
        <f t="shared" si="0"/>
        <v>36.246103347680204</v>
      </c>
    </row>
    <row r="34" spans="2:7" x14ac:dyDescent="0.25">
      <c r="B34" s="7" t="s">
        <v>30</v>
      </c>
      <c r="C34" s="8">
        <v>37.577922518681611</v>
      </c>
      <c r="D34" s="8">
        <v>40.324572471742229</v>
      </c>
      <c r="E34" s="8">
        <v>33.680310679463183</v>
      </c>
      <c r="F34" s="12">
        <v>4.4344972258787765</v>
      </c>
      <c r="G34" s="1">
        <f t="shared" si="0"/>
        <v>35.9115305870478</v>
      </c>
    </row>
    <row r="35" spans="2:7" x14ac:dyDescent="0.25">
      <c r="B35" s="7" t="s">
        <v>31</v>
      </c>
      <c r="C35" s="8">
        <v>37.286745506822541</v>
      </c>
      <c r="D35" s="8">
        <v>40.135092508950933</v>
      </c>
      <c r="E35" s="8">
        <v>33.28437941781214</v>
      </c>
      <c r="F35" s="12">
        <v>4.1371362156575282</v>
      </c>
      <c r="G35" s="1">
        <f t="shared" si="0"/>
        <v>35.744142054819726</v>
      </c>
    </row>
    <row r="36" spans="2:7" x14ac:dyDescent="0.25">
      <c r="B36" s="7" t="s">
        <v>32</v>
      </c>
      <c r="C36" s="8">
        <v>37.25156856398479</v>
      </c>
      <c r="D36" s="8">
        <v>40.096344666568307</v>
      </c>
      <c r="E36" s="8">
        <v>33.345435644057858</v>
      </c>
      <c r="F36" s="12">
        <v>4.0261331264293183</v>
      </c>
      <c r="G36" s="1">
        <f t="shared" si="0"/>
        <v>35.75177082191567</v>
      </c>
    </row>
    <row r="37" spans="2:7" x14ac:dyDescent="0.25">
      <c r="B37" s="7" t="s">
        <v>33</v>
      </c>
      <c r="C37" s="8">
        <v>37.573483070263528</v>
      </c>
      <c r="D37" s="8">
        <v>40.046070801244134</v>
      </c>
      <c r="E37" s="8">
        <v>34.053162166391665</v>
      </c>
      <c r="F37" s="12">
        <v>3.6887066219644518</v>
      </c>
      <c r="G37" s="1">
        <f t="shared" si="0"/>
        <v>36.187507512148024</v>
      </c>
    </row>
    <row r="38" spans="2:7" x14ac:dyDescent="0.25">
      <c r="B38" s="7" t="s">
        <v>34</v>
      </c>
      <c r="C38" s="8">
        <v>35.821771333479496</v>
      </c>
      <c r="D38" s="8">
        <v>38.284715148190813</v>
      </c>
      <c r="E38" s="8">
        <v>32.325445793486708</v>
      </c>
      <c r="F38" s="12">
        <v>4.6093947993182205</v>
      </c>
      <c r="G38" s="1">
        <f t="shared" si="0"/>
        <v>34.170604468610428</v>
      </c>
    </row>
    <row r="39" spans="2:7" x14ac:dyDescent="0.25">
      <c r="B39" s="7" t="s">
        <v>35</v>
      </c>
      <c r="C39" s="8">
        <v>36.318717088190112</v>
      </c>
      <c r="D39" s="8">
        <v>38.877625938465293</v>
      </c>
      <c r="E39" s="8">
        <v>32.782942020214477</v>
      </c>
      <c r="F39" s="12">
        <v>4.4480752419948404</v>
      </c>
      <c r="G39" s="1">
        <f t="shared" si="0"/>
        <v>34.703233225180178</v>
      </c>
    </row>
    <row r="40" spans="2:7" x14ac:dyDescent="0.25">
      <c r="B40" s="7" t="s">
        <v>36</v>
      </c>
      <c r="C40" s="8">
        <v>36.671649967366541</v>
      </c>
      <c r="D40" s="8">
        <v>39.471416797119907</v>
      </c>
      <c r="E40" s="8">
        <v>32.839078508239908</v>
      </c>
      <c r="F40" s="12">
        <v>4.8556321410318208</v>
      </c>
      <c r="G40" s="1">
        <f t="shared" si="0"/>
        <v>34.891009544904406</v>
      </c>
    </row>
    <row r="41" spans="2:7" x14ac:dyDescent="0.25">
      <c r="B41" s="7" t="s">
        <v>37</v>
      </c>
      <c r="C41" s="8">
        <v>37.609736558626764</v>
      </c>
      <c r="D41" s="8">
        <v>39.961896219493923</v>
      </c>
      <c r="E41" s="8">
        <v>34.290522987980808</v>
      </c>
      <c r="F41" s="12">
        <v>3.8416174154157696</v>
      </c>
      <c r="G41" s="1">
        <f t="shared" si="0"/>
        <v>36.164914369098568</v>
      </c>
    </row>
    <row r="42" spans="2:7" x14ac:dyDescent="0.3">
      <c r="B42" s="10" t="s">
        <v>41</v>
      </c>
      <c r="C42" s="8">
        <v>34.67330723219149</v>
      </c>
      <c r="D42" s="8">
        <v>37.036466370171539</v>
      </c>
      <c r="E42" s="8">
        <v>31.189303207165004</v>
      </c>
      <c r="F42" s="13">
        <v>6.1503898174142542</v>
      </c>
      <c r="G42" s="1">
        <f t="shared" si="0"/>
        <v>32.540763674822024</v>
      </c>
    </row>
    <row r="43" spans="2:7" x14ac:dyDescent="0.3">
      <c r="B43" s="10" t="s">
        <v>42</v>
      </c>
      <c r="C43" s="8">
        <v>33.67915235367866</v>
      </c>
      <c r="D43" s="8">
        <v>35.909798396756997</v>
      </c>
      <c r="E43" s="8">
        <v>30.399381940308043</v>
      </c>
      <c r="F43" s="13">
        <v>5.7634175002446844</v>
      </c>
      <c r="G43" s="1">
        <f t="shared" si="0"/>
        <v>31.738082192992675</v>
      </c>
    </row>
    <row r="44" spans="2:7" x14ac:dyDescent="0.3">
      <c r="B44" s="10" t="s">
        <v>43</v>
      </c>
      <c r="C44" s="8">
        <v>33.7338824571667</v>
      </c>
      <c r="D44" s="8">
        <v>36.01598623056293</v>
      </c>
      <c r="E44" s="8">
        <v>30.407134265982432</v>
      </c>
      <c r="F44" s="13">
        <v>5.6421230248953895</v>
      </c>
      <c r="G44" s="1">
        <f t="shared" si="0"/>
        <v>31.830575307859753</v>
      </c>
    </row>
    <row r="45" spans="2:7" x14ac:dyDescent="0.3">
      <c r="B45" s="10" t="s">
        <v>44</v>
      </c>
      <c r="C45" s="8">
        <v>34.381499112827889</v>
      </c>
      <c r="D45" s="8">
        <v>36.662547507143508</v>
      </c>
      <c r="E45" s="8">
        <v>31.044230844198786</v>
      </c>
      <c r="F45" s="13">
        <v>4.9046851312675059</v>
      </c>
      <c r="G45" s="1">
        <f t="shared" si="0"/>
        <v>32.695194837934153</v>
      </c>
    </row>
    <row r="46" spans="2:7" x14ac:dyDescent="0.3">
      <c r="B46" s="10" t="s">
        <v>45</v>
      </c>
      <c r="C46" s="8">
        <v>34.460835112216351</v>
      </c>
      <c r="D46" s="8">
        <v>36.932294586316686</v>
      </c>
      <c r="E46" s="8">
        <v>30.957399975964709</v>
      </c>
      <c r="F46" s="13">
        <v>5.3338878184949436</v>
      </c>
      <c r="G46" s="1">
        <f t="shared" si="0"/>
        <v>32.622732826014214</v>
      </c>
    </row>
    <row r="47" spans="2:7" x14ac:dyDescent="0.3">
      <c r="B47" s="10" t="s">
        <v>46</v>
      </c>
      <c r="C47" s="8">
        <v>34.314020360835123</v>
      </c>
      <c r="D47" s="8">
        <v>36.366612137772904</v>
      </c>
      <c r="E47" s="8">
        <v>31.378956955384094</v>
      </c>
      <c r="F47" s="13">
        <v>5.4284697587686681</v>
      </c>
      <c r="G47" s="1">
        <f t="shared" si="0"/>
        <v>32.451294142529463</v>
      </c>
    </row>
    <row r="48" spans="2:7" x14ac:dyDescent="0.3">
      <c r="B48" s="10" t="s">
        <v>47</v>
      </c>
      <c r="C48" s="8">
        <v>34.388981042328219</v>
      </c>
      <c r="D48" s="8">
        <v>36.966744287013988</v>
      </c>
      <c r="E48" s="8">
        <v>30.522839207625754</v>
      </c>
      <c r="F48" s="13">
        <v>4.8748268911044077</v>
      </c>
      <c r="G48" s="1">
        <f t="shared" si="0"/>
        <v>32.712577746900003</v>
      </c>
    </row>
    <row r="49" spans="2:7" x14ac:dyDescent="0.3">
      <c r="B49" s="10" t="s">
        <v>48</v>
      </c>
      <c r="C49" s="8">
        <v>33.927968419680802</v>
      </c>
      <c r="D49" s="8">
        <v>36.646712001340902</v>
      </c>
      <c r="E49" s="8">
        <v>30.066766013967715</v>
      </c>
      <c r="F49" s="13">
        <v>5.1154444118841509</v>
      </c>
      <c r="G49" s="1">
        <f t="shared" si="0"/>
        <v>32.192402055090419</v>
      </c>
    </row>
    <row r="50" spans="2:7" x14ac:dyDescent="0.3">
      <c r="B50" s="10" t="s">
        <v>49</v>
      </c>
      <c r="C50" s="8">
        <v>33.538354838304237</v>
      </c>
      <c r="D50" s="8">
        <v>36.04446829127086</v>
      </c>
      <c r="E50" s="8">
        <v>30.092477131771084</v>
      </c>
      <c r="F50" s="13">
        <v>6.3279507341904413</v>
      </c>
      <c r="G50" s="1">
        <f t="shared" si="0"/>
        <v>31.416064267078369</v>
      </c>
    </row>
    <row r="51" spans="2:7" x14ac:dyDescent="0.3">
      <c r="B51" s="10" t="s">
        <v>50</v>
      </c>
      <c r="C51" s="8">
        <v>34.464209839176199</v>
      </c>
      <c r="D51" s="8">
        <v>37.018871822177829</v>
      </c>
      <c r="E51" s="8">
        <v>30.782100065469407</v>
      </c>
      <c r="F51" s="13">
        <v>5.1229164182253424</v>
      </c>
      <c r="G51" s="1">
        <f t="shared" si="0"/>
        <v>32.698637174913408</v>
      </c>
    </row>
    <row r="52" spans="2:7" x14ac:dyDescent="0.3">
      <c r="B52" s="10" t="s">
        <v>51</v>
      </c>
      <c r="C52" s="8">
        <v>34.209291972465344</v>
      </c>
      <c r="D52" s="8">
        <v>36.879154737176066</v>
      </c>
      <c r="E52" s="8">
        <v>30.314468510790032</v>
      </c>
      <c r="F52" s="13">
        <v>5.1547557623108826</v>
      </c>
      <c r="G52" s="1">
        <f t="shared" si="0"/>
        <v>32.445886523268932</v>
      </c>
    </row>
    <row r="53" spans="2:7" x14ac:dyDescent="0.3">
      <c r="B53" s="10" t="s">
        <v>52</v>
      </c>
      <c r="C53" s="8">
        <v>34.573481221661254</v>
      </c>
      <c r="D53" s="8">
        <v>37.03098352662311</v>
      </c>
      <c r="E53" s="8">
        <v>31.079833889273107</v>
      </c>
      <c r="F53" s="13">
        <v>4.859756852831473</v>
      </c>
      <c r="G53" s="1">
        <f t="shared" si="0"/>
        <v>32.893294098729164</v>
      </c>
    </row>
    <row r="54" spans="2:7" x14ac:dyDescent="0.3">
      <c r="B54" s="10" t="s">
        <v>53</v>
      </c>
      <c r="C54" s="8">
        <v>34.747156719098477</v>
      </c>
      <c r="D54" s="8">
        <v>37.37543369459523</v>
      </c>
      <c r="E54" s="8">
        <v>31.072048274475392</v>
      </c>
      <c r="F54" s="14">
        <v>4.8641867285015232</v>
      </c>
      <c r="G54" s="1">
        <f t="shared" si="0"/>
        <v>33.056990133436464</v>
      </c>
    </row>
    <row r="55" spans="2:7" x14ac:dyDescent="0.3">
      <c r="B55" s="10" t="s">
        <v>54</v>
      </c>
      <c r="C55" s="8">
        <v>34.334523507592039</v>
      </c>
      <c r="D55" s="8">
        <v>37.269371237201376</v>
      </c>
      <c r="E55" s="8">
        <v>30.130789869652798</v>
      </c>
      <c r="F55" s="14">
        <v>4.5747539774080899</v>
      </c>
      <c r="G55" s="1">
        <f t="shared" si="0"/>
        <v>32.763803527804356</v>
      </c>
    </row>
    <row r="56" spans="2:7" x14ac:dyDescent="0.3">
      <c r="B56" s="10" t="s">
        <v>55</v>
      </c>
      <c r="C56" s="8">
        <v>34.311273105593777</v>
      </c>
      <c r="D56" s="8">
        <v>36.669474892543946</v>
      </c>
      <c r="E56" s="8">
        <v>31.015095454670849</v>
      </c>
      <c r="F56" s="14">
        <v>4.4120678796589701</v>
      </c>
      <c r="G56" s="1">
        <f t="shared" si="0"/>
        <v>32.797436445799811</v>
      </c>
    </row>
    <row r="57" spans="2:7" x14ac:dyDescent="0.3">
      <c r="B57" s="10" t="s">
        <v>56</v>
      </c>
      <c r="C57" s="8">
        <v>35.086421534326007</v>
      </c>
      <c r="D57" s="8">
        <v>37.897995945393383</v>
      </c>
      <c r="E57" s="8">
        <v>31.244531948477196</v>
      </c>
      <c r="F57" s="14">
        <v>4.1465499589708061</v>
      </c>
      <c r="G57" s="1">
        <f t="shared" si="0"/>
        <v>33.631545536590089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F408-C2DF-405E-B93A-7E009D9F1DA3}">
  <dimension ref="A1:B58"/>
  <sheetViews>
    <sheetView tabSelected="1" workbookViewId="0">
      <selection sqref="A1:B58"/>
    </sheetView>
  </sheetViews>
  <sheetFormatPr defaultRowHeight="15" x14ac:dyDescent="0.25"/>
  <cols>
    <col min="2" max="2" width="22.28515625" bestFit="1" customWidth="1"/>
  </cols>
  <sheetData>
    <row r="1" spans="1:2" ht="15.75" x14ac:dyDescent="0.25">
      <c r="B1" s="6" t="s">
        <v>58</v>
      </c>
    </row>
    <row r="2" spans="1:2" ht="15.75" x14ac:dyDescent="0.25">
      <c r="A2" s="15">
        <v>39417</v>
      </c>
      <c r="B2">
        <f>'mixed frequency'!G6</f>
        <v>39.765816910344647</v>
      </c>
    </row>
    <row r="3" spans="1:2" ht="15.75" x14ac:dyDescent="0.25">
      <c r="A3" s="15">
        <v>39508</v>
      </c>
    </row>
    <row r="4" spans="1:2" ht="15.75" x14ac:dyDescent="0.25">
      <c r="A4" s="15">
        <v>39600</v>
      </c>
      <c r="B4">
        <f>'mixed frequency'!G7</f>
        <v>39.793649488549569</v>
      </c>
    </row>
    <row r="5" spans="1:2" ht="15.75" x14ac:dyDescent="0.25">
      <c r="A5" s="15">
        <v>39692</v>
      </c>
    </row>
    <row r="6" spans="1:2" ht="15.75" x14ac:dyDescent="0.25">
      <c r="A6" s="15">
        <v>39783</v>
      </c>
      <c r="B6">
        <f>'mixed frequency'!G8</f>
        <v>39.844144385203222</v>
      </c>
    </row>
    <row r="7" spans="1:2" ht="15.75" x14ac:dyDescent="0.25">
      <c r="A7" s="15">
        <v>39873</v>
      </c>
    </row>
    <row r="8" spans="1:2" ht="15.75" x14ac:dyDescent="0.25">
      <c r="A8" s="15">
        <v>39965</v>
      </c>
    </row>
    <row r="9" spans="1:2" ht="15.75" x14ac:dyDescent="0.25">
      <c r="A9" s="15">
        <v>40057</v>
      </c>
    </row>
    <row r="10" spans="1:2" ht="15.75" x14ac:dyDescent="0.25">
      <c r="A10" s="15">
        <v>40148</v>
      </c>
      <c r="B10">
        <f>'mixed frequency'!G9</f>
        <v>38.949398793185111</v>
      </c>
    </row>
    <row r="11" spans="1:2" ht="15.75" x14ac:dyDescent="0.25">
      <c r="A11" s="15">
        <v>40238</v>
      </c>
    </row>
    <row r="12" spans="1:2" ht="15.75" x14ac:dyDescent="0.25">
      <c r="A12" s="15">
        <v>40330</v>
      </c>
      <c r="B12">
        <f>'mixed frequency'!G10</f>
        <v>38.224069675621749</v>
      </c>
    </row>
    <row r="13" spans="1:2" ht="15.75" x14ac:dyDescent="0.25">
      <c r="A13" s="15">
        <v>40422</v>
      </c>
    </row>
    <row r="14" spans="1:2" ht="15.75" x14ac:dyDescent="0.25">
      <c r="A14" s="15">
        <v>40513</v>
      </c>
      <c r="B14">
        <f>'mixed frequency'!G11</f>
        <v>39.534685224609717</v>
      </c>
    </row>
    <row r="15" spans="1:2" ht="15.75" x14ac:dyDescent="0.25">
      <c r="A15" s="15">
        <v>40603</v>
      </c>
    </row>
    <row r="16" spans="1:2" ht="15.75" x14ac:dyDescent="0.25">
      <c r="A16" s="15">
        <v>40695</v>
      </c>
      <c r="B16">
        <f>'mixed frequency'!G12</f>
        <v>39.17882593221691</v>
      </c>
    </row>
    <row r="17" spans="1:2" ht="15.75" x14ac:dyDescent="0.25">
      <c r="A17" s="15">
        <v>40787</v>
      </c>
    </row>
    <row r="18" spans="1:2" ht="15.75" x14ac:dyDescent="0.25">
      <c r="A18" s="15">
        <v>40878</v>
      </c>
      <c r="B18">
        <f>'mixed frequency'!G13</f>
        <v>39.388394846478484</v>
      </c>
    </row>
    <row r="19" spans="1:2" ht="15.75" x14ac:dyDescent="0.25">
      <c r="A19" s="15">
        <v>40969</v>
      </c>
    </row>
    <row r="20" spans="1:2" ht="15.75" x14ac:dyDescent="0.25">
      <c r="A20" s="15">
        <v>41061</v>
      </c>
      <c r="B20">
        <f>'mixed frequency'!G14</f>
        <v>38.315673393752988</v>
      </c>
    </row>
    <row r="21" spans="1:2" ht="15.75" x14ac:dyDescent="0.25">
      <c r="A21" s="15">
        <v>41153</v>
      </c>
    </row>
    <row r="22" spans="1:2" ht="15.75" x14ac:dyDescent="0.25">
      <c r="A22" s="15">
        <v>41244</v>
      </c>
      <c r="B22">
        <f>'mixed frequency'!G15</f>
        <v>38.943186414879897</v>
      </c>
    </row>
    <row r="23" spans="1:2" ht="15.75" x14ac:dyDescent="0.25">
      <c r="A23" s="15">
        <v>41334</v>
      </c>
    </row>
    <row r="24" spans="1:2" ht="15.75" x14ac:dyDescent="0.25">
      <c r="A24" s="15">
        <v>41426</v>
      </c>
      <c r="B24">
        <f>'mixed frequency'!G16</f>
        <v>37.91016300765984</v>
      </c>
    </row>
    <row r="25" spans="1:2" ht="15.75" x14ac:dyDescent="0.25">
      <c r="A25" s="15">
        <v>41518</v>
      </c>
    </row>
    <row r="26" spans="1:2" ht="15.75" x14ac:dyDescent="0.25">
      <c r="A26" s="15">
        <v>41609</v>
      </c>
      <c r="B26">
        <f>'mixed frequency'!G17</f>
        <v>38.922977170369151</v>
      </c>
    </row>
    <row r="27" spans="1:2" ht="15.75" x14ac:dyDescent="0.25">
      <c r="A27" s="15">
        <v>41699</v>
      </c>
      <c r="B27">
        <f>'mixed frequency'!G18</f>
        <v>37.097129489877503</v>
      </c>
    </row>
    <row r="28" spans="1:2" ht="15.75" x14ac:dyDescent="0.25">
      <c r="A28" s="15">
        <v>41791</v>
      </c>
      <c r="B28">
        <f>'mixed frequency'!G19</f>
        <v>38.28617111831511</v>
      </c>
    </row>
    <row r="29" spans="1:2" ht="15.75" x14ac:dyDescent="0.25">
      <c r="A29" s="15">
        <v>41883</v>
      </c>
      <c r="B29">
        <f>'mixed frequency'!G20</f>
        <v>37.680587812631686</v>
      </c>
    </row>
    <row r="30" spans="1:2" ht="15.75" x14ac:dyDescent="0.25">
      <c r="A30" s="15">
        <v>41974</v>
      </c>
      <c r="B30">
        <f>'mixed frequency'!G21</f>
        <v>37.970763242863619</v>
      </c>
    </row>
    <row r="31" spans="1:2" ht="15.75" x14ac:dyDescent="0.25">
      <c r="A31" s="15">
        <v>42064</v>
      </c>
      <c r="B31">
        <f>'mixed frequency'!G22</f>
        <v>37.347193151902935</v>
      </c>
    </row>
    <row r="32" spans="1:2" ht="15.75" x14ac:dyDescent="0.25">
      <c r="A32" s="15">
        <v>42156</v>
      </c>
      <c r="B32">
        <f>'mixed frequency'!G23</f>
        <v>37.36630218484288</v>
      </c>
    </row>
    <row r="33" spans="1:2" ht="15.75" x14ac:dyDescent="0.25">
      <c r="A33" s="15">
        <v>42248</v>
      </c>
      <c r="B33">
        <f>'mixed frequency'!G24</f>
        <v>36.770737503508826</v>
      </c>
    </row>
    <row r="34" spans="1:2" ht="15.75" x14ac:dyDescent="0.25">
      <c r="A34" s="15">
        <v>42339</v>
      </c>
      <c r="B34">
        <f>'mixed frequency'!G25</f>
        <v>37.091327816773905</v>
      </c>
    </row>
    <row r="35" spans="1:2" ht="15.75" x14ac:dyDescent="0.25">
      <c r="A35" s="15">
        <v>42430</v>
      </c>
      <c r="B35">
        <f>'mixed frequency'!G26</f>
        <v>35.415561645412843</v>
      </c>
    </row>
    <row r="36" spans="1:2" ht="15.75" x14ac:dyDescent="0.25">
      <c r="A36" s="15">
        <v>42522</v>
      </c>
      <c r="B36">
        <f>'mixed frequency'!G27</f>
        <v>35.754432174491612</v>
      </c>
    </row>
    <row r="37" spans="1:2" ht="15.75" x14ac:dyDescent="0.25">
      <c r="A37" s="15">
        <v>42614</v>
      </c>
      <c r="B37">
        <f>'mixed frequency'!G28</f>
        <v>34.800694175484679</v>
      </c>
    </row>
    <row r="38" spans="1:2" ht="15.75" x14ac:dyDescent="0.25">
      <c r="A38" s="15">
        <v>42705</v>
      </c>
      <c r="B38">
        <f>'mixed frequency'!G29</f>
        <v>35.92859542369758</v>
      </c>
    </row>
    <row r="39" spans="1:2" ht="15.75" x14ac:dyDescent="0.25">
      <c r="A39" s="15">
        <v>42795</v>
      </c>
      <c r="B39">
        <f>'mixed frequency'!G30</f>
        <v>34.873099446932763</v>
      </c>
    </row>
    <row r="40" spans="1:2" ht="15.75" x14ac:dyDescent="0.25">
      <c r="A40" s="15">
        <v>42887</v>
      </c>
      <c r="B40">
        <f>'mixed frequency'!G31</f>
        <v>35.478245566437828</v>
      </c>
    </row>
    <row r="41" spans="1:2" ht="15.75" x14ac:dyDescent="0.25">
      <c r="A41" s="15">
        <v>42979</v>
      </c>
      <c r="B41">
        <f>'mixed frequency'!G32</f>
        <v>35.579560767156778</v>
      </c>
    </row>
    <row r="42" spans="1:2" ht="15.75" x14ac:dyDescent="0.25">
      <c r="A42" s="15">
        <v>43070</v>
      </c>
      <c r="B42">
        <f>'mixed frequency'!G33</f>
        <v>36.246103347680204</v>
      </c>
    </row>
    <row r="43" spans="1:2" ht="15.75" x14ac:dyDescent="0.25">
      <c r="A43" s="15">
        <v>43160</v>
      </c>
      <c r="B43">
        <f>'mixed frequency'!G34</f>
        <v>35.9115305870478</v>
      </c>
    </row>
    <row r="44" spans="1:2" ht="15.75" x14ac:dyDescent="0.25">
      <c r="A44" s="15">
        <v>43252</v>
      </c>
      <c r="B44">
        <f>'mixed frequency'!G35</f>
        <v>35.744142054819726</v>
      </c>
    </row>
    <row r="45" spans="1:2" ht="15.75" x14ac:dyDescent="0.25">
      <c r="A45" s="15">
        <v>43344</v>
      </c>
      <c r="B45">
        <f>'mixed frequency'!G36</f>
        <v>35.75177082191567</v>
      </c>
    </row>
    <row r="46" spans="1:2" ht="15.75" x14ac:dyDescent="0.25">
      <c r="A46" s="15">
        <v>43435</v>
      </c>
      <c r="B46">
        <f>'mixed frequency'!G37</f>
        <v>36.187507512148024</v>
      </c>
    </row>
    <row r="47" spans="1:2" ht="15.75" x14ac:dyDescent="0.25">
      <c r="A47" s="15">
        <v>43525</v>
      </c>
      <c r="B47">
        <f>'mixed frequency'!G38</f>
        <v>34.170604468610428</v>
      </c>
    </row>
    <row r="48" spans="1:2" ht="15.75" x14ac:dyDescent="0.25">
      <c r="A48" s="15">
        <v>43617</v>
      </c>
      <c r="B48">
        <f>'mixed frequency'!G39</f>
        <v>34.703233225180178</v>
      </c>
    </row>
    <row r="49" spans="1:2" ht="15.75" x14ac:dyDescent="0.25">
      <c r="A49" s="15">
        <v>43709</v>
      </c>
      <c r="B49">
        <f>'mixed frequency'!G40</f>
        <v>34.891009544904406</v>
      </c>
    </row>
    <row r="50" spans="1:2" ht="15.75" x14ac:dyDescent="0.25">
      <c r="A50" s="15">
        <v>43800</v>
      </c>
      <c r="B50">
        <f>'mixed frequency'!G41</f>
        <v>36.164914369098568</v>
      </c>
    </row>
    <row r="51" spans="1:2" ht="15.75" x14ac:dyDescent="0.25">
      <c r="A51" s="15">
        <v>43891</v>
      </c>
    </row>
    <row r="52" spans="1:2" ht="15.75" x14ac:dyDescent="0.25">
      <c r="A52" s="15">
        <v>43983</v>
      </c>
    </row>
    <row r="53" spans="1:2" ht="15.75" x14ac:dyDescent="0.25">
      <c r="A53" s="15">
        <v>44075</v>
      </c>
      <c r="B53">
        <f>'mixed frequency'!G42</f>
        <v>32.540763674822024</v>
      </c>
    </row>
    <row r="54" spans="1:2" ht="15.75" x14ac:dyDescent="0.25">
      <c r="A54" s="15">
        <v>44166</v>
      </c>
      <c r="B54">
        <v>32.087950779595523</v>
      </c>
    </row>
    <row r="55" spans="1:2" ht="15.75" x14ac:dyDescent="0.25">
      <c r="A55" s="15">
        <v>44256</v>
      </c>
      <c r="B55">
        <v>32.595534905147893</v>
      </c>
    </row>
    <row r="56" spans="1:2" ht="15.75" x14ac:dyDescent="0.25">
      <c r="A56" s="15">
        <v>44348</v>
      </c>
      <c r="B56">
        <v>32.102367832360734</v>
      </c>
    </row>
    <row r="57" spans="1:2" ht="15.75" x14ac:dyDescent="0.25">
      <c r="A57" s="15">
        <v>44440</v>
      </c>
      <c r="B57">
        <v>32.798723585144849</v>
      </c>
    </row>
    <row r="58" spans="1:2" ht="15.75" x14ac:dyDescent="0.25">
      <c r="A58" s="15">
        <v>44531</v>
      </c>
      <c r="B58">
        <v>33.064261836731418</v>
      </c>
    </row>
  </sheetData>
  <phoneticPr fontId="9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mixed frequency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Villavicencio</dc:creator>
  <cp:lastModifiedBy>Manuel Gonzalez-Astudillo</cp:lastModifiedBy>
  <dcterms:created xsi:type="dcterms:W3CDTF">2022-02-16T13:13:12Z</dcterms:created>
  <dcterms:modified xsi:type="dcterms:W3CDTF">2022-02-16T18:38:15Z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1754b2ba-d846-4ce8-aa8a-c177d270fe72</vt:lpwstr>
  </property>
</Properties>
</file>