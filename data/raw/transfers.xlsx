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anuel_projects\SOEM_EC\data\"/>
    </mc:Choice>
  </mc:AlternateContent>
  <xr:revisionPtr revIDLastSave="0" documentId="8_{F7BC7FEC-9655-435A-9E4B-D5F90431A2FF}" xr6:coauthVersionLast="47" xr6:coauthVersionMax="47" xr10:uidLastSave="{00000000-0000-0000-0000-000000000000}"/>
  <bookViews>
    <workbookView xWindow="-110" yWindow="-110" windowWidth="34620" windowHeight="14160" xr2:uid="{ED7CBC63-F65B-46D0-B489-A59B91A8B3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7" i="1"/>
  <c r="F8" i="1"/>
  <c r="F2" i="1"/>
  <c r="E8" i="1"/>
  <c r="D3" i="1"/>
  <c r="D4" i="1"/>
  <c r="D5" i="1"/>
  <c r="D7" i="1"/>
  <c r="D8" i="1"/>
  <c r="D2" i="1"/>
  <c r="C7" i="1"/>
  <c r="C5" i="1"/>
  <c r="C4" i="1"/>
  <c r="C3" i="1"/>
  <c r="C2" i="1"/>
</calcChain>
</file>

<file path=xl/sharedStrings.xml><?xml version="1.0" encoding="utf-8"?>
<sst xmlns="http://schemas.openxmlformats.org/spreadsheetml/2006/main" count="5" uniqueCount="5">
  <si>
    <t>Fuel subsidies</t>
  </si>
  <si>
    <t>Direct transfers</t>
  </si>
  <si>
    <t>Total</t>
  </si>
  <si>
    <t>GDP</t>
  </si>
  <si>
    <t>Share of 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</si>
</sst>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3" fontId="2" fillId="2" borderId="1" xfId="1" applyNumberFormat="1" applyFont="1" applyFill="1" applyBorder="1" applyAlignment="1">
      <alignment horizontal="right"/>
    </xf>
    <xf numFmtId="3" fontId="2" fillId="2" borderId="0" xfId="1" applyNumberFormat="1" applyFont="1" applyFill="1" applyBorder="1" applyAlignment="1">
      <alignment horizontal="right"/>
    </xf>
  </cellXfs>
  <cellStyles count="2">
    <cellStyle name="Normal" xfId="0" builtinId="0"/>
    <cellStyle name="Normal_CTNB971b" xfId="1" xr:uid="{16828D9D-1731-4807-8146-FA4E3713E7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73F91-A610-4C08-98A0-B322AB1E8C29}">
  <dimension ref="A1:F8"/>
  <sheetViews>
    <sheetView tabSelected="1" workbookViewId="0">
      <selection activeCell="H2" sqref="H2"/>
    </sheetView>
  </sheetViews>
  <sheetFormatPr defaultRowHeight="14.5" x14ac:dyDescent="0.35"/>
  <cols>
    <col min="2" max="2" width="12.36328125" bestFit="1" customWidth="1"/>
    <col min="3" max="3" width="13.7265625" bestFit="1" customWidth="1"/>
    <col min="5" max="5" width="12.90625" bestFit="1" customWidth="1"/>
    <col min="6" max="6" width="11.81640625" bestFit="1" customWidth="1"/>
  </cols>
  <sheetData>
    <row r="1" spans="1:6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ht="15.5" x14ac:dyDescent="0.35">
      <c r="A2">
        <v>2016</v>
      </c>
      <c r="B2">
        <v>1888.1</v>
      </c>
      <c r="C2">
        <f>621.15+49.32+34.51+23.84</f>
        <v>728.82</v>
      </c>
      <c r="D2">
        <f>B2+C2</f>
        <v>2616.92</v>
      </c>
      <c r="E2" s="1">
        <v>99937696</v>
      </c>
      <c r="F2">
        <f>D2*1000/E2</f>
        <v>2.6185514623030735E-2</v>
      </c>
    </row>
    <row r="3" spans="1:6" ht="15.5" x14ac:dyDescent="0.35">
      <c r="A3">
        <v>2017</v>
      </c>
      <c r="B3">
        <v>1798.57</v>
      </c>
      <c r="C3">
        <f>726.52+118.63+35.51+33.2</f>
        <v>913.86</v>
      </c>
      <c r="D3">
        <f t="shared" ref="D3:D8" si="0">B3+C3</f>
        <v>2712.43</v>
      </c>
      <c r="E3" s="1">
        <v>104295862</v>
      </c>
      <c r="F3">
        <f t="shared" ref="F3:F8" si="1">D3*1000/E3</f>
        <v>2.6007072073482646E-2</v>
      </c>
    </row>
    <row r="4" spans="1:6" ht="15.5" x14ac:dyDescent="0.35">
      <c r="A4">
        <v>2018</v>
      </c>
      <c r="B4">
        <v>1707.04</v>
      </c>
      <c r="C4">
        <f>815.59+48.69+37.66+22.77</f>
        <v>924.70999999999992</v>
      </c>
      <c r="D4">
        <f t="shared" si="0"/>
        <v>2631.75</v>
      </c>
      <c r="E4" s="1">
        <v>107562008</v>
      </c>
      <c r="F4">
        <f t="shared" si="1"/>
        <v>2.4467282165279026E-2</v>
      </c>
    </row>
    <row r="5" spans="1:6" ht="15.5" x14ac:dyDescent="0.35">
      <c r="A5">
        <v>2019</v>
      </c>
      <c r="B5">
        <v>1995.01</v>
      </c>
      <c r="C5">
        <f>771.36+14.72</f>
        <v>786.08</v>
      </c>
      <c r="D5">
        <f t="shared" si="0"/>
        <v>2781.09</v>
      </c>
      <c r="E5" s="1">
        <v>108108009</v>
      </c>
      <c r="F5">
        <f t="shared" si="1"/>
        <v>2.5725106083491003E-2</v>
      </c>
    </row>
    <row r="6" spans="1:6" x14ac:dyDescent="0.35">
      <c r="A6">
        <v>2020</v>
      </c>
    </row>
    <row r="7" spans="1:6" ht="15.5" x14ac:dyDescent="0.35">
      <c r="A7">
        <v>2021</v>
      </c>
      <c r="B7">
        <v>1900</v>
      </c>
      <c r="C7">
        <f>1286.86+141.52+27.71</f>
        <v>1456.09</v>
      </c>
      <c r="D7">
        <f t="shared" si="0"/>
        <v>3356.09</v>
      </c>
      <c r="E7" s="2">
        <v>104000000</v>
      </c>
      <c r="F7">
        <f t="shared" si="1"/>
        <v>3.2270096153846156E-2</v>
      </c>
    </row>
    <row r="8" spans="1:6" x14ac:dyDescent="0.35">
      <c r="A8">
        <v>2022</v>
      </c>
      <c r="B8">
        <v>1328.44</v>
      </c>
      <c r="C8">
        <v>1256.1400000000001</v>
      </c>
      <c r="D8">
        <f t="shared" si="0"/>
        <v>2584.58</v>
      </c>
      <c r="E8">
        <f>E7*1.06</f>
        <v>110240000</v>
      </c>
      <c r="F8">
        <f t="shared" si="1"/>
        <v>2.3445029027576197E-2</v>
      </c>
    </row>
  </sheetData>
  <pageMargins left="0.7" right="0.7" top="0.75" bottom="0.75" header="0.3" footer="0.3"/>
  <pageSetup orientation="portrait" r:id="rId1"/>
  <headerFooter>
    <oddHeader>&amp;L&amp;"Calibri"&amp;11&amp;K000000PERSONAL/NONWORK // EXTERNAL&amp;1#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Gonzalez-Astudillo</dc:creator>
  <cp:lastModifiedBy>Manuel Gonzalez-Astudillo</cp:lastModifiedBy>
  <dcterms:created xsi:type="dcterms:W3CDTF">2022-03-11T22:10:55Z</dcterms:created>
  <dcterms:modified xsi:type="dcterms:W3CDTF">2022-03-11T22:20:11Z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b1e9a9fb-ae09-4aef-a982-c67f5f9e9056</vt:lpwstr>
  </property>
  <property fmtid="{D5CDD505-2E9C-101B-9397-08002B2CF9AE}" pid="3" name="MSIP_Label_020c9e8b-b879-4ade-97ac-60b9c2bff5e3_Enabled">
    <vt:lpwstr>true</vt:lpwstr>
  </property>
  <property fmtid="{D5CDD505-2E9C-101B-9397-08002B2CF9AE}" pid="4" name="MSIP_Label_020c9e8b-b879-4ade-97ac-60b9c2bff5e3_SetDate">
    <vt:lpwstr>2022-03-11T22:19:45Z</vt:lpwstr>
  </property>
  <property fmtid="{D5CDD505-2E9C-101B-9397-08002B2CF9AE}" pid="5" name="MSIP_Label_020c9e8b-b879-4ade-97ac-60b9c2bff5e3_Method">
    <vt:lpwstr>Privileged</vt:lpwstr>
  </property>
  <property fmtid="{D5CDD505-2E9C-101B-9397-08002B2CF9AE}" pid="6" name="MSIP_Label_020c9e8b-b879-4ade-97ac-60b9c2bff5e3_Name">
    <vt:lpwstr>PERSONAL-NONWORK - EXTERNAL</vt:lpwstr>
  </property>
  <property fmtid="{D5CDD505-2E9C-101B-9397-08002B2CF9AE}" pid="7" name="MSIP_Label_020c9e8b-b879-4ade-97ac-60b9c2bff5e3_SiteId">
    <vt:lpwstr>87bb2570-5c1e-4973-9c37-09257a95aeb1</vt:lpwstr>
  </property>
  <property fmtid="{D5CDD505-2E9C-101B-9397-08002B2CF9AE}" pid="8" name="MSIP_Label_020c9e8b-b879-4ade-97ac-60b9c2bff5e3_ActionId">
    <vt:lpwstr>5e6567f7-c964-43fa-b1c6-39e7af810291</vt:lpwstr>
  </property>
  <property fmtid="{D5CDD505-2E9C-101B-9397-08002B2CF9AE}" pid="9" name="MSIP_Label_020c9e8b-b879-4ade-97ac-60b9c2bff5e3_ContentBits">
    <vt:lpwstr>1</vt:lpwstr>
  </property>
</Properties>
</file>