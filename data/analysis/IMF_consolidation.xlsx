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D81A083E-1E34-43F3-84DC-12FC32DDFDFA}" xr6:coauthVersionLast="47" xr6:coauthVersionMax="47" xr10:uidLastSave="{00000000-0000-0000-0000-000000000000}"/>
  <bookViews>
    <workbookView xWindow="-110" yWindow="-110" windowWidth="34620" windowHeight="14020" activeTab="3" xr2:uid="{00000000-000D-0000-FFFF-FFFF00000000}"/>
  </bookViews>
  <sheets>
    <sheet name="annual" sheetId="1" r:id="rId1"/>
    <sheet name="quarterly" sheetId="2" r:id="rId2"/>
    <sheet name="oil_revenue" sheetId="3" r:id="rId3"/>
    <sheet name="annual_levels" sheetId="4" r:id="rId4"/>
    <sheet name="quarterly_leve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4" l="1"/>
  <c r="R3" i="4"/>
  <c r="S3" i="4"/>
  <c r="Q4" i="4"/>
  <c r="R4" i="4"/>
  <c r="S4" i="4"/>
  <c r="Q5" i="4"/>
  <c r="R5" i="4"/>
  <c r="S5" i="4"/>
  <c r="Q6" i="4"/>
  <c r="R6" i="4"/>
  <c r="S6" i="4"/>
  <c r="Q7" i="4"/>
  <c r="R7" i="4"/>
  <c r="S7" i="4"/>
  <c r="Q8" i="4"/>
  <c r="R8" i="4"/>
  <c r="S8" i="4"/>
  <c r="P4" i="4"/>
  <c r="P5" i="4"/>
  <c r="P6" i="4"/>
  <c r="P7" i="4"/>
  <c r="P8" i="4"/>
  <c r="P3" i="4"/>
  <c r="L3" i="4"/>
  <c r="M3" i="4"/>
  <c r="N3" i="4"/>
  <c r="O3" i="4"/>
  <c r="L4" i="4"/>
  <c r="M4" i="4"/>
  <c r="N4" i="4"/>
  <c r="O4" i="4"/>
  <c r="L5" i="4"/>
  <c r="M5" i="4"/>
  <c r="N5" i="4"/>
  <c r="O5" i="4"/>
  <c r="L6" i="4"/>
  <c r="M6" i="4"/>
  <c r="N6" i="4"/>
  <c r="O6" i="4"/>
  <c r="L7" i="4"/>
  <c r="M7" i="4"/>
  <c r="N7" i="4"/>
  <c r="O7" i="4"/>
  <c r="L8" i="4"/>
  <c r="M8" i="4"/>
  <c r="N8" i="4"/>
  <c r="O8" i="4"/>
  <c r="M2" i="4"/>
  <c r="N2" i="4"/>
  <c r="O2" i="4"/>
  <c r="L2" i="4"/>
  <c r="C12" i="4"/>
  <c r="C13" i="4"/>
  <c r="C14" i="4"/>
  <c r="C15" i="4"/>
  <c r="C16" i="4"/>
  <c r="C17" i="4"/>
  <c r="C18" i="4"/>
  <c r="B13" i="4"/>
  <c r="B14" i="4"/>
  <c r="B15" i="4"/>
  <c r="B16" i="4"/>
  <c r="B17" i="4"/>
  <c r="B18" i="4"/>
  <c r="B12" i="4"/>
  <c r="H8" i="4"/>
  <c r="H7" i="4"/>
  <c r="H6" i="4"/>
  <c r="H3" i="4"/>
  <c r="H4" i="4" s="1"/>
  <c r="H5" i="4" s="1"/>
  <c r="B24" i="4" l="1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C23" i="4"/>
  <c r="D23" i="4"/>
  <c r="E23" i="4"/>
  <c r="B23" i="4"/>
  <c r="D13" i="4"/>
  <c r="E13" i="4"/>
  <c r="D14" i="4"/>
  <c r="E14" i="4"/>
  <c r="D15" i="4"/>
  <c r="E15" i="4"/>
  <c r="D16" i="4"/>
  <c r="E16" i="4"/>
  <c r="D17" i="4"/>
  <c r="E17" i="4"/>
  <c r="D18" i="4"/>
  <c r="E18" i="4"/>
  <c r="D12" i="4"/>
  <c r="E12" i="4"/>
  <c r="G8" i="4"/>
  <c r="E8" i="4"/>
  <c r="E7" i="4"/>
  <c r="E6" i="4"/>
  <c r="E5" i="4"/>
  <c r="E4" i="4"/>
  <c r="E3" i="4"/>
  <c r="E2" i="4"/>
  <c r="D8" i="4"/>
  <c r="D7" i="4"/>
  <c r="D6" i="4"/>
  <c r="D5" i="4"/>
  <c r="D4" i="4"/>
  <c r="D3" i="4"/>
  <c r="D2" i="4"/>
  <c r="B2" i="4"/>
  <c r="B8" i="4"/>
  <c r="B7" i="4"/>
  <c r="B6" i="4"/>
  <c r="B5" i="4"/>
  <c r="B4" i="4"/>
  <c r="B3" i="4"/>
  <c r="D5" i="3"/>
  <c r="D6" i="3"/>
  <c r="D7" i="3"/>
  <c r="D8" i="3"/>
  <c r="D4" i="3"/>
  <c r="D3" i="3"/>
  <c r="C4" i="3"/>
  <c r="C5" i="3"/>
  <c r="C6" i="3"/>
  <c r="C7" i="3"/>
  <c r="C8" i="3"/>
  <c r="C3" i="3"/>
  <c r="H3" i="1"/>
  <c r="H4" i="1" s="1"/>
  <c r="H5" i="1" s="1"/>
  <c r="H6" i="1" s="1"/>
  <c r="H7" i="1" s="1"/>
  <c r="G3" i="1"/>
  <c r="G4" i="1" s="1"/>
  <c r="G5" i="1" s="1"/>
  <c r="G6" i="1" s="1"/>
  <c r="G7" i="1" s="1"/>
  <c r="H2" i="1"/>
  <c r="I2" i="1"/>
  <c r="I3" i="1" s="1"/>
  <c r="I4" i="1" s="1"/>
  <c r="I5" i="1" s="1"/>
  <c r="I6" i="1" s="1"/>
  <c r="I7" i="1" s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tc={C485550F-A637-431B-918C-104E3D77FFE3}</author>
    <author>tc={9C74C7B5-BF0C-4ECA-B996-5F902DB9E6E6}</author>
    <author>tc={87A47F7B-63C4-475F-B842-232A84C9C9FF}</author>
    <author>tc={F8E864D7-1E4A-4788-B7F2-F97A0A3750FC}</author>
    <author>tc={9E948352-E903-4696-9725-977F8DE9CC9B}</author>
    <author>tc={76EE7446-D09A-4C81-8784-A60447FCCD9A}</author>
    <author>tc={36C17E79-CDA1-4DE6-9AB9-7358205EE7AD}</author>
  </authors>
  <commentList>
    <comment ref="B1" authorId="0" shapeId="0" xr:uid="{C485550F-A637-431B-918C-104E3D77FFE3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1ECUEA2022001 Table 2a sum of wages, purchases, and social security</t>
      </text>
    </comment>
    <comment ref="C1" authorId="1" shapeId="0" xr:uid="{9C74C7B5-BF0C-4ECA-B996-5F902DB9E6E6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1ECUEA2022001 Table 2a Capital</t>
      </text>
    </comment>
    <comment ref="D1" authorId="2" shapeId="0" xr:uid="{87A47F7B-63C4-475F-B842-232A84C9C9FF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1ECUEA2021001 Table 2a for social spending
1ECUEA2022001 Table 2a for fuel subsidies</t>
      </text>
    </comment>
    <comment ref="E1" authorId="3" shapeId="0" xr:uid="{F8E864D7-1E4A-4788-B7F2-F97A0A3750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1ECUEA2022001 Table 1, product of oil price times oil production in million barrels
</t>
      </text>
    </comment>
    <comment ref="F1" authorId="4" shapeId="0" xr:uid="{9E948352-E903-4696-9725-977F8DE9CC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ECUEA2022001 Table 1 in million $
</t>
      </text>
    </comment>
    <comment ref="G1" authorId="5" shapeId="0" xr:uid="{76EE7446-D09A-4C81-8784-A60447FC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FRED, for 2024 I took 2024Q3 and for 2025 I assume 2 percent inflation with respect to the last value in 2024</t>
      </text>
    </comment>
    <comment ref="H1" authorId="6" shapeId="0" xr:uid="{36C17E79-CDA1-4DE6-9AB9-7358205EE7AD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1ECUEA20221 Figure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Gonzalez-Astudillo</author>
  </authors>
  <commentList>
    <comment ref="B1" authorId="0" shapeId="0" xr:uid="{36F9473A-C141-4466-BF83-84FA9FC72F50}">
      <text>
        <r>
          <rPr>
            <b/>
            <sz val="9"/>
            <color indexed="81"/>
            <rFont val="Tahoma"/>
            <family val="2"/>
          </rPr>
          <t>Manuel Gonzalez-Astudillo:</t>
        </r>
        <r>
          <rPr>
            <sz val="9"/>
            <color indexed="81"/>
            <rFont val="Tahoma"/>
            <family val="2"/>
          </rPr>
          <t xml:space="preserve">
Millions of 2017 US dollars, quarterly figures</t>
        </r>
      </text>
    </comment>
  </commentList>
</comments>
</file>

<file path=xl/sharedStrings.xml><?xml version="1.0" encoding="utf-8"?>
<sst xmlns="http://schemas.openxmlformats.org/spreadsheetml/2006/main" count="98" uniqueCount="48">
  <si>
    <t>Government Consumption</t>
  </si>
  <si>
    <t>Government Investment</t>
  </si>
  <si>
    <t>Transfers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</si>
  <si>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</si>
  <si>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</si>
  <si>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</si>
  <si>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</si>
  <si>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</si>
  <si>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</si>
  <si>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</si>
  <si>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</si>
  <si>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</si>
  <si>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</si>
  <si>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</si>
  <si>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</si>
  <si>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</si>
  <si>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</si>
  <si>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</si>
  <si>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</si>
  <si>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</si>
  <si>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</si>
  <si>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</si>
  <si>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</si>
  <si>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</si>
  <si>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</si>
  <si>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</si>
  <si>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</si>
  <si>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Transfers</t>
  </si>
  <si>
    <t>GovernmentConsumption</t>
  </si>
  <si>
    <t>GovernmentInvestment</t>
  </si>
  <si>
    <t>OilRevenue</t>
  </si>
  <si>
    <t>level</t>
  </si>
  <si>
    <t>difference</t>
  </si>
  <si>
    <t>GDP</t>
  </si>
  <si>
    <t>Page 15 1ECUA2022001</t>
  </si>
  <si>
    <t>US GDP Deflator</t>
  </si>
  <si>
    <t>Real Levels</t>
  </si>
  <si>
    <t>Real Growth Rates</t>
  </si>
  <si>
    <t>2019Q1</t>
  </si>
  <si>
    <t>2019Q2</t>
  </si>
  <si>
    <t>2019Q3</t>
  </si>
  <si>
    <t>2019Q4</t>
  </si>
  <si>
    <t>Ecuador GDP Deflator</t>
  </si>
  <si>
    <t>GovernmentConsumption/GDP</t>
  </si>
  <si>
    <t>GovernmentInvestment/GDP</t>
  </si>
  <si>
    <t>Transfers/GDP</t>
  </si>
  <si>
    <t>OilRevenue/GDP</t>
  </si>
  <si>
    <t>pp change wrt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</si>
</sst>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name val="Calibri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9" fontId="0" fillId="0" borderId="0" xfId="1" applyFont="1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el Gonzalez-Astudillo" id="{F29E564F-2995-426A-B7AF-127A34B8CE82}" userId="S-1-5-21-494564499-3874391898-67382419-1614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1-07T23:41:15.91" personId="{F29E564F-2995-426A-B7AF-127A34B8CE82}" id="{C485550F-A637-431B-918C-104E3D77FFE3}">
    <text>1ECUEA2022001 Table 2a sum of wages, purchases, and social security</text>
  </threadedComment>
  <threadedComment ref="C1" dT="2025-01-07T23:41:38.76" personId="{F29E564F-2995-426A-B7AF-127A34B8CE82}" id="{9C74C7B5-BF0C-4ECA-B996-5F902DB9E6E6}">
    <text>1ECUEA2022001 Table 2a Capital</text>
  </threadedComment>
  <threadedComment ref="D1" dT="2025-01-07T23:36:44.83" personId="{F29E564F-2995-426A-B7AF-127A34B8CE82}" id="{87A47F7B-63C4-475F-B842-232A84C9C9FF}">
    <text>1ECUEA2021001 Table 2a for social spending
1ECUEA2022001 Table 2a for fuel subsidies</text>
  </threadedComment>
  <threadedComment ref="E1" dT="2025-01-07T23:50:01.42" personId="{F29E564F-2995-426A-B7AF-127A34B8CE82}" id="{F8E864D7-1E4A-4788-B7F2-F97A0A3750FC}">
    <text xml:space="preserve">1ECUEA2022001 Table 1, product of oil price times oil production in million barrels
</text>
  </threadedComment>
  <threadedComment ref="F1" dT="2025-01-07T23:53:05.78" personId="{F29E564F-2995-426A-B7AF-127A34B8CE82}" id="{9E948352-E903-4696-9725-977F8DE9CC9B}">
    <text xml:space="preserve">ECUEA2022001 Table 1 in million $
</text>
  </threadedComment>
  <threadedComment ref="G1" dT="2025-01-07T23:56:54.12" personId="{F29E564F-2995-426A-B7AF-127A34B8CE82}" id="{76EE7446-D09A-4C81-8784-A60447FCCD9A}">
    <text>FRED, for 2024 I took 2024Q3 and for 2025 I assume 2 percent inflation with respect to the last value in 2024</text>
  </threadedComment>
  <threadedComment ref="H1" dT="2025-01-09T18:40:27.28" personId="{F29E564F-2995-426A-B7AF-127A34B8CE82}" id="{36C17E79-CDA1-4DE6-9AB9-7358205EE7AD}">
    <text>1ECUEA20221 Figure 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A11" sqref="A11"/>
    </sheetView>
  </sheetViews>
  <sheetFormatPr defaultRowHeight="14.5" x14ac:dyDescent="0.35"/>
  <cols>
    <col min="2" max="2" width="24.1796875" customWidth="1"/>
    <col min="3" max="3" width="22.453125" customWidth="1"/>
    <col min="4" max="4" width="9.26953125" customWidth="1"/>
    <col min="5" max="5" width="11.453125" bestFit="1" customWidth="1"/>
  </cols>
  <sheetData>
    <row r="1" spans="1:10" x14ac:dyDescent="0.35">
      <c r="B1" s="2" t="s">
        <v>28</v>
      </c>
      <c r="C1" s="2" t="s">
        <v>29</v>
      </c>
      <c r="D1" s="2" t="s">
        <v>27</v>
      </c>
      <c r="E1" s="2" t="s">
        <v>30</v>
      </c>
      <c r="G1" t="s">
        <v>0</v>
      </c>
      <c r="H1" t="s">
        <v>1</v>
      </c>
      <c r="I1" t="s">
        <v>2</v>
      </c>
      <c r="J1" s="2" t="s">
        <v>30</v>
      </c>
    </row>
    <row r="2" spans="1:10" x14ac:dyDescent="0.35">
      <c r="A2">
        <v>2020</v>
      </c>
      <c r="B2">
        <v>2E-3</v>
      </c>
      <c r="C2">
        <v>-8.9999999999999906E-3</v>
      </c>
      <c r="D2">
        <v>1E-3</v>
      </c>
      <c r="G2">
        <f>B2</f>
        <v>2E-3</v>
      </c>
      <c r="H2">
        <f t="shared" ref="H2:I2" si="0">C2</f>
        <v>-8.9999999999999906E-3</v>
      </c>
      <c r="I2">
        <f t="shared" si="0"/>
        <v>1E-3</v>
      </c>
    </row>
    <row r="3" spans="1:10" x14ac:dyDescent="0.35">
      <c r="A3">
        <v>2021</v>
      </c>
      <c r="B3">
        <v>-1.0999999999999999E-2</v>
      </c>
      <c r="C3">
        <v>3.0000000000000001E-3</v>
      </c>
      <c r="D3">
        <v>8.9999999999999906E-3</v>
      </c>
      <c r="G3">
        <f>G2+B3</f>
        <v>-8.9999999999999993E-3</v>
      </c>
      <c r="H3">
        <f t="shared" ref="H3:I7" si="1">H2+C3</f>
        <v>-5.9999999999999906E-3</v>
      </c>
      <c r="I3">
        <f t="shared" si="1"/>
        <v>9.9999999999999915E-3</v>
      </c>
    </row>
    <row r="4" spans="1:10" x14ac:dyDescent="0.35">
      <c r="A4">
        <v>2022</v>
      </c>
      <c r="B4">
        <v>-1.2E-2</v>
      </c>
      <c r="C4">
        <v>-3.0000000000000001E-3</v>
      </c>
      <c r="D4">
        <v>2E-3</v>
      </c>
      <c r="G4">
        <f t="shared" ref="G4:G7" si="2">G3+B4</f>
        <v>-2.0999999999999998E-2</v>
      </c>
      <c r="H4">
        <f t="shared" si="1"/>
        <v>-8.9999999999999906E-3</v>
      </c>
      <c r="I4">
        <f t="shared" si="1"/>
        <v>1.1999999999999992E-2</v>
      </c>
    </row>
    <row r="5" spans="1:10" x14ac:dyDescent="0.35">
      <c r="A5">
        <v>2023</v>
      </c>
      <c r="B5">
        <v>-4.0000000000000001E-3</v>
      </c>
      <c r="C5">
        <v>0</v>
      </c>
      <c r="D5">
        <v>-5.0000000000000001E-3</v>
      </c>
      <c r="G5">
        <f t="shared" si="2"/>
        <v>-2.4999999999999998E-2</v>
      </c>
      <c r="H5">
        <f t="shared" si="1"/>
        <v>-8.9999999999999906E-3</v>
      </c>
      <c r="I5">
        <f t="shared" si="1"/>
        <v>6.9999999999999915E-3</v>
      </c>
    </row>
    <row r="6" spans="1:10" x14ac:dyDescent="0.35">
      <c r="A6">
        <v>2024</v>
      </c>
      <c r="B6">
        <v>-3.0000000000000001E-3</v>
      </c>
      <c r="C6">
        <v>0</v>
      </c>
      <c r="D6">
        <v>-6.0000000000000001E-3</v>
      </c>
      <c r="G6">
        <f t="shared" si="2"/>
        <v>-2.7999999999999997E-2</v>
      </c>
      <c r="H6">
        <f t="shared" si="1"/>
        <v>-8.9999999999999906E-3</v>
      </c>
      <c r="I6">
        <f t="shared" si="1"/>
        <v>9.9999999999999135E-4</v>
      </c>
    </row>
    <row r="7" spans="1:10" x14ac:dyDescent="0.35">
      <c r="A7">
        <v>2025</v>
      </c>
      <c r="B7">
        <v>-2E-3</v>
      </c>
      <c r="C7">
        <v>-1E-3</v>
      </c>
      <c r="D7">
        <v>-4.0000000000000001E-3</v>
      </c>
      <c r="G7">
        <f t="shared" si="2"/>
        <v>-0.03</v>
      </c>
      <c r="H7">
        <f t="shared" si="1"/>
        <v>-9.9999999999999915E-3</v>
      </c>
      <c r="I7">
        <f t="shared" si="1"/>
        <v>-3.0000000000000087E-3</v>
      </c>
    </row>
    <row r="10" spans="1:10" x14ac:dyDescent="0.35">
      <c r="A10" t="s">
        <v>34</v>
      </c>
    </row>
  </sheetData>
  <pageMargins left="0.7" right="0.7" top="0.75" bottom="0.75" header="0.3" footer="0.3"/>
  <pageSetup orientation="portrait" r:id="rId1"/>
  <headerFooter>
    <oddHeader>&amp;L&amp;"Calibri"&amp;11&amp;K000000PERSONAL/NONWORK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CE28-477F-40C6-8701-D4A7CCFADE2C}">
  <dimension ref="A1:E25"/>
  <sheetViews>
    <sheetView workbookViewId="0">
      <selection activeCell="B1" sqref="B1:E1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30</v>
      </c>
    </row>
    <row r="2" spans="1:5" x14ac:dyDescent="0.35">
      <c r="A2" t="s">
        <v>3</v>
      </c>
      <c r="B2">
        <v>5.0000000000000001E-4</v>
      </c>
      <c r="C2">
        <v>-2.2499999999999998E-3</v>
      </c>
      <c r="D2">
        <v>2.5000000000000001E-4</v>
      </c>
      <c r="E2">
        <v>-6.0000000000000001E-3</v>
      </c>
    </row>
    <row r="3" spans="1:5" x14ac:dyDescent="0.35">
      <c r="A3" t="s">
        <v>4</v>
      </c>
      <c r="B3">
        <v>1E-3</v>
      </c>
      <c r="C3">
        <v>-4.4999999999999997E-3</v>
      </c>
      <c r="D3">
        <v>5.0000000000000001E-4</v>
      </c>
      <c r="E3">
        <v>-1.2E-2</v>
      </c>
    </row>
    <row r="4" spans="1:5" x14ac:dyDescent="0.35">
      <c r="A4" t="s">
        <v>5</v>
      </c>
      <c r="B4">
        <v>1.5E-3</v>
      </c>
      <c r="C4">
        <v>-6.7499999999999904E-3</v>
      </c>
      <c r="D4">
        <v>7.5000000000000002E-4</v>
      </c>
      <c r="E4">
        <v>-1.7999999999999999E-2</v>
      </c>
    </row>
    <row r="5" spans="1:5" x14ac:dyDescent="0.35">
      <c r="A5" t="s">
        <v>6</v>
      </c>
      <c r="B5">
        <v>2E-3</v>
      </c>
      <c r="C5">
        <v>-8.9999999999999906E-3</v>
      </c>
      <c r="D5">
        <v>1E-3</v>
      </c>
      <c r="E5">
        <v>-2.4E-2</v>
      </c>
    </row>
    <row r="6" spans="1:5" x14ac:dyDescent="0.35">
      <c r="A6" t="s">
        <v>7</v>
      </c>
      <c r="B6">
        <v>-7.4999999999999904E-4</v>
      </c>
      <c r="C6">
        <v>-8.24999999999999E-3</v>
      </c>
      <c r="D6">
        <v>3.2499999999999999E-3</v>
      </c>
      <c r="E6">
        <v>-2.2249999999999999E-2</v>
      </c>
    </row>
    <row r="7" spans="1:5" x14ac:dyDescent="0.35">
      <c r="A7" t="s">
        <v>8</v>
      </c>
      <c r="B7">
        <v>-3.5000000000000001E-3</v>
      </c>
      <c r="C7">
        <v>-7.4999999999999997E-3</v>
      </c>
      <c r="D7">
        <v>5.4999999999999997E-3</v>
      </c>
      <c r="E7">
        <v>-2.0500000000000001E-2</v>
      </c>
    </row>
    <row r="8" spans="1:5" x14ac:dyDescent="0.35">
      <c r="A8" t="s">
        <v>9</v>
      </c>
      <c r="B8">
        <v>-6.2499999999999899E-3</v>
      </c>
      <c r="C8">
        <v>-6.7499999999999904E-3</v>
      </c>
      <c r="D8">
        <v>7.7499999999999904E-3</v>
      </c>
      <c r="E8">
        <v>-1.8749999999999999E-2</v>
      </c>
    </row>
    <row r="9" spans="1:5" x14ac:dyDescent="0.35">
      <c r="A9" t="s">
        <v>10</v>
      </c>
      <c r="B9">
        <v>-8.9999999999999906E-3</v>
      </c>
      <c r="C9">
        <v>-5.9999999999999897E-3</v>
      </c>
      <c r="D9">
        <v>9.9999999999999898E-3</v>
      </c>
      <c r="E9">
        <v>-1.7000000000000001E-2</v>
      </c>
    </row>
    <row r="10" spans="1:5" x14ac:dyDescent="0.35">
      <c r="A10" t="s">
        <v>11</v>
      </c>
      <c r="B10">
        <v>-1.2E-2</v>
      </c>
      <c r="C10">
        <v>-6.7499999999999904E-3</v>
      </c>
      <c r="D10">
        <v>1.0500000000000001E-2</v>
      </c>
      <c r="E10">
        <v>-5.4999999999999997E-3</v>
      </c>
    </row>
    <row r="11" spans="1:5" x14ac:dyDescent="0.35">
      <c r="A11" t="s">
        <v>12</v>
      </c>
      <c r="B11">
        <v>-1.4999999999999999E-2</v>
      </c>
      <c r="C11" s="1">
        <v>-7.4999999999999997E-3</v>
      </c>
      <c r="D11">
        <v>1.0999999999999999E-2</v>
      </c>
      <c r="E11">
        <v>6.0000000000000001E-3</v>
      </c>
    </row>
    <row r="12" spans="1:5" x14ac:dyDescent="0.35">
      <c r="A12" t="s">
        <v>13</v>
      </c>
      <c r="B12">
        <v>-1.7999999999999999E-2</v>
      </c>
      <c r="C12">
        <v>-8.24999999999999E-3</v>
      </c>
      <c r="D12">
        <v>1.15E-2</v>
      </c>
      <c r="E12">
        <v>1.7500000000000002E-2</v>
      </c>
    </row>
    <row r="13" spans="1:5" x14ac:dyDescent="0.35">
      <c r="A13" t="s">
        <v>14</v>
      </c>
      <c r="B13">
        <v>-2.1000000000000001E-2</v>
      </c>
      <c r="C13">
        <v>-8.9999999999999906E-3</v>
      </c>
      <c r="D13">
        <v>1.2E-2</v>
      </c>
      <c r="E13">
        <v>2.9000000000000001E-2</v>
      </c>
    </row>
    <row r="14" spans="1:5" x14ac:dyDescent="0.35">
      <c r="A14" t="s">
        <v>15</v>
      </c>
      <c r="B14">
        <v>-2.1999999999999999E-2</v>
      </c>
      <c r="C14">
        <v>-8.9999999999999906E-3</v>
      </c>
      <c r="D14">
        <v>1.0749999999999999E-2</v>
      </c>
      <c r="E14">
        <v>2.6249999999999999E-2</v>
      </c>
    </row>
    <row r="15" spans="1:5" x14ac:dyDescent="0.35">
      <c r="A15" t="s">
        <v>16</v>
      </c>
      <c r="B15">
        <v>-2.3E-2</v>
      </c>
      <c r="C15">
        <v>-8.9999999999999906E-3</v>
      </c>
      <c r="D15">
        <v>9.4999999999999894E-3</v>
      </c>
      <c r="E15">
        <v>2.35E-2</v>
      </c>
    </row>
    <row r="16" spans="1:5" x14ac:dyDescent="0.35">
      <c r="A16" t="s">
        <v>17</v>
      </c>
      <c r="B16">
        <v>-2.4E-2</v>
      </c>
      <c r="C16">
        <v>-8.9999999999999906E-3</v>
      </c>
      <c r="D16">
        <v>8.24999999999999E-3</v>
      </c>
      <c r="E16">
        <v>2.0750000000000001E-2</v>
      </c>
    </row>
    <row r="17" spans="1:5" x14ac:dyDescent="0.35">
      <c r="A17" t="s">
        <v>18</v>
      </c>
      <c r="B17">
        <v>-2.5000000000000001E-2</v>
      </c>
      <c r="C17">
        <v>-8.9999999999999906E-3</v>
      </c>
      <c r="D17">
        <v>6.9999999999999897E-3</v>
      </c>
      <c r="E17">
        <v>1.7999999999999999E-2</v>
      </c>
    </row>
    <row r="18" spans="1:5" x14ac:dyDescent="0.35">
      <c r="A18" t="s">
        <v>19</v>
      </c>
      <c r="B18">
        <v>-2.5749999999999999E-2</v>
      </c>
      <c r="C18">
        <v>-8.9999999999999906E-3</v>
      </c>
      <c r="D18">
        <v>5.4999999999999901E-3</v>
      </c>
      <c r="E18">
        <v>1.125E-2</v>
      </c>
    </row>
    <row r="19" spans="1:5" x14ac:dyDescent="0.35">
      <c r="A19" t="s">
        <v>20</v>
      </c>
      <c r="B19">
        <v>-2.6499999999999999E-2</v>
      </c>
      <c r="C19" s="1">
        <v>-8.9999999999999906E-3</v>
      </c>
      <c r="D19">
        <v>3.9999999999999897E-3</v>
      </c>
      <c r="E19">
        <v>4.4999999999999997E-3</v>
      </c>
    </row>
    <row r="20" spans="1:5" x14ac:dyDescent="0.35">
      <c r="A20" t="s">
        <v>21</v>
      </c>
      <c r="B20">
        <v>-2.725E-2</v>
      </c>
      <c r="C20">
        <v>-8.9999999999999906E-3</v>
      </c>
      <c r="D20">
        <v>2.4999999999999901E-3</v>
      </c>
      <c r="E20">
        <v>-2.2499999999999899E-3</v>
      </c>
    </row>
    <row r="21" spans="1:5" x14ac:dyDescent="0.35">
      <c r="A21" t="s">
        <v>22</v>
      </c>
      <c r="B21">
        <v>-2.8000000000000001E-2</v>
      </c>
      <c r="C21">
        <v>-8.9999999999999906E-3</v>
      </c>
      <c r="D21">
        <v>9.9999999999999807E-4</v>
      </c>
      <c r="E21">
        <v>-8.9999999999999906E-3</v>
      </c>
    </row>
    <row r="22" spans="1:5" x14ac:dyDescent="0.35">
      <c r="A22" t="s">
        <v>23</v>
      </c>
      <c r="B22">
        <v>-2.8500000000000001E-2</v>
      </c>
      <c r="C22" s="1">
        <v>-9.2499999999999891E-3</v>
      </c>
      <c r="D22" s="1">
        <v>-1.7347234759768E-18</v>
      </c>
      <c r="E22">
        <v>-8.9999999999999906E-3</v>
      </c>
    </row>
    <row r="23" spans="1:5" x14ac:dyDescent="0.35">
      <c r="A23" t="s">
        <v>24</v>
      </c>
      <c r="B23">
        <v>-2.9000000000000001E-2</v>
      </c>
      <c r="C23">
        <v>-9.4999999999999894E-3</v>
      </c>
      <c r="D23">
        <v>-1E-3</v>
      </c>
      <c r="E23">
        <v>-8.9999999999999906E-3</v>
      </c>
    </row>
    <row r="24" spans="1:5" x14ac:dyDescent="0.35">
      <c r="A24" t="s">
        <v>25</v>
      </c>
      <c r="B24">
        <v>-2.9499999999999998E-2</v>
      </c>
      <c r="C24">
        <v>-9.7499999999999896E-3</v>
      </c>
      <c r="D24">
        <v>-2E-3</v>
      </c>
      <c r="E24">
        <v>-8.9999999999999906E-3</v>
      </c>
    </row>
    <row r="25" spans="1:5" x14ac:dyDescent="0.35">
      <c r="A25" t="s">
        <v>26</v>
      </c>
      <c r="B25">
        <v>-0.03</v>
      </c>
      <c r="C25">
        <v>-9.9999999999999898E-3</v>
      </c>
      <c r="D25">
        <v>-3.0000000000000001E-3</v>
      </c>
      <c r="E25">
        <v>-8.9999999999999906E-3</v>
      </c>
    </row>
  </sheetData>
  <pageMargins left="0.7" right="0.7" top="0.75" bottom="0.75" header="0.3" footer="0.3"/>
  <pageSetup orientation="portrait" r:id="rId1"/>
  <headerFooter>
    <oddHeader>&amp;L&amp;"Calibri"&amp;11&amp;K000000PERSONAL/NONWORK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56F6-6665-4A09-BF02-341FF56CF721}">
  <dimension ref="A1:D8"/>
  <sheetViews>
    <sheetView workbookViewId="0">
      <selection activeCell="B2" sqref="B2"/>
    </sheetView>
  </sheetViews>
  <sheetFormatPr defaultRowHeight="14.5" x14ac:dyDescent="0.35"/>
  <sheetData>
    <row r="1" spans="1:4" x14ac:dyDescent="0.35">
      <c r="B1" t="s">
        <v>31</v>
      </c>
      <c r="C1" t="s">
        <v>32</v>
      </c>
      <c r="D1" t="s">
        <v>31</v>
      </c>
    </row>
    <row r="2" spans="1:4" x14ac:dyDescent="0.35">
      <c r="A2">
        <v>2019</v>
      </c>
      <c r="B2">
        <v>7.3</v>
      </c>
      <c r="C2">
        <v>0</v>
      </c>
    </row>
    <row r="3" spans="1:4" x14ac:dyDescent="0.35">
      <c r="A3">
        <v>2020</v>
      </c>
      <c r="B3">
        <v>4.9000000000000004</v>
      </c>
      <c r="C3">
        <f>(B3-B2)/100</f>
        <v>-2.3999999999999994E-2</v>
      </c>
      <c r="D3">
        <f>C3</f>
        <v>-2.3999999999999994E-2</v>
      </c>
    </row>
    <row r="4" spans="1:4" x14ac:dyDescent="0.35">
      <c r="A4">
        <v>2021</v>
      </c>
      <c r="B4">
        <v>5.6</v>
      </c>
      <c r="C4">
        <f t="shared" ref="C4:C8" si="0">(B4-B3)/100</f>
        <v>6.9999999999999932E-3</v>
      </c>
      <c r="D4">
        <f>C4+C3</f>
        <v>-1.7000000000000001E-2</v>
      </c>
    </row>
    <row r="5" spans="1:4" x14ac:dyDescent="0.35">
      <c r="A5">
        <v>2022</v>
      </c>
      <c r="B5">
        <v>7.8</v>
      </c>
      <c r="C5">
        <f t="shared" si="0"/>
        <v>2.2000000000000002E-2</v>
      </c>
      <c r="D5">
        <f t="shared" ref="D5:D8" si="1">C5+C4</f>
        <v>2.8999999999999995E-2</v>
      </c>
    </row>
    <row r="6" spans="1:4" x14ac:dyDescent="0.35">
      <c r="A6">
        <v>2023</v>
      </c>
      <c r="B6">
        <v>7.4</v>
      </c>
      <c r="C6">
        <f t="shared" si="0"/>
        <v>-3.9999999999999949E-3</v>
      </c>
      <c r="D6">
        <f t="shared" si="1"/>
        <v>1.8000000000000009E-2</v>
      </c>
    </row>
    <row r="7" spans="1:4" x14ac:dyDescent="0.35">
      <c r="A7">
        <v>2024</v>
      </c>
      <c r="B7">
        <v>6.9</v>
      </c>
      <c r="C7">
        <f t="shared" si="0"/>
        <v>-5.0000000000000001E-3</v>
      </c>
      <c r="D7">
        <f t="shared" si="1"/>
        <v>-8.9999999999999941E-3</v>
      </c>
    </row>
    <row r="8" spans="1:4" x14ac:dyDescent="0.35">
      <c r="A8">
        <v>2025</v>
      </c>
      <c r="B8">
        <v>6.5</v>
      </c>
      <c r="C8">
        <f t="shared" si="0"/>
        <v>-4.0000000000000036E-3</v>
      </c>
      <c r="D8">
        <f t="shared" si="1"/>
        <v>-9.0000000000000045E-3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25EA-E129-4CBA-85CB-E9DBD0FC5891}">
  <dimension ref="A1:S28"/>
  <sheetViews>
    <sheetView tabSelected="1" workbookViewId="0">
      <selection activeCell="P2" sqref="P2:S8"/>
    </sheetView>
  </sheetViews>
  <sheetFormatPr defaultRowHeight="14.5" x14ac:dyDescent="0.35"/>
  <cols>
    <col min="2" max="2" width="24.54296875" bestFit="1" customWidth="1"/>
    <col min="3" max="3" width="22.81640625" bestFit="1" customWidth="1"/>
    <col min="4" max="5" width="11.26953125" bestFit="1" customWidth="1"/>
    <col min="7" max="7" width="15.26953125" bestFit="1" customWidth="1"/>
    <col min="8" max="8" width="19.08984375" bestFit="1" customWidth="1"/>
    <col min="12" max="12" width="27.1796875" bestFit="1" customWidth="1"/>
    <col min="13" max="13" width="25.36328125" bestFit="1" customWidth="1"/>
    <col min="14" max="14" width="13.08984375" bestFit="1" customWidth="1"/>
    <col min="15" max="15" width="14.7265625" bestFit="1" customWidth="1"/>
    <col min="16" max="16" width="22.7265625" bestFit="1" customWidth="1"/>
    <col min="17" max="17" width="20.81640625" bestFit="1" customWidth="1"/>
    <col min="18" max="18" width="8.6328125" bestFit="1" customWidth="1"/>
    <col min="19" max="19" width="10.26953125" bestFit="1" customWidth="1"/>
  </cols>
  <sheetData>
    <row r="1" spans="1:19" x14ac:dyDescent="0.35">
      <c r="B1" s="2" t="s">
        <v>28</v>
      </c>
      <c r="C1" s="2" t="s">
        <v>29</v>
      </c>
      <c r="D1" s="2" t="s">
        <v>2</v>
      </c>
      <c r="E1" s="2" t="s">
        <v>30</v>
      </c>
      <c r="F1" s="2" t="s">
        <v>33</v>
      </c>
      <c r="G1" s="2" t="s">
        <v>35</v>
      </c>
      <c r="H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4" t="s">
        <v>47</v>
      </c>
      <c r="Q1" s="4"/>
      <c r="R1" s="4"/>
      <c r="S1" s="4"/>
    </row>
    <row r="2" spans="1:19" x14ac:dyDescent="0.35">
      <c r="A2">
        <v>2019</v>
      </c>
      <c r="B2">
        <f>10190+4642+5749</f>
        <v>20581</v>
      </c>
      <c r="C2">
        <v>8265</v>
      </c>
      <c r="D2" s="3">
        <f>2353+1016</f>
        <v>3369</v>
      </c>
      <c r="E2">
        <f>55.1*193.8</f>
        <v>10678.380000000001</v>
      </c>
      <c r="F2">
        <v>108108</v>
      </c>
      <c r="G2" s="7">
        <v>103.97499999999999</v>
      </c>
      <c r="H2" s="7">
        <v>1</v>
      </c>
      <c r="K2">
        <v>2019</v>
      </c>
      <c r="L2" s="5">
        <f>B2/$F2</f>
        <v>0.19037444037444037</v>
      </c>
      <c r="M2" s="5">
        <f t="shared" ref="M2:O2" si="0">C2/$F2</f>
        <v>7.6451326451326448E-2</v>
      </c>
      <c r="N2" s="5">
        <f t="shared" si="0"/>
        <v>3.1163281163281164E-2</v>
      </c>
      <c r="O2" s="5">
        <f t="shared" si="0"/>
        <v>9.877511377511379E-2</v>
      </c>
      <c r="P2" s="2" t="s">
        <v>28</v>
      </c>
      <c r="Q2" s="2" t="s">
        <v>29</v>
      </c>
      <c r="R2" s="2" t="s">
        <v>2</v>
      </c>
      <c r="S2" s="2" t="s">
        <v>30</v>
      </c>
    </row>
    <row r="3" spans="1:19" x14ac:dyDescent="0.35">
      <c r="A3">
        <v>2020</v>
      </c>
      <c r="B3">
        <f>11394+2461+6830</f>
        <v>20685</v>
      </c>
      <c r="C3">
        <v>5813</v>
      </c>
      <c r="D3">
        <f>1091+1446</f>
        <v>2537</v>
      </c>
      <c r="E3">
        <f>35.6*175.4</f>
        <v>6244.2400000000007</v>
      </c>
      <c r="F3">
        <v>99291</v>
      </c>
      <c r="G3" s="7">
        <v>105.346</v>
      </c>
      <c r="H3" s="7">
        <f>H2*(1-0.004)</f>
        <v>0.996</v>
      </c>
      <c r="K3">
        <v>2020</v>
      </c>
      <c r="L3" s="5">
        <f t="shared" ref="L3:L8" si="1">B3/$F3</f>
        <v>0.2083270387044143</v>
      </c>
      <c r="M3" s="5">
        <f t="shared" ref="M3:M8" si="2">C3/$F3</f>
        <v>5.85450846501697E-2</v>
      </c>
      <c r="N3" s="5">
        <f t="shared" ref="N3:N8" si="3">D3/$F3</f>
        <v>2.5551157708150789E-2</v>
      </c>
      <c r="O3" s="5">
        <f t="shared" ref="O3:O8" si="4">E3/$F3</f>
        <v>6.2888277890241817E-2</v>
      </c>
      <c r="P3" s="6">
        <f>L3-L$2</f>
        <v>1.7952598329973923E-2</v>
      </c>
      <c r="Q3" s="6">
        <f t="shared" ref="Q3:S8" si="5">M3-M$2</f>
        <v>-1.7906241801156748E-2</v>
      </c>
      <c r="R3" s="6">
        <f t="shared" si="5"/>
        <v>-5.6121234551303745E-3</v>
      </c>
      <c r="S3" s="6">
        <f t="shared" si="5"/>
        <v>-3.5886835884871973E-2</v>
      </c>
    </row>
    <row r="4" spans="1:19" x14ac:dyDescent="0.35">
      <c r="A4">
        <v>2021</v>
      </c>
      <c r="B4">
        <f>11153+2504+7178</f>
        <v>20835</v>
      </c>
      <c r="C4">
        <v>6594</v>
      </c>
      <c r="D4">
        <f>2214+1974</f>
        <v>4188</v>
      </c>
      <c r="E4">
        <f>62*172.6</f>
        <v>10701.199999999999</v>
      </c>
      <c r="F4">
        <v>106166</v>
      </c>
      <c r="G4" s="7">
        <v>110.142</v>
      </c>
      <c r="H4" s="7">
        <f>H3*(1.026)</f>
        <v>1.0218959999999999</v>
      </c>
      <c r="K4">
        <v>2021</v>
      </c>
      <c r="L4" s="5">
        <f t="shared" si="1"/>
        <v>0.19624927001111467</v>
      </c>
      <c r="M4" s="5">
        <f t="shared" si="2"/>
        <v>6.211028012734774E-2</v>
      </c>
      <c r="N4" s="5">
        <f t="shared" si="3"/>
        <v>3.9447657442118943E-2</v>
      </c>
      <c r="O4" s="5">
        <f t="shared" si="4"/>
        <v>0.10079686528643821</v>
      </c>
      <c r="P4" s="6">
        <f t="shared" ref="P4:P8" si="6">L4-L$2</f>
        <v>5.8748296366742947E-3</v>
      </c>
      <c r="Q4" s="6">
        <f t="shared" si="5"/>
        <v>-1.4341046323978708E-2</v>
      </c>
      <c r="R4" s="6">
        <f t="shared" si="5"/>
        <v>8.2843762788377788E-3</v>
      </c>
      <c r="S4" s="6">
        <f t="shared" si="5"/>
        <v>2.0217515113244156E-3</v>
      </c>
    </row>
    <row r="5" spans="1:19" x14ac:dyDescent="0.35">
      <c r="A5">
        <v>2022</v>
      </c>
      <c r="B5">
        <f>11133+2434+7586</f>
        <v>21153</v>
      </c>
      <c r="C5">
        <v>6857</v>
      </c>
      <c r="D5">
        <f>2988+1998</f>
        <v>4986</v>
      </c>
      <c r="E5">
        <f>83.4*179.3</f>
        <v>14953.620000000003</v>
      </c>
      <c r="F5">
        <v>115469</v>
      </c>
      <c r="G5" s="7">
        <v>118.01600000000001</v>
      </c>
      <c r="H5" s="7">
        <f>H4*(1+0.057)</f>
        <v>1.080144072</v>
      </c>
      <c r="K5">
        <v>2022</v>
      </c>
      <c r="L5" s="5">
        <f t="shared" si="1"/>
        <v>0.18319202556530323</v>
      </c>
      <c r="M5" s="5">
        <f t="shared" si="2"/>
        <v>5.9383903904944184E-2</v>
      </c>
      <c r="N5" s="5">
        <f t="shared" si="3"/>
        <v>4.3180420718980851E-2</v>
      </c>
      <c r="O5" s="5">
        <f t="shared" si="4"/>
        <v>0.1295033298980679</v>
      </c>
      <c r="P5" s="6">
        <f t="shared" si="6"/>
        <v>-7.1824148091371443E-3</v>
      </c>
      <c r="Q5" s="6">
        <f t="shared" si="5"/>
        <v>-1.7067422546382265E-2</v>
      </c>
      <c r="R5" s="6">
        <f t="shared" si="5"/>
        <v>1.2017139555699687E-2</v>
      </c>
      <c r="S5" s="6">
        <f t="shared" si="5"/>
        <v>3.0728216122954108E-2</v>
      </c>
    </row>
    <row r="6" spans="1:19" x14ac:dyDescent="0.35">
      <c r="A6">
        <v>2023</v>
      </c>
      <c r="B6">
        <f>11196+2492+7957</f>
        <v>21645</v>
      </c>
      <c r="C6">
        <v>7242</v>
      </c>
      <c r="D6">
        <f>2558+1875</f>
        <v>4433</v>
      </c>
      <c r="E6">
        <f>75.3*186.1</f>
        <v>14013.33</v>
      </c>
      <c r="F6">
        <v>120292</v>
      </c>
      <c r="G6" s="7">
        <v>122.26600000000001</v>
      </c>
      <c r="H6" s="7">
        <f>H5*(1+0.015)</f>
        <v>1.0963462330799998</v>
      </c>
      <c r="K6">
        <v>2023</v>
      </c>
      <c r="L6" s="5">
        <f t="shared" si="1"/>
        <v>0.17993715292787552</v>
      </c>
      <c r="M6" s="5">
        <f t="shared" si="2"/>
        <v>6.0203504804974564E-2</v>
      </c>
      <c r="N6" s="5">
        <f t="shared" si="3"/>
        <v>3.6851993482525852E-2</v>
      </c>
      <c r="O6" s="5">
        <f t="shared" si="4"/>
        <v>0.11649428058391248</v>
      </c>
      <c r="P6" s="6">
        <f t="shared" si="6"/>
        <v>-1.0437287446564858E-2</v>
      </c>
      <c r="Q6" s="6">
        <f t="shared" si="5"/>
        <v>-1.6247821646351884E-2</v>
      </c>
      <c r="R6" s="6">
        <f t="shared" si="5"/>
        <v>5.6887123192446883E-3</v>
      </c>
      <c r="S6" s="6">
        <f t="shared" si="5"/>
        <v>1.7719166808798689E-2</v>
      </c>
    </row>
    <row r="7" spans="1:19" x14ac:dyDescent="0.35">
      <c r="A7">
        <v>2024</v>
      </c>
      <c r="B7">
        <f>11315+2445+8176</f>
        <v>21936</v>
      </c>
      <c r="C7">
        <v>7369</v>
      </c>
      <c r="D7">
        <f>2002+1875</f>
        <v>3877</v>
      </c>
      <c r="E7">
        <f>68.9*189.2</f>
        <v>13035.880000000001</v>
      </c>
      <c r="F7">
        <v>124578</v>
      </c>
      <c r="G7" s="7">
        <v>125.532</v>
      </c>
      <c r="H7" s="7">
        <f>H6*(1+0.008)</f>
        <v>1.1051170029446398</v>
      </c>
      <c r="K7">
        <v>2024</v>
      </c>
      <c r="L7" s="5">
        <f t="shared" si="1"/>
        <v>0.17608245436593942</v>
      </c>
      <c r="M7" s="5">
        <f t="shared" si="2"/>
        <v>5.915169612612179E-2</v>
      </c>
      <c r="N7" s="5">
        <f t="shared" si="3"/>
        <v>3.1121064714476072E-2</v>
      </c>
      <c r="O7" s="5">
        <f t="shared" si="4"/>
        <v>0.1046403056719485</v>
      </c>
      <c r="P7" s="6">
        <f t="shared" si="6"/>
        <v>-1.4291986008500956E-2</v>
      </c>
      <c r="Q7" s="6">
        <f t="shared" si="5"/>
        <v>-1.7299630325204658E-2</v>
      </c>
      <c r="R7" s="6">
        <f t="shared" si="5"/>
        <v>-4.2216448805091483E-5</v>
      </c>
      <c r="S7" s="6">
        <f t="shared" si="5"/>
        <v>5.8651918968347094E-3</v>
      </c>
    </row>
    <row r="8" spans="1:19" x14ac:dyDescent="0.35">
      <c r="A8">
        <v>2025</v>
      </c>
      <c r="B8">
        <f>11494+2477+8515</f>
        <v>22486</v>
      </c>
      <c r="C8">
        <v>7469</v>
      </c>
      <c r="D8">
        <f>1488+1875</f>
        <v>3363</v>
      </c>
      <c r="E8">
        <f>63.1*192.5</f>
        <v>12146.75</v>
      </c>
      <c r="F8">
        <v>128795</v>
      </c>
      <c r="G8" s="7">
        <f>G7*1.02</f>
        <v>128.04264000000001</v>
      </c>
      <c r="H8" s="7">
        <f>H7*(1+0.006)</f>
        <v>1.1117477049623077</v>
      </c>
      <c r="K8">
        <v>2025</v>
      </c>
      <c r="L8" s="5">
        <f t="shared" si="1"/>
        <v>0.1745875228075624</v>
      </c>
      <c r="M8" s="5">
        <f t="shared" si="2"/>
        <v>5.7991381653014477E-2</v>
      </c>
      <c r="N8" s="5">
        <f t="shared" si="3"/>
        <v>2.6111262083155402E-2</v>
      </c>
      <c r="O8" s="5">
        <f t="shared" si="4"/>
        <v>9.4310726348072513E-2</v>
      </c>
      <c r="P8" s="6">
        <f t="shared" si="6"/>
        <v>-1.5786917566877973E-2</v>
      </c>
      <c r="Q8" s="6">
        <f t="shared" si="5"/>
        <v>-1.8459944798311971E-2</v>
      </c>
      <c r="R8" s="6">
        <f t="shared" si="5"/>
        <v>-5.0520190801257615E-3</v>
      </c>
      <c r="S8" s="6">
        <f t="shared" si="5"/>
        <v>-4.4643874270412776E-3</v>
      </c>
    </row>
    <row r="10" spans="1:19" x14ac:dyDescent="0.35">
      <c r="B10" s="4" t="s">
        <v>36</v>
      </c>
      <c r="C10" s="4"/>
      <c r="D10" s="4"/>
      <c r="E10" s="4"/>
      <c r="F10" s="4"/>
      <c r="G10" s="4"/>
    </row>
    <row r="11" spans="1:19" x14ac:dyDescent="0.35">
      <c r="B11" s="2" t="s">
        <v>28</v>
      </c>
      <c r="C11" s="2" t="s">
        <v>29</v>
      </c>
      <c r="D11" s="2" t="s">
        <v>2</v>
      </c>
      <c r="E11" s="2" t="s">
        <v>30</v>
      </c>
      <c r="F11" s="2"/>
    </row>
    <row r="12" spans="1:19" x14ac:dyDescent="0.35">
      <c r="A12">
        <v>2019</v>
      </c>
      <c r="B12" s="8">
        <f>B2/$H2</f>
        <v>20581</v>
      </c>
      <c r="C12" s="8">
        <f>C2/$H2</f>
        <v>8265</v>
      </c>
      <c r="D12" s="8">
        <f t="shared" ref="D12:E12" si="7">D2/($G2/100)</f>
        <v>3240.2019716277955</v>
      </c>
      <c r="E12" s="8">
        <f t="shared" si="7"/>
        <v>10270.141861024285</v>
      </c>
    </row>
    <row r="13" spans="1:19" x14ac:dyDescent="0.35">
      <c r="A13">
        <v>2020</v>
      </c>
      <c r="B13" s="8">
        <f t="shared" ref="B13:C18" si="8">B3/$H3</f>
        <v>20768.072289156626</v>
      </c>
      <c r="C13" s="8">
        <f t="shared" si="8"/>
        <v>5836.3453815261046</v>
      </c>
      <c r="D13" s="8">
        <f t="shared" ref="D13:E13" si="9">D3/($G3/100)</f>
        <v>2408.2547035483071</v>
      </c>
      <c r="E13" s="8">
        <f t="shared" si="9"/>
        <v>5927.3631651889964</v>
      </c>
    </row>
    <row r="14" spans="1:19" x14ac:dyDescent="0.35">
      <c r="A14">
        <v>2021</v>
      </c>
      <c r="B14" s="8">
        <f t="shared" si="8"/>
        <v>20388.571831184388</v>
      </c>
      <c r="C14" s="8">
        <f t="shared" si="8"/>
        <v>6452.7114305173918</v>
      </c>
      <c r="D14" s="8">
        <f t="shared" ref="D14:E14" si="10">D4/($G4/100)</f>
        <v>3802.364220733235</v>
      </c>
      <c r="E14" s="8">
        <f t="shared" si="10"/>
        <v>9715.821394200213</v>
      </c>
    </row>
    <row r="15" spans="1:19" x14ac:dyDescent="0.35">
      <c r="A15">
        <v>2022</v>
      </c>
      <c r="B15" s="8">
        <f t="shared" si="8"/>
        <v>19583.498672388214</v>
      </c>
      <c r="C15" s="8">
        <f t="shared" si="8"/>
        <v>6348.2272205628515</v>
      </c>
      <c r="D15" s="8">
        <f t="shared" ref="D15:E15" si="11">D5/($G5/100)</f>
        <v>4224.8508676789588</v>
      </c>
      <c r="E15" s="8">
        <f t="shared" si="11"/>
        <v>12670.841241865512</v>
      </c>
    </row>
    <row r="16" spans="1:19" x14ac:dyDescent="0.35">
      <c r="A16">
        <v>2023</v>
      </c>
      <c r="B16" s="8">
        <f t="shared" si="8"/>
        <v>19742.850704372853</v>
      </c>
      <c r="C16" s="8">
        <f t="shared" si="8"/>
        <v>6605.5774913868427</v>
      </c>
      <c r="D16" s="8">
        <f t="shared" ref="D16:E16" si="12">D6/($G6/100)</f>
        <v>3625.7013397019609</v>
      </c>
      <c r="E16" s="8">
        <f t="shared" si="12"/>
        <v>11461.346572227765</v>
      </c>
    </row>
    <row r="17" spans="1:7" x14ac:dyDescent="0.35">
      <c r="A17">
        <v>2024</v>
      </c>
      <c r="B17" s="8">
        <f t="shared" si="8"/>
        <v>19849.481947658416</v>
      </c>
      <c r="C17" s="8">
        <f t="shared" si="8"/>
        <v>6668.0722315962284</v>
      </c>
      <c r="D17" s="8">
        <f t="shared" ref="D17:E17" si="13">D7/($G7/100)</f>
        <v>3088.455533250486</v>
      </c>
      <c r="E17" s="8">
        <f t="shared" si="13"/>
        <v>10384.507535927096</v>
      </c>
    </row>
    <row r="18" spans="1:7" x14ac:dyDescent="0.35">
      <c r="A18">
        <v>2025</v>
      </c>
      <c r="B18" s="8">
        <f t="shared" si="8"/>
        <v>20225.811935237911</v>
      </c>
      <c r="C18" s="8">
        <f t="shared" si="8"/>
        <v>6718.2508825176537</v>
      </c>
      <c r="D18" s="8">
        <f t="shared" ref="D18:E18" si="14">D8/($G8/100)</f>
        <v>2626.4688075784752</v>
      </c>
      <c r="E18" s="8">
        <f t="shared" si="14"/>
        <v>9486.4882511013511</v>
      </c>
    </row>
    <row r="20" spans="1:7" x14ac:dyDescent="0.35">
      <c r="B20" s="4" t="s">
        <v>37</v>
      </c>
      <c r="C20" s="4"/>
      <c r="D20" s="4"/>
      <c r="E20" s="4"/>
      <c r="F20" s="4"/>
      <c r="G20" s="4"/>
    </row>
    <row r="21" spans="1:7" x14ac:dyDescent="0.35">
      <c r="B21" s="2" t="s">
        <v>28</v>
      </c>
      <c r="C21" s="2" t="s">
        <v>29</v>
      </c>
      <c r="D21" s="2" t="s">
        <v>2</v>
      </c>
      <c r="E21" s="2" t="s">
        <v>30</v>
      </c>
    </row>
    <row r="22" spans="1:7" x14ac:dyDescent="0.35">
      <c r="A22">
        <v>2019</v>
      </c>
    </row>
    <row r="23" spans="1:7" x14ac:dyDescent="0.35">
      <c r="A23">
        <v>2020</v>
      </c>
      <c r="B23" s="6">
        <f>B13/B12-1</f>
        <v>9.0895626624860615E-3</v>
      </c>
      <c r="C23" s="6">
        <f t="shared" ref="C23:E23" si="15">C13/C12-1</f>
        <v>-0.29384810870827527</v>
      </c>
      <c r="D23" s="6">
        <f t="shared" si="15"/>
        <v>-0.25675784267902879</v>
      </c>
      <c r="E23" s="6">
        <f t="shared" si="15"/>
        <v>-0.42285479155028582</v>
      </c>
    </row>
    <row r="24" spans="1:7" x14ac:dyDescent="0.35">
      <c r="A24">
        <v>2021</v>
      </c>
      <c r="B24" s="6">
        <f t="shared" ref="B24:E24" si="16">B14/B13-1</f>
        <v>-1.8273263531077943E-2</v>
      </c>
      <c r="C24" s="6">
        <f t="shared" si="16"/>
        <v>0.10560822033293005</v>
      </c>
      <c r="D24" s="6">
        <f t="shared" si="16"/>
        <v>0.57888790381302102</v>
      </c>
      <c r="E24" s="6">
        <f t="shared" si="16"/>
        <v>0.63914731111138523</v>
      </c>
    </row>
    <row r="25" spans="1:7" x14ac:dyDescent="0.35">
      <c r="A25">
        <v>2022</v>
      </c>
      <c r="B25" s="6">
        <f t="shared" ref="B25:E25" si="17">B15/B14-1</f>
        <v>-3.9486491033413729E-2</v>
      </c>
      <c r="C25" s="6">
        <f t="shared" si="17"/>
        <v>-1.6192295452791217E-2</v>
      </c>
      <c r="D25" s="6">
        <f t="shared" si="17"/>
        <v>0.11111156701980884</v>
      </c>
      <c r="E25" s="6">
        <f t="shared" si="17"/>
        <v>0.30414513892044948</v>
      </c>
    </row>
    <row r="26" spans="1:7" x14ac:dyDescent="0.35">
      <c r="A26">
        <v>2023</v>
      </c>
      <c r="B26" s="6">
        <f t="shared" ref="B26:E26" si="18">B16/B15-1</f>
        <v>8.1370563376050864E-3</v>
      </c>
      <c r="C26" s="6">
        <f t="shared" si="18"/>
        <v>4.0538919273461982E-2</v>
      </c>
      <c r="D26" s="6">
        <f t="shared" si="18"/>
        <v>-0.14181554491322379</v>
      </c>
      <c r="E26" s="6">
        <f t="shared" si="18"/>
        <v>-9.5454962030577351E-2</v>
      </c>
    </row>
    <row r="27" spans="1:7" x14ac:dyDescent="0.35">
      <c r="A27">
        <v>2024</v>
      </c>
      <c r="B27" s="6">
        <f t="shared" ref="B27:E27" si="19">B17/B16-1</f>
        <v>5.4010054010054098E-3</v>
      </c>
      <c r="C27" s="6">
        <f t="shared" si="19"/>
        <v>9.4609048627276593E-3</v>
      </c>
      <c r="D27" s="6">
        <f t="shared" si="19"/>
        <v>-0.14817707144506209</v>
      </c>
      <c r="E27" s="6">
        <f t="shared" si="19"/>
        <v>-9.3953972119644402E-2</v>
      </c>
    </row>
    <row r="28" spans="1:7" x14ac:dyDescent="0.35">
      <c r="A28">
        <v>2025</v>
      </c>
      <c r="B28" s="6">
        <f t="shared" ref="B28:E28" si="20">B18/B17-1</f>
        <v>1.8959184354123026E-2</v>
      </c>
      <c r="C28" s="6">
        <f t="shared" si="20"/>
        <v>7.5252110623003077E-3</v>
      </c>
      <c r="D28" s="6">
        <f t="shared" si="20"/>
        <v>-0.14958503391039168</v>
      </c>
      <c r="E28" s="6">
        <f t="shared" si="20"/>
        <v>-8.6476829230359153E-2</v>
      </c>
    </row>
  </sheetData>
  <mergeCells count="3">
    <mergeCell ref="B10:G10"/>
    <mergeCell ref="B20:G20"/>
    <mergeCell ref="P1:S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4C0-1260-41F5-93A5-9A2A7526FF71}">
  <dimension ref="A1:E29"/>
  <sheetViews>
    <sheetView workbookViewId="0">
      <selection activeCell="B2" sqref="B2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30</v>
      </c>
    </row>
    <row r="2" spans="1:5" x14ac:dyDescent="0.35">
      <c r="A2" t="s">
        <v>38</v>
      </c>
      <c r="B2">
        <v>5096.7275255468703</v>
      </c>
      <c r="C2">
        <v>2460.4609381640598</v>
      </c>
      <c r="D2">
        <v>1009.78302980468</v>
      </c>
      <c r="E2">
        <v>3419.3479869375001</v>
      </c>
    </row>
    <row r="3" spans="1:5" x14ac:dyDescent="0.35">
      <c r="A3" t="s">
        <v>39</v>
      </c>
      <c r="B3">
        <v>5134.9776413281197</v>
      </c>
      <c r="C3">
        <v>2165.93468077343</v>
      </c>
      <c r="D3">
        <v>853.43991375781195</v>
      </c>
      <c r="E3">
        <v>2766.7725876875002</v>
      </c>
    </row>
    <row r="4" spans="1:5" x14ac:dyDescent="0.35">
      <c r="A4" t="s">
        <v>40</v>
      </c>
      <c r="B4">
        <v>5164.3750578906202</v>
      </c>
      <c r="C4">
        <v>1918.9868713046801</v>
      </c>
      <c r="D4">
        <v>731.87893497656205</v>
      </c>
      <c r="E4">
        <v>2241.2477653750002</v>
      </c>
    </row>
    <row r="5" spans="1:5" x14ac:dyDescent="0.35">
      <c r="A5" t="s">
        <v>41</v>
      </c>
      <c r="B5">
        <v>5184.9197752343698</v>
      </c>
      <c r="C5">
        <v>1719.61750975781</v>
      </c>
      <c r="D5">
        <v>645.10009346093705</v>
      </c>
      <c r="E5">
        <v>1842.77352</v>
      </c>
    </row>
    <row r="6" spans="1:5" x14ac:dyDescent="0.35">
      <c r="A6" t="s">
        <v>3</v>
      </c>
      <c r="B6">
        <v>5196.6117933593696</v>
      </c>
      <c r="C6">
        <v>1567.82659613281</v>
      </c>
      <c r="D6">
        <v>593.10338921093705</v>
      </c>
      <c r="E6">
        <v>1571.3498515624999</v>
      </c>
    </row>
    <row r="7" spans="1:5" x14ac:dyDescent="0.35">
      <c r="A7" t="s">
        <v>4</v>
      </c>
      <c r="B7">
        <v>5199.4511122656204</v>
      </c>
      <c r="C7">
        <v>1463.61413042968</v>
      </c>
      <c r="D7">
        <v>575.88882222656196</v>
      </c>
      <c r="E7">
        <v>1426.9767600625</v>
      </c>
    </row>
    <row r="8" spans="1:5" x14ac:dyDescent="0.35">
      <c r="A8" t="s">
        <v>5</v>
      </c>
      <c r="B8">
        <v>5193.4377319531204</v>
      </c>
      <c r="C8">
        <v>1406.9801126484299</v>
      </c>
      <c r="D8">
        <v>593.45639250781198</v>
      </c>
      <c r="E8">
        <v>1409.6542454999999</v>
      </c>
    </row>
    <row r="9" spans="1:5" x14ac:dyDescent="0.35">
      <c r="A9" t="s">
        <v>6</v>
      </c>
      <c r="B9">
        <v>5178.5716524218697</v>
      </c>
      <c r="C9">
        <v>1397.9245427890601</v>
      </c>
      <c r="D9">
        <v>645.80610005468702</v>
      </c>
      <c r="E9">
        <v>1519.3823078749999</v>
      </c>
    </row>
    <row r="10" spans="1:5" x14ac:dyDescent="0.35">
      <c r="A10" t="s">
        <v>7</v>
      </c>
      <c r="B10">
        <v>5149.3450592187501</v>
      </c>
      <c r="C10">
        <v>1583.55175389843</v>
      </c>
      <c r="D10">
        <v>857.84730639062502</v>
      </c>
      <c r="E10">
        <v>2106.34357636718</v>
      </c>
    </row>
    <row r="11" spans="1:5" x14ac:dyDescent="0.35">
      <c r="A11" t="s">
        <v>8</v>
      </c>
      <c r="B11">
        <v>5118.97670703124</v>
      </c>
      <c r="C11">
        <v>1610.81134666406</v>
      </c>
      <c r="D11">
        <v>929.79754385937497</v>
      </c>
      <c r="E11">
        <v>2330.0997409453098</v>
      </c>
    </row>
    <row r="12" spans="1:5" x14ac:dyDescent="0.35">
      <c r="A12" t="s">
        <v>9</v>
      </c>
      <c r="B12">
        <v>5081.9587814062397</v>
      </c>
      <c r="C12">
        <v>1626.8076541328101</v>
      </c>
      <c r="D12">
        <v>986.56617398437504</v>
      </c>
      <c r="E12">
        <v>2540.83343078906</v>
      </c>
    </row>
    <row r="13" spans="1:5" x14ac:dyDescent="0.35">
      <c r="A13" t="s">
        <v>10</v>
      </c>
      <c r="B13">
        <v>5038.29128234374</v>
      </c>
      <c r="C13">
        <v>1631.5406763046799</v>
      </c>
      <c r="D13">
        <v>1028.1531967656199</v>
      </c>
      <c r="E13">
        <v>2738.5446458984302</v>
      </c>
    </row>
    <row r="14" spans="1:5" x14ac:dyDescent="0.35">
      <c r="A14" t="s">
        <v>11</v>
      </c>
      <c r="B14">
        <v>4933.6774172656196</v>
      </c>
      <c r="C14">
        <v>1582.7180405624999</v>
      </c>
      <c r="D14">
        <v>1056.51225692968</v>
      </c>
      <c r="E14">
        <v>3053.3535477187502</v>
      </c>
    </row>
    <row r="15" spans="1:5" x14ac:dyDescent="0.35">
      <c r="A15" t="s">
        <v>12</v>
      </c>
      <c r="B15">
        <v>4898.4294883593702</v>
      </c>
      <c r="C15">
        <v>1581.8414411875001</v>
      </c>
      <c r="D15">
        <v>1066.95460713281</v>
      </c>
      <c r="E15">
        <v>3172.97174878125</v>
      </c>
    </row>
    <row r="16" spans="1:5" x14ac:dyDescent="0.35">
      <c r="A16" t="s">
        <v>13</v>
      </c>
      <c r="B16">
        <v>4878.2507030468696</v>
      </c>
      <c r="C16">
        <v>1586.6185055624901</v>
      </c>
      <c r="D16">
        <v>1061.4338921015601</v>
      </c>
      <c r="E16">
        <v>3227.5194105312498</v>
      </c>
    </row>
    <row r="17" spans="1:5" x14ac:dyDescent="0.35">
      <c r="A17" t="s">
        <v>14</v>
      </c>
      <c r="B17">
        <v>4873.1410613281196</v>
      </c>
      <c r="C17">
        <v>1597.04923368749</v>
      </c>
      <c r="D17">
        <v>1039.9501118359301</v>
      </c>
      <c r="E17">
        <v>3216.9965329687402</v>
      </c>
    </row>
    <row r="18" spans="1:5" x14ac:dyDescent="0.35">
      <c r="A18" t="s">
        <v>15</v>
      </c>
      <c r="B18">
        <v>4922.8328276562497</v>
      </c>
      <c r="C18">
        <v>1634.8793290390599</v>
      </c>
      <c r="D18">
        <v>960.17748914843696</v>
      </c>
      <c r="E18">
        <v>2973.5449068749999</v>
      </c>
    </row>
    <row r="19" spans="1:5" x14ac:dyDescent="0.35">
      <c r="A19" t="s">
        <v>16</v>
      </c>
      <c r="B19">
        <v>4931.9685673437498</v>
      </c>
      <c r="C19">
        <v>1647.91910327343</v>
      </c>
      <c r="D19">
        <v>923.697889289062</v>
      </c>
      <c r="E19">
        <v>2900.0242343750001</v>
      </c>
    </row>
    <row r="20" spans="1:5" x14ac:dyDescent="0.35">
      <c r="A20" t="s">
        <v>17</v>
      </c>
      <c r="B20">
        <v>4940.2805448437502</v>
      </c>
      <c r="C20">
        <v>1657.9142598671799</v>
      </c>
      <c r="D20">
        <v>888.18553507031197</v>
      </c>
      <c r="E20">
        <v>2828.57630625</v>
      </c>
    </row>
    <row r="21" spans="1:5" x14ac:dyDescent="0.35">
      <c r="A21" t="s">
        <v>18</v>
      </c>
      <c r="B21">
        <v>4947.7687601562502</v>
      </c>
      <c r="C21">
        <v>1664.8647988203099</v>
      </c>
      <c r="D21">
        <v>853.64042649218698</v>
      </c>
      <c r="E21">
        <v>2759.2011225000001</v>
      </c>
    </row>
    <row r="22" spans="1:5" x14ac:dyDescent="0.35">
      <c r="A22" t="s">
        <v>19</v>
      </c>
      <c r="B22">
        <v>4941.8387007812498</v>
      </c>
      <c r="C22">
        <v>1661.64027329687</v>
      </c>
      <c r="D22">
        <v>819.54086976562496</v>
      </c>
      <c r="E22">
        <v>2690.0953979296801</v>
      </c>
    </row>
    <row r="23" spans="1:5" x14ac:dyDescent="0.35">
      <c r="A23" t="s">
        <v>20</v>
      </c>
      <c r="B23">
        <v>4952.7171967187496</v>
      </c>
      <c r="C23">
        <v>1665.35375570312</v>
      </c>
      <c r="D23">
        <v>787.13892998437495</v>
      </c>
      <c r="E23">
        <v>2625.5870170078101</v>
      </c>
    </row>
    <row r="24" spans="1:5" x14ac:dyDescent="0.35">
      <c r="A24" t="s">
        <v>21</v>
      </c>
      <c r="B24">
        <v>4967.8097354687497</v>
      </c>
      <c r="C24">
        <v>1668.8747992031199</v>
      </c>
      <c r="D24">
        <v>755.91291335937501</v>
      </c>
      <c r="E24">
        <v>2563.8726945390599</v>
      </c>
    </row>
    <row r="25" spans="1:5" x14ac:dyDescent="0.35">
      <c r="A25" t="s">
        <v>22</v>
      </c>
      <c r="B25">
        <v>4987.1163170312502</v>
      </c>
      <c r="C25">
        <v>1672.2034037968699</v>
      </c>
      <c r="D25">
        <v>725.86281989062502</v>
      </c>
      <c r="E25">
        <v>2504.9524305234299</v>
      </c>
    </row>
    <row r="26" spans="1:5" x14ac:dyDescent="0.35">
      <c r="A26" t="s">
        <v>23</v>
      </c>
      <c r="B26">
        <v>5010.6369414062501</v>
      </c>
      <c r="C26">
        <v>1675.33956948437</v>
      </c>
      <c r="D26">
        <v>696.98864957812498</v>
      </c>
      <c r="E26">
        <v>2448.8262249609302</v>
      </c>
    </row>
    <row r="27" spans="1:5" x14ac:dyDescent="0.35">
      <c r="A27" t="s">
        <v>24</v>
      </c>
      <c r="B27">
        <v>5038.3716085937504</v>
      </c>
      <c r="C27">
        <v>1678.28329626562</v>
      </c>
      <c r="D27">
        <v>669.29040242187398</v>
      </c>
      <c r="E27">
        <v>2395.4940778515602</v>
      </c>
    </row>
    <row r="28" spans="1:5" x14ac:dyDescent="0.35">
      <c r="A28" t="s">
        <v>25</v>
      </c>
      <c r="B28">
        <v>5070.32031859375</v>
      </c>
      <c r="C28">
        <v>1681.0345841406199</v>
      </c>
      <c r="D28">
        <v>642.76807842187395</v>
      </c>
      <c r="E28">
        <v>2344.9559891953099</v>
      </c>
    </row>
    <row r="29" spans="1:5" x14ac:dyDescent="0.35">
      <c r="A29" t="s">
        <v>26</v>
      </c>
      <c r="B29">
        <v>5106.48307140625</v>
      </c>
      <c r="C29">
        <v>1683.5934331093699</v>
      </c>
      <c r="D29">
        <v>617.42167757812399</v>
      </c>
      <c r="E29">
        <v>2297.2119589921799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</vt:lpstr>
      <vt:lpstr>quarterly</vt:lpstr>
      <vt:lpstr>oil_revenue</vt:lpstr>
      <vt:lpstr>annual_levels</vt:lpstr>
      <vt:lpstr>quarterly_levels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Manuel Gonzalez-Astudillo</cp:lastModifiedBy>
  <dcterms:created xsi:type="dcterms:W3CDTF">2022-08-11T22:38:44Z</dcterms:created>
  <dcterms:modified xsi:type="dcterms:W3CDTF">2025-02-25T22:32:36Z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58fa293e-e4df-4e65-b974-60d7a8d34199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2022-11-09T02:08:01Z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2ff78c6e-2191-4fae-b558-c552637b884c</vt:lpwstr>
  </property>
  <property fmtid="{D5CDD505-2E9C-101B-9397-08002B2CF9AE}" pid="9" name="MSIP_Label_020c9e8b-b879-4ade-97ac-60b9c2bff5e3_ContentBits">
    <vt:lpwstr>1</vt:lpwstr>
  </property>
</Properties>
</file>