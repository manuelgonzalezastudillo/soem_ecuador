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lipton/Dropbox (Harvard University)/SOEM/baseline_model_noobspublicprivateexternaldebt/"/>
    </mc:Choice>
  </mc:AlternateContent>
  <xr:revisionPtr revIDLastSave="0" documentId="13_ncr:1_{DA8B4D45-C109-C94D-A177-8FBAA2EFDBEE}" xr6:coauthVersionLast="47" xr6:coauthVersionMax="47" xr10:uidLastSave="{00000000-0000-0000-0000-000000000000}"/>
  <bookViews>
    <workbookView xWindow="0" yWindow="500" windowWidth="28800" windowHeight="16000" activeTab="5" xr2:uid="{00000000-000D-0000-FFFF-FFFF00000000}"/>
  </bookViews>
  <sheets>
    <sheet name="annual" sheetId="1" r:id="rId1"/>
    <sheet name="quarterly" sheetId="2" r:id="rId2"/>
    <sheet name="oil_revenue" sheetId="3" r:id="rId3"/>
    <sheet name="annual_levels" sheetId="4" r:id="rId4"/>
    <sheet name="quarterly_levels" sheetId="5" r:id="rId5"/>
    <sheet name="quarterly_g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" i="5" l="1"/>
  <c r="G29" i="5"/>
  <c r="G28" i="5"/>
  <c r="G27" i="5"/>
  <c r="G26" i="5"/>
  <c r="G21" i="6" s="1"/>
  <c r="G25" i="5"/>
  <c r="G20" i="6" s="1"/>
  <c r="G24" i="5"/>
  <c r="G19" i="6" s="1"/>
  <c r="G23" i="5"/>
  <c r="G18" i="6" s="1"/>
  <c r="G22" i="5"/>
  <c r="G21" i="5"/>
  <c r="G20" i="5"/>
  <c r="G15" i="6" s="1"/>
  <c r="G19" i="5"/>
  <c r="G14" i="6" s="1"/>
  <c r="G18" i="5"/>
  <c r="G17" i="5"/>
  <c r="G12" i="6" s="1"/>
  <c r="G16" i="5"/>
  <c r="G15" i="5"/>
  <c r="G10" i="6" s="1"/>
  <c r="G14" i="5"/>
  <c r="G13" i="5"/>
  <c r="G12" i="5"/>
  <c r="G11" i="5"/>
  <c r="G6" i="6" s="1"/>
  <c r="G10" i="5"/>
  <c r="G5" i="6" s="1"/>
  <c r="G9" i="5"/>
  <c r="G4" i="6" s="1"/>
  <c r="G8" i="5"/>
  <c r="G7" i="5"/>
  <c r="G3" i="6" s="1"/>
  <c r="F30" i="5"/>
  <c r="F29" i="5"/>
  <c r="F28" i="5"/>
  <c r="F27" i="5"/>
  <c r="F26" i="5"/>
  <c r="F21" i="6" s="1"/>
  <c r="F25" i="5"/>
  <c r="F20" i="6" s="1"/>
  <c r="F24" i="5"/>
  <c r="F19" i="6" s="1"/>
  <c r="F23" i="5"/>
  <c r="F18" i="6" s="1"/>
  <c r="F22" i="5"/>
  <c r="F21" i="5"/>
  <c r="F20" i="5"/>
  <c r="F19" i="5"/>
  <c r="F18" i="5"/>
  <c r="F13" i="6" s="1"/>
  <c r="F17" i="5"/>
  <c r="F12" i="6" s="1"/>
  <c r="F16" i="5"/>
  <c r="F15" i="5"/>
  <c r="F14" i="5"/>
  <c r="F13" i="5"/>
  <c r="F12" i="5"/>
  <c r="F11" i="5"/>
  <c r="F10" i="5"/>
  <c r="F5" i="6" s="1"/>
  <c r="F9" i="5"/>
  <c r="F4" i="6" s="1"/>
  <c r="F8" i="5"/>
  <c r="F7" i="5"/>
  <c r="F2" i="6" s="1"/>
  <c r="G25" i="6"/>
  <c r="F25" i="6"/>
  <c r="G24" i="6"/>
  <c r="F24" i="6"/>
  <c r="G23" i="6"/>
  <c r="F23" i="6"/>
  <c r="G22" i="6"/>
  <c r="F22" i="6"/>
  <c r="G17" i="6"/>
  <c r="F17" i="6"/>
  <c r="G16" i="6"/>
  <c r="F16" i="6"/>
  <c r="F15" i="6"/>
  <c r="F14" i="6"/>
  <c r="F11" i="6"/>
  <c r="F10" i="6"/>
  <c r="G9" i="6"/>
  <c r="F9" i="6"/>
  <c r="G8" i="6"/>
  <c r="F8" i="6"/>
  <c r="G7" i="6"/>
  <c r="F7" i="6"/>
  <c r="F6" i="6"/>
  <c r="G2" i="6"/>
  <c r="G6" i="5"/>
  <c r="F6" i="5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E2" i="6"/>
  <c r="D2" i="6"/>
  <c r="C2" i="6"/>
  <c r="B2" i="6"/>
  <c r="E6" i="5"/>
  <c r="D6" i="5"/>
  <c r="C6" i="5"/>
  <c r="B6" i="5"/>
  <c r="C12" i="4"/>
  <c r="C13" i="4"/>
  <c r="C14" i="4"/>
  <c r="C15" i="4"/>
  <c r="C16" i="4"/>
  <c r="C17" i="4"/>
  <c r="C18" i="4"/>
  <c r="B13" i="4"/>
  <c r="B14" i="4"/>
  <c r="B15" i="4"/>
  <c r="B16" i="4"/>
  <c r="B17" i="4"/>
  <c r="B18" i="4"/>
  <c r="B12" i="4"/>
  <c r="H8" i="4"/>
  <c r="H7" i="4"/>
  <c r="H6" i="4"/>
  <c r="H3" i="4"/>
  <c r="H4" i="4" s="1"/>
  <c r="H5" i="4" s="1"/>
  <c r="G13" i="6" l="1"/>
  <c r="G11" i="6"/>
  <c r="F3" i="6"/>
  <c r="B24" i="4"/>
  <c r="C24" i="4"/>
  <c r="D24" i="4"/>
  <c r="E24" i="4"/>
  <c r="B25" i="4"/>
  <c r="C25" i="4"/>
  <c r="D25" i="4"/>
  <c r="E25" i="4"/>
  <c r="B26" i="4"/>
  <c r="C26" i="4"/>
  <c r="D26" i="4"/>
  <c r="E26" i="4"/>
  <c r="B27" i="4"/>
  <c r="C27" i="4"/>
  <c r="D27" i="4"/>
  <c r="E27" i="4"/>
  <c r="B28" i="4"/>
  <c r="C28" i="4"/>
  <c r="D28" i="4"/>
  <c r="E28" i="4"/>
  <c r="C23" i="4"/>
  <c r="D23" i="4"/>
  <c r="E23" i="4"/>
  <c r="B23" i="4"/>
  <c r="D13" i="4"/>
  <c r="E13" i="4"/>
  <c r="D14" i="4"/>
  <c r="E14" i="4"/>
  <c r="D15" i="4"/>
  <c r="E15" i="4"/>
  <c r="D16" i="4"/>
  <c r="E16" i="4"/>
  <c r="D17" i="4"/>
  <c r="E17" i="4"/>
  <c r="D18" i="4"/>
  <c r="E18" i="4"/>
  <c r="D12" i="4"/>
  <c r="E12" i="4"/>
  <c r="G8" i="4"/>
  <c r="E8" i="4"/>
  <c r="E7" i="4"/>
  <c r="E6" i="4"/>
  <c r="E5" i="4"/>
  <c r="E4" i="4"/>
  <c r="E3" i="4"/>
  <c r="E2" i="4"/>
  <c r="D8" i="4"/>
  <c r="D7" i="4"/>
  <c r="D6" i="4"/>
  <c r="D5" i="4"/>
  <c r="D4" i="4"/>
  <c r="D3" i="4"/>
  <c r="D2" i="4"/>
  <c r="B2" i="4"/>
  <c r="B8" i="4"/>
  <c r="B7" i="4"/>
  <c r="B6" i="4"/>
  <c r="B5" i="4"/>
  <c r="B4" i="4"/>
  <c r="B3" i="4"/>
  <c r="D5" i="3"/>
  <c r="D6" i="3"/>
  <c r="D7" i="3"/>
  <c r="D8" i="3"/>
  <c r="D4" i="3"/>
  <c r="D3" i="3"/>
  <c r="C4" i="3"/>
  <c r="C5" i="3"/>
  <c r="C6" i="3"/>
  <c r="C7" i="3"/>
  <c r="C8" i="3"/>
  <c r="C3" i="3"/>
  <c r="H3" i="1"/>
  <c r="H4" i="1" s="1"/>
  <c r="H5" i="1" s="1"/>
  <c r="H6" i="1" s="1"/>
  <c r="H7" i="1" s="1"/>
  <c r="G3" i="1"/>
  <c r="G4" i="1" s="1"/>
  <c r="G5" i="1" s="1"/>
  <c r="G6" i="1" s="1"/>
  <c r="G7" i="1" s="1"/>
  <c r="H2" i="1"/>
  <c r="I2" i="1"/>
  <c r="I3" i="1" s="1"/>
  <c r="I4" i="1" s="1"/>
  <c r="I5" i="1" s="1"/>
  <c r="I6" i="1" s="1"/>
  <c r="I7" i="1" s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tc={C485550F-A637-431B-918C-104E3D77FFE3}</author>
    <author>tc={9C74C7B5-BF0C-4ECA-B996-5F902DB9E6E6}</author>
    <author>tc={87A47F7B-63C4-475F-B842-232A84C9C9FF}</author>
    <author>tc={F8E864D7-1E4A-4788-B7F2-F97A0A3750FC}</author>
    <author>tc={9E948352-E903-4696-9725-977F8DE9CC9B}</author>
    <author>tc={76EE7446-D09A-4C81-8784-A60447FCCD9A}</author>
    <author>tc={36C17E79-CDA1-4DE6-9AB9-7358205EE7AD}</author>
  </authors>
  <commentList>
    <comment ref="B1" authorId="0" shapeId="0" xr:uid="{C485550F-A637-431B-918C-104E3D77FFE3}">
      <text>
        <t>[Threaded comment]
Your version of Excel allows you to read this threaded comment; however, any edits to it will get removed if the file is opened in a newer version of Excel. Learn more: https://go.microsoft.com/fwlink/?linkid=870924
Comment:
    1ECUEA2022001 Table 2a sum of wages, purchases, and social security</t>
      </text>
    </comment>
    <comment ref="C1" authorId="1" shapeId="0" xr:uid="{9C74C7B5-BF0C-4ECA-B996-5F902DB9E6E6}">
      <text>
        <t>[Threaded comment]
Your version of Excel allows you to read this threaded comment; however, any edits to it will get removed if the file is opened in a newer version of Excel. Learn more: https://go.microsoft.com/fwlink/?linkid=870924
Comment:
    1ECUEA2022001 Table 2a Capital</t>
      </text>
    </comment>
    <comment ref="D1" authorId="2" shapeId="0" xr:uid="{87A47F7B-63C4-475F-B842-232A84C9C9FF}">
      <text>
        <t>[Threaded comment]
Your version of Excel allows you to read this threaded comment; however, any edits to it will get removed if the file is opened in a newer version of Excel. Learn more: https://go.microsoft.com/fwlink/?linkid=870924
Comment:
    1ECUEA2021001 Table 2a for social spending
1ECUEA2022001 Table 2a for fuel subsidies</t>
      </text>
    </comment>
    <comment ref="E1" authorId="3" shapeId="0" xr:uid="{F8E864D7-1E4A-4788-B7F2-F97A0A3750F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1ECUEA2022001 Table 1, product of oil price times oil production in million barrels
</t>
      </text>
    </comment>
    <comment ref="F1" authorId="4" shapeId="0" xr:uid="{9E948352-E903-4696-9725-977F8DE9CC9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ECUEA2022001 Table 1 in million $
</t>
      </text>
    </comment>
    <comment ref="G1" authorId="5" shapeId="0" xr:uid="{76EE7446-D09A-4C81-8784-A60447FCCD9A}">
      <text>
        <t>[Threaded comment]
Your version of Excel allows you to read this threaded comment; however, any edits to it will get removed if the file is opened in a newer version of Excel. Learn more: https://go.microsoft.com/fwlink/?linkid=870924
Comment:
    FRED, for 2024 I took 2024Q3 and for 2025 I assume 2 percent inflation with respect to the last value in 2024</t>
      </text>
    </comment>
    <comment ref="H1" authorId="6" shapeId="0" xr:uid="{36C17E79-CDA1-4DE6-9AB9-7358205EE7AD}">
      <text>
        <t>[Threaded comment]
Your version of Excel allows you to read this threaded comment; however, any edits to it will get removed if the file is opened in a newer version of Excel. Learn more: https://go.microsoft.com/fwlink/?linkid=870924
Comment:
    1ECUEA20221 Figure 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 Gonzalez-Astudillo</author>
  </authors>
  <commentList>
    <comment ref="B1" authorId="0" shapeId="0" xr:uid="{36F9473A-C141-4466-BF83-84FA9FC72F50}">
      <text>
        <r>
          <rPr>
            <b/>
            <sz val="9"/>
            <color rgb="FF000000"/>
            <rFont val="Tahoma"/>
            <family val="2"/>
          </rPr>
          <t>Manuel Gonzalez-Astudillo: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Millions of 2017 US dollars, quarterly figures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Manuel Gonzalez-Astudillo</author>
  </authors>
  <commentList>
    <comment ref="B1" authorId="0" shapeId="0" xr:uid="{90314976-A269-4747-A192-31476FAD53BF}">
      <text>
        <r>
          <rPr>
            <b/>
            <sz val="9"/>
            <color rgb="FF000000"/>
            <rFont val="Tahoma"/>
            <family val="2"/>
          </rPr>
          <t>Manuel Gonzalez-Astudillo: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Millions of 2017 US dollars, quarterly figures</t>
        </r>
      </text>
    </comment>
  </commentList>
</comments>
</file>

<file path=xl/sharedStrings.xml><?xml version="1.0" encoding="utf-8"?>
<sst xmlns="http://schemas.openxmlformats.org/spreadsheetml/2006/main" count="98" uniqueCount="46">
  <si>
    <t>Government Consumption</t>
  </si>
  <si>
    <t>Government Investment</t>
  </si>
  <si>
    <t>Transfers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</si>
  <si>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</si>
  <si>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</si>
  <si>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</si>
  <si>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</si>
  <si>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</si>
  <si>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</si>
  <si>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</si>
  <si>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</si>
  <si>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</si>
  <si>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</si>
  <si>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</si>
  <si>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</si>
  <si>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</si>
  <si>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</si>
  <si>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</si>
  <si>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</si>
  <si>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</si>
  <si>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</si>
  <si>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</si>
  <si>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</si>
  <si>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</si>
  <si>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</si>
  <si>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</si>
  <si>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</si>
  <si>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Transfers</t>
  </si>
  <si>
    <t>GovernmentConsumption</t>
  </si>
  <si>
    <t>GovernmentInvestment</t>
  </si>
  <si>
    <t>OilRevenue</t>
  </si>
  <si>
    <t>level</t>
  </si>
  <si>
    <t>difference</t>
  </si>
  <si>
    <t>GDP</t>
  </si>
  <si>
    <t>Page 15 1ECUA2022001</t>
  </si>
  <si>
    <t>US GDP Deflator</t>
  </si>
  <si>
    <t>Real Levels</t>
  </si>
  <si>
    <t>Real Growth Rates</t>
  </si>
  <si>
    <t>2019Q1</t>
  </si>
  <si>
    <t>2019Q2</t>
  </si>
  <si>
    <t>2019Q3</t>
  </si>
  <si>
    <t>2019Q4</t>
  </si>
  <si>
    <t>Ecuador GDP Deflator</t>
  </si>
  <si>
    <t>OilRevenue_up</t>
  </si>
  <si>
    <t>OilRevenue_down</t>
  </si>
  <si>
    <t>2020q1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</si>
</sst>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1" fontId="0" fillId="0" borderId="0" xfId="0" applyNumberFormat="1"/>
    <xf numFmtId="49" fontId="0" fillId="0" borderId="1" xfId="0" applyNumberFormat="1" applyBorder="1"/>
    <xf numFmtId="0" fontId="0" fillId="0" borderId="1" xfId="0" applyBorder="1"/>
    <xf numFmtId="10" fontId="0" fillId="0" borderId="0" xfId="1" applyNumberFormat="1" applyFont="1"/>
    <xf numFmtId="0" fontId="1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nuel Gonzalez-Astudillo" id="{F29E564F-2995-426A-B7AF-127A34B8CE82}" userId="S-1-5-21-494564499-3874391898-67382419-1614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1-07T23:41:15.91" personId="{F29E564F-2995-426A-B7AF-127A34B8CE82}" id="{C485550F-A637-431B-918C-104E3D77FFE3}">
    <text>1ECUEA2022001 Table 2a sum of wages, purchases, and social security</text>
  </threadedComment>
  <threadedComment ref="C1" dT="2025-01-07T23:41:38.76" personId="{F29E564F-2995-426A-B7AF-127A34B8CE82}" id="{9C74C7B5-BF0C-4ECA-B996-5F902DB9E6E6}">
    <text>1ECUEA2022001 Table 2a Capital</text>
  </threadedComment>
  <threadedComment ref="D1" dT="2025-01-07T23:36:44.83" personId="{F29E564F-2995-426A-B7AF-127A34B8CE82}" id="{87A47F7B-63C4-475F-B842-232A84C9C9FF}">
    <text>1ECUEA2021001 Table 2a for social spending
1ECUEA2022001 Table 2a for fuel subsidies</text>
  </threadedComment>
  <threadedComment ref="E1" dT="2025-01-07T23:50:01.42" personId="{F29E564F-2995-426A-B7AF-127A34B8CE82}" id="{F8E864D7-1E4A-4788-B7F2-F97A0A3750FC}">
    <text xml:space="preserve">1ECUEA2022001 Table 1, product of oil price times oil production in million barrels
</text>
  </threadedComment>
  <threadedComment ref="F1" dT="2025-01-07T23:53:05.78" personId="{F29E564F-2995-426A-B7AF-127A34B8CE82}" id="{9E948352-E903-4696-9725-977F8DE9CC9B}">
    <text xml:space="preserve">ECUEA2022001 Table 1 in million $
</text>
  </threadedComment>
  <threadedComment ref="G1" dT="2025-01-07T23:56:54.12" personId="{F29E564F-2995-426A-B7AF-127A34B8CE82}" id="{76EE7446-D09A-4C81-8784-A60447FCCD9A}">
    <text>FRED, for 2024 I took 2024Q3 and for 2025 I assume 2 percent inflation with respect to the last value in 2024</text>
  </threadedComment>
  <threadedComment ref="H1" dT="2025-01-09T18:40:27.28" personId="{F29E564F-2995-426A-B7AF-127A34B8CE82}" id="{36C17E79-CDA1-4DE6-9AB9-7358205EE7AD}">
    <text>1ECUEA20221 Figure 1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workbookViewId="0">
      <selection activeCell="A11" sqref="A11"/>
    </sheetView>
  </sheetViews>
  <sheetFormatPr baseColWidth="10" defaultColWidth="8.83203125" defaultRowHeight="15" x14ac:dyDescent="0.2"/>
  <cols>
    <col min="2" max="2" width="24.1640625" customWidth="1"/>
    <col min="3" max="3" width="22.5" customWidth="1"/>
    <col min="4" max="4" width="9.33203125" customWidth="1"/>
    <col min="5" max="5" width="11.5" bestFit="1" customWidth="1"/>
  </cols>
  <sheetData>
    <row r="1" spans="1:10" x14ac:dyDescent="0.2">
      <c r="B1" s="2" t="s">
        <v>28</v>
      </c>
      <c r="C1" s="2" t="s">
        <v>29</v>
      </c>
      <c r="D1" s="2" t="s">
        <v>27</v>
      </c>
      <c r="E1" s="2" t="s">
        <v>30</v>
      </c>
      <c r="G1" t="s">
        <v>0</v>
      </c>
      <c r="H1" t="s">
        <v>1</v>
      </c>
      <c r="I1" t="s">
        <v>2</v>
      </c>
      <c r="J1" s="2" t="s">
        <v>30</v>
      </c>
    </row>
    <row r="2" spans="1:10" x14ac:dyDescent="0.2">
      <c r="A2">
        <v>2020</v>
      </c>
      <c r="B2">
        <v>2E-3</v>
      </c>
      <c r="C2">
        <v>-8.9999999999999906E-3</v>
      </c>
      <c r="D2">
        <v>1E-3</v>
      </c>
      <c r="G2">
        <f>B2</f>
        <v>2E-3</v>
      </c>
      <c r="H2">
        <f t="shared" ref="H2:I2" si="0">C2</f>
        <v>-8.9999999999999906E-3</v>
      </c>
      <c r="I2">
        <f t="shared" si="0"/>
        <v>1E-3</v>
      </c>
    </row>
    <row r="3" spans="1:10" x14ac:dyDescent="0.2">
      <c r="A3">
        <v>2021</v>
      </c>
      <c r="B3">
        <v>-1.0999999999999999E-2</v>
      </c>
      <c r="C3">
        <v>3.0000000000000001E-3</v>
      </c>
      <c r="D3">
        <v>8.9999999999999906E-3</v>
      </c>
      <c r="G3">
        <f>G2+B3</f>
        <v>-8.9999999999999993E-3</v>
      </c>
      <c r="H3">
        <f t="shared" ref="H3:I7" si="1">H2+C3</f>
        <v>-5.9999999999999906E-3</v>
      </c>
      <c r="I3">
        <f t="shared" si="1"/>
        <v>9.9999999999999915E-3</v>
      </c>
    </row>
    <row r="4" spans="1:10" x14ac:dyDescent="0.2">
      <c r="A4">
        <v>2022</v>
      </c>
      <c r="B4">
        <v>-1.2E-2</v>
      </c>
      <c r="C4">
        <v>-3.0000000000000001E-3</v>
      </c>
      <c r="D4">
        <v>2E-3</v>
      </c>
      <c r="G4">
        <f t="shared" ref="G4:G7" si="2">G3+B4</f>
        <v>-2.0999999999999998E-2</v>
      </c>
      <c r="H4">
        <f t="shared" si="1"/>
        <v>-8.9999999999999906E-3</v>
      </c>
      <c r="I4">
        <f t="shared" si="1"/>
        <v>1.1999999999999992E-2</v>
      </c>
    </row>
    <row r="5" spans="1:10" x14ac:dyDescent="0.2">
      <c r="A5">
        <v>2023</v>
      </c>
      <c r="B5">
        <v>-4.0000000000000001E-3</v>
      </c>
      <c r="C5">
        <v>0</v>
      </c>
      <c r="D5">
        <v>-5.0000000000000001E-3</v>
      </c>
      <c r="G5">
        <f t="shared" si="2"/>
        <v>-2.4999999999999998E-2</v>
      </c>
      <c r="H5">
        <f t="shared" si="1"/>
        <v>-8.9999999999999906E-3</v>
      </c>
      <c r="I5">
        <f t="shared" si="1"/>
        <v>6.9999999999999915E-3</v>
      </c>
    </row>
    <row r="6" spans="1:10" x14ac:dyDescent="0.2">
      <c r="A6">
        <v>2024</v>
      </c>
      <c r="B6">
        <v>-3.0000000000000001E-3</v>
      </c>
      <c r="C6">
        <v>0</v>
      </c>
      <c r="D6">
        <v>-6.0000000000000001E-3</v>
      </c>
      <c r="G6">
        <f t="shared" si="2"/>
        <v>-2.7999999999999997E-2</v>
      </c>
      <c r="H6">
        <f t="shared" si="1"/>
        <v>-8.9999999999999906E-3</v>
      </c>
      <c r="I6">
        <f t="shared" si="1"/>
        <v>9.9999999999999135E-4</v>
      </c>
    </row>
    <row r="7" spans="1:10" x14ac:dyDescent="0.2">
      <c r="A7">
        <v>2025</v>
      </c>
      <c r="B7">
        <v>-2E-3</v>
      </c>
      <c r="C7">
        <v>-1E-3</v>
      </c>
      <c r="D7">
        <v>-4.0000000000000001E-3</v>
      </c>
      <c r="G7">
        <f t="shared" si="2"/>
        <v>-0.03</v>
      </c>
      <c r="H7">
        <f t="shared" si="1"/>
        <v>-9.9999999999999915E-3</v>
      </c>
      <c r="I7">
        <f t="shared" si="1"/>
        <v>-3.0000000000000087E-3</v>
      </c>
    </row>
    <row r="10" spans="1:10" x14ac:dyDescent="0.2">
      <c r="A10" t="s">
        <v>34</v>
      </c>
    </row>
  </sheetData>
  <pageMargins left="0.7" right="0.7" top="0.75" bottom="0.75" header="0.3" footer="0.3"/>
  <pageSetup orientation="portrait" r:id="rId1"/>
  <headerFooter>
    <oddHeader>&amp;L&amp;"Calibri"&amp;11&amp;K000000PERSONAL/NONWORK // EXTERNAL&amp;1#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CE28-477F-40C6-8701-D4A7CCFADE2C}">
  <dimension ref="A1:E25"/>
  <sheetViews>
    <sheetView workbookViewId="0">
      <selection activeCell="B1" sqref="B1:E1"/>
    </sheetView>
  </sheetViews>
  <sheetFormatPr baseColWidth="10" defaultColWidth="8.83203125" defaultRowHeight="15" x14ac:dyDescent="0.2"/>
  <sheetData>
    <row r="1" spans="1:5" x14ac:dyDescent="0.2">
      <c r="B1" t="s">
        <v>0</v>
      </c>
      <c r="C1" t="s">
        <v>1</v>
      </c>
      <c r="D1" t="s">
        <v>2</v>
      </c>
      <c r="E1" t="s">
        <v>30</v>
      </c>
    </row>
    <row r="2" spans="1:5" x14ac:dyDescent="0.2">
      <c r="A2" t="s">
        <v>3</v>
      </c>
      <c r="B2">
        <v>5.0000000000000001E-4</v>
      </c>
      <c r="C2">
        <v>-2.2499999999999998E-3</v>
      </c>
      <c r="D2">
        <v>2.5000000000000001E-4</v>
      </c>
      <c r="E2">
        <v>-6.0000000000000001E-3</v>
      </c>
    </row>
    <row r="3" spans="1:5" x14ac:dyDescent="0.2">
      <c r="A3" t="s">
        <v>4</v>
      </c>
      <c r="B3">
        <v>1E-3</v>
      </c>
      <c r="C3">
        <v>-4.4999999999999997E-3</v>
      </c>
      <c r="D3">
        <v>5.0000000000000001E-4</v>
      </c>
      <c r="E3">
        <v>-1.2E-2</v>
      </c>
    </row>
    <row r="4" spans="1:5" x14ac:dyDescent="0.2">
      <c r="A4" t="s">
        <v>5</v>
      </c>
      <c r="B4">
        <v>1.5E-3</v>
      </c>
      <c r="C4">
        <v>-6.7499999999999904E-3</v>
      </c>
      <c r="D4">
        <v>7.5000000000000002E-4</v>
      </c>
      <c r="E4">
        <v>-1.7999999999999999E-2</v>
      </c>
    </row>
    <row r="5" spans="1:5" x14ac:dyDescent="0.2">
      <c r="A5" t="s">
        <v>6</v>
      </c>
      <c r="B5">
        <v>2E-3</v>
      </c>
      <c r="C5">
        <v>-8.9999999999999906E-3</v>
      </c>
      <c r="D5">
        <v>1E-3</v>
      </c>
      <c r="E5">
        <v>-2.4E-2</v>
      </c>
    </row>
    <row r="6" spans="1:5" x14ac:dyDescent="0.2">
      <c r="A6" t="s">
        <v>7</v>
      </c>
      <c r="B6">
        <v>-7.4999999999999904E-4</v>
      </c>
      <c r="C6">
        <v>-8.24999999999999E-3</v>
      </c>
      <c r="D6">
        <v>3.2499999999999999E-3</v>
      </c>
      <c r="E6">
        <v>-2.2249999999999999E-2</v>
      </c>
    </row>
    <row r="7" spans="1:5" x14ac:dyDescent="0.2">
      <c r="A7" t="s">
        <v>8</v>
      </c>
      <c r="B7">
        <v>-3.5000000000000001E-3</v>
      </c>
      <c r="C7">
        <v>-7.4999999999999997E-3</v>
      </c>
      <c r="D7">
        <v>5.4999999999999997E-3</v>
      </c>
      <c r="E7">
        <v>-2.0500000000000001E-2</v>
      </c>
    </row>
    <row r="8" spans="1:5" x14ac:dyDescent="0.2">
      <c r="A8" t="s">
        <v>9</v>
      </c>
      <c r="B8">
        <v>-6.2499999999999899E-3</v>
      </c>
      <c r="C8">
        <v>-6.7499999999999904E-3</v>
      </c>
      <c r="D8">
        <v>7.7499999999999904E-3</v>
      </c>
      <c r="E8">
        <v>-1.8749999999999999E-2</v>
      </c>
    </row>
    <row r="9" spans="1:5" x14ac:dyDescent="0.2">
      <c r="A9" t="s">
        <v>10</v>
      </c>
      <c r="B9">
        <v>-8.9999999999999906E-3</v>
      </c>
      <c r="C9">
        <v>-5.9999999999999897E-3</v>
      </c>
      <c r="D9">
        <v>9.9999999999999898E-3</v>
      </c>
      <c r="E9">
        <v>-1.7000000000000001E-2</v>
      </c>
    </row>
    <row r="10" spans="1:5" x14ac:dyDescent="0.2">
      <c r="A10" t="s">
        <v>11</v>
      </c>
      <c r="B10">
        <v>-1.2E-2</v>
      </c>
      <c r="C10">
        <v>-6.7499999999999904E-3</v>
      </c>
      <c r="D10">
        <v>1.0500000000000001E-2</v>
      </c>
      <c r="E10">
        <v>-5.4999999999999997E-3</v>
      </c>
    </row>
    <row r="11" spans="1:5" x14ac:dyDescent="0.2">
      <c r="A11" t="s">
        <v>12</v>
      </c>
      <c r="B11">
        <v>-1.4999999999999999E-2</v>
      </c>
      <c r="C11" s="1">
        <v>-7.4999999999999997E-3</v>
      </c>
      <c r="D11">
        <v>1.0999999999999999E-2</v>
      </c>
      <c r="E11">
        <v>6.0000000000000001E-3</v>
      </c>
    </row>
    <row r="12" spans="1:5" x14ac:dyDescent="0.2">
      <c r="A12" t="s">
        <v>13</v>
      </c>
      <c r="B12">
        <v>-1.7999999999999999E-2</v>
      </c>
      <c r="C12">
        <v>-8.24999999999999E-3</v>
      </c>
      <c r="D12">
        <v>1.15E-2</v>
      </c>
      <c r="E12">
        <v>1.7500000000000002E-2</v>
      </c>
    </row>
    <row r="13" spans="1:5" x14ac:dyDescent="0.2">
      <c r="A13" t="s">
        <v>14</v>
      </c>
      <c r="B13">
        <v>-2.1000000000000001E-2</v>
      </c>
      <c r="C13">
        <v>-8.9999999999999906E-3</v>
      </c>
      <c r="D13">
        <v>1.2E-2</v>
      </c>
      <c r="E13">
        <v>2.9000000000000001E-2</v>
      </c>
    </row>
    <row r="14" spans="1:5" x14ac:dyDescent="0.2">
      <c r="A14" t="s">
        <v>15</v>
      </c>
      <c r="B14">
        <v>-2.1999999999999999E-2</v>
      </c>
      <c r="C14">
        <v>-8.9999999999999906E-3</v>
      </c>
      <c r="D14">
        <v>1.0749999999999999E-2</v>
      </c>
      <c r="E14">
        <v>2.6249999999999999E-2</v>
      </c>
    </row>
    <row r="15" spans="1:5" x14ac:dyDescent="0.2">
      <c r="A15" t="s">
        <v>16</v>
      </c>
      <c r="B15">
        <v>-2.3E-2</v>
      </c>
      <c r="C15">
        <v>-8.9999999999999906E-3</v>
      </c>
      <c r="D15">
        <v>9.4999999999999894E-3</v>
      </c>
      <c r="E15">
        <v>2.35E-2</v>
      </c>
    </row>
    <row r="16" spans="1:5" x14ac:dyDescent="0.2">
      <c r="A16" t="s">
        <v>17</v>
      </c>
      <c r="B16">
        <v>-2.4E-2</v>
      </c>
      <c r="C16">
        <v>-8.9999999999999906E-3</v>
      </c>
      <c r="D16">
        <v>8.24999999999999E-3</v>
      </c>
      <c r="E16">
        <v>2.0750000000000001E-2</v>
      </c>
    </row>
    <row r="17" spans="1:5" x14ac:dyDescent="0.2">
      <c r="A17" t="s">
        <v>18</v>
      </c>
      <c r="B17">
        <v>-2.5000000000000001E-2</v>
      </c>
      <c r="C17">
        <v>-8.9999999999999906E-3</v>
      </c>
      <c r="D17">
        <v>6.9999999999999897E-3</v>
      </c>
      <c r="E17">
        <v>1.7999999999999999E-2</v>
      </c>
    </row>
    <row r="18" spans="1:5" x14ac:dyDescent="0.2">
      <c r="A18" t="s">
        <v>19</v>
      </c>
      <c r="B18">
        <v>-2.5749999999999999E-2</v>
      </c>
      <c r="C18">
        <v>-8.9999999999999906E-3</v>
      </c>
      <c r="D18">
        <v>5.4999999999999901E-3</v>
      </c>
      <c r="E18">
        <v>1.125E-2</v>
      </c>
    </row>
    <row r="19" spans="1:5" x14ac:dyDescent="0.2">
      <c r="A19" t="s">
        <v>20</v>
      </c>
      <c r="B19">
        <v>-2.6499999999999999E-2</v>
      </c>
      <c r="C19" s="1">
        <v>-8.9999999999999906E-3</v>
      </c>
      <c r="D19">
        <v>3.9999999999999897E-3</v>
      </c>
      <c r="E19">
        <v>4.4999999999999997E-3</v>
      </c>
    </row>
    <row r="20" spans="1:5" x14ac:dyDescent="0.2">
      <c r="A20" t="s">
        <v>21</v>
      </c>
      <c r="B20">
        <v>-2.725E-2</v>
      </c>
      <c r="C20">
        <v>-8.9999999999999906E-3</v>
      </c>
      <c r="D20">
        <v>2.4999999999999901E-3</v>
      </c>
      <c r="E20">
        <v>-2.2499999999999899E-3</v>
      </c>
    </row>
    <row r="21" spans="1:5" x14ac:dyDescent="0.2">
      <c r="A21" t="s">
        <v>22</v>
      </c>
      <c r="B21">
        <v>-2.8000000000000001E-2</v>
      </c>
      <c r="C21">
        <v>-8.9999999999999906E-3</v>
      </c>
      <c r="D21">
        <v>9.9999999999999807E-4</v>
      </c>
      <c r="E21">
        <v>-8.9999999999999906E-3</v>
      </c>
    </row>
    <row r="22" spans="1:5" x14ac:dyDescent="0.2">
      <c r="A22" t="s">
        <v>23</v>
      </c>
      <c r="B22">
        <v>-2.8500000000000001E-2</v>
      </c>
      <c r="C22" s="1">
        <v>-9.2499999999999891E-3</v>
      </c>
      <c r="D22" s="1">
        <v>-1.7347234759768E-18</v>
      </c>
      <c r="E22">
        <v>-8.9999999999999906E-3</v>
      </c>
    </row>
    <row r="23" spans="1:5" x14ac:dyDescent="0.2">
      <c r="A23" t="s">
        <v>24</v>
      </c>
      <c r="B23">
        <v>-2.9000000000000001E-2</v>
      </c>
      <c r="C23">
        <v>-9.4999999999999894E-3</v>
      </c>
      <c r="D23">
        <v>-1E-3</v>
      </c>
      <c r="E23">
        <v>-8.9999999999999906E-3</v>
      </c>
    </row>
    <row r="24" spans="1:5" x14ac:dyDescent="0.2">
      <c r="A24" t="s">
        <v>25</v>
      </c>
      <c r="B24">
        <v>-2.9499999999999998E-2</v>
      </c>
      <c r="C24">
        <v>-9.7499999999999896E-3</v>
      </c>
      <c r="D24">
        <v>-2E-3</v>
      </c>
      <c r="E24">
        <v>-8.9999999999999906E-3</v>
      </c>
    </row>
    <row r="25" spans="1:5" x14ac:dyDescent="0.2">
      <c r="A25" t="s">
        <v>26</v>
      </c>
      <c r="B25">
        <v>-0.03</v>
      </c>
      <c r="C25">
        <v>-9.9999999999999898E-3</v>
      </c>
      <c r="D25">
        <v>-3.0000000000000001E-3</v>
      </c>
      <c r="E25">
        <v>-8.9999999999999906E-3</v>
      </c>
    </row>
  </sheetData>
  <pageMargins left="0.7" right="0.7" top="0.75" bottom="0.75" header="0.3" footer="0.3"/>
  <pageSetup orientation="portrait" r:id="rId1"/>
  <headerFooter>
    <oddHeader>&amp;L&amp;"Calibri"&amp;11&amp;K000000PERSONAL/NONWORK // EXTERNAL&amp;1#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56F6-6665-4A09-BF02-341FF56CF721}">
  <dimension ref="A1:D8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4" x14ac:dyDescent="0.2">
      <c r="B1" t="s">
        <v>31</v>
      </c>
      <c r="C1" t="s">
        <v>32</v>
      </c>
      <c r="D1" t="s">
        <v>31</v>
      </c>
    </row>
    <row r="2" spans="1:4" x14ac:dyDescent="0.2">
      <c r="A2">
        <v>2019</v>
      </c>
      <c r="B2">
        <v>7.3</v>
      </c>
      <c r="C2">
        <v>0</v>
      </c>
    </row>
    <row r="3" spans="1:4" x14ac:dyDescent="0.2">
      <c r="A3">
        <v>2020</v>
      </c>
      <c r="B3">
        <v>4.9000000000000004</v>
      </c>
      <c r="C3">
        <f>(B3-B2)/100</f>
        <v>-2.3999999999999994E-2</v>
      </c>
      <c r="D3">
        <f>C3</f>
        <v>-2.3999999999999994E-2</v>
      </c>
    </row>
    <row r="4" spans="1:4" x14ac:dyDescent="0.2">
      <c r="A4">
        <v>2021</v>
      </c>
      <c r="B4">
        <v>5.6</v>
      </c>
      <c r="C4">
        <f t="shared" ref="C4:C8" si="0">(B4-B3)/100</f>
        <v>6.9999999999999932E-3</v>
      </c>
      <c r="D4">
        <f>C4+C3</f>
        <v>-1.7000000000000001E-2</v>
      </c>
    </row>
    <row r="5" spans="1:4" x14ac:dyDescent="0.2">
      <c r="A5">
        <v>2022</v>
      </c>
      <c r="B5">
        <v>7.8</v>
      </c>
      <c r="C5">
        <f t="shared" si="0"/>
        <v>2.2000000000000002E-2</v>
      </c>
      <c r="D5">
        <f t="shared" ref="D5:D8" si="1">C5+C4</f>
        <v>2.8999999999999995E-2</v>
      </c>
    </row>
    <row r="6" spans="1:4" x14ac:dyDescent="0.2">
      <c r="A6">
        <v>2023</v>
      </c>
      <c r="B6">
        <v>7.4</v>
      </c>
      <c r="C6">
        <f t="shared" si="0"/>
        <v>-3.9999999999999949E-3</v>
      </c>
      <c r="D6">
        <f t="shared" si="1"/>
        <v>1.8000000000000009E-2</v>
      </c>
    </row>
    <row r="7" spans="1:4" x14ac:dyDescent="0.2">
      <c r="A7">
        <v>2024</v>
      </c>
      <c r="B7">
        <v>6.9</v>
      </c>
      <c r="C7">
        <f t="shared" si="0"/>
        <v>-5.0000000000000001E-3</v>
      </c>
      <c r="D7">
        <f t="shared" si="1"/>
        <v>-8.9999999999999941E-3</v>
      </c>
    </row>
    <row r="8" spans="1:4" x14ac:dyDescent="0.2">
      <c r="A8">
        <v>2025</v>
      </c>
      <c r="B8">
        <v>6.5</v>
      </c>
      <c r="C8">
        <f t="shared" si="0"/>
        <v>-4.0000000000000036E-3</v>
      </c>
      <c r="D8">
        <f t="shared" si="1"/>
        <v>-9.0000000000000045E-3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25EA-E129-4CBA-85CB-E9DBD0FC5891}">
  <dimension ref="A1:H28"/>
  <sheetViews>
    <sheetView workbookViewId="0">
      <selection activeCell="B12" sqref="B12:C18"/>
    </sheetView>
  </sheetViews>
  <sheetFormatPr baseColWidth="10" defaultColWidth="8.83203125" defaultRowHeight="15" x14ac:dyDescent="0.2"/>
  <cols>
    <col min="2" max="2" width="24.5" bestFit="1" customWidth="1"/>
    <col min="3" max="3" width="22.83203125" bestFit="1" customWidth="1"/>
    <col min="4" max="5" width="11.33203125" bestFit="1" customWidth="1"/>
    <col min="7" max="7" width="15.33203125" bestFit="1" customWidth="1"/>
  </cols>
  <sheetData>
    <row r="1" spans="1:8" x14ac:dyDescent="0.2">
      <c r="B1" s="2" t="s">
        <v>28</v>
      </c>
      <c r="C1" s="2" t="s">
        <v>29</v>
      </c>
      <c r="D1" s="2" t="s">
        <v>2</v>
      </c>
      <c r="E1" s="2" t="s">
        <v>30</v>
      </c>
      <c r="F1" s="2" t="s">
        <v>33</v>
      </c>
      <c r="G1" s="2" t="s">
        <v>35</v>
      </c>
      <c r="H1" s="2" t="s">
        <v>42</v>
      </c>
    </row>
    <row r="2" spans="1:8" x14ac:dyDescent="0.2">
      <c r="A2">
        <v>2019</v>
      </c>
      <c r="B2">
        <f>10190+4642+5749</f>
        <v>20581</v>
      </c>
      <c r="C2">
        <v>8265</v>
      </c>
      <c r="D2" s="3">
        <f>2353+1016</f>
        <v>3369</v>
      </c>
      <c r="E2">
        <f>55.1*193.8</f>
        <v>10678.380000000001</v>
      </c>
      <c r="F2">
        <v>108108</v>
      </c>
      <c r="G2">
        <v>103.97499999999999</v>
      </c>
      <c r="H2">
        <v>1</v>
      </c>
    </row>
    <row r="3" spans="1:8" x14ac:dyDescent="0.2">
      <c r="A3">
        <v>2020</v>
      </c>
      <c r="B3">
        <f>11394+2461+6830</f>
        <v>20685</v>
      </c>
      <c r="C3">
        <v>5813</v>
      </c>
      <c r="D3">
        <f>1091+1446</f>
        <v>2537</v>
      </c>
      <c r="E3">
        <f>35.6*175.4</f>
        <v>6244.2400000000007</v>
      </c>
      <c r="F3">
        <v>99291</v>
      </c>
      <c r="G3">
        <v>105.346</v>
      </c>
      <c r="H3">
        <f>H2*(1-0.004)</f>
        <v>0.996</v>
      </c>
    </row>
    <row r="4" spans="1:8" x14ac:dyDescent="0.2">
      <c r="A4">
        <v>2021</v>
      </c>
      <c r="B4">
        <f>11153+2504+7178</f>
        <v>20835</v>
      </c>
      <c r="C4">
        <v>6594</v>
      </c>
      <c r="D4">
        <f>2214+1974</f>
        <v>4188</v>
      </c>
      <c r="E4">
        <f>62*172.6</f>
        <v>10701.199999999999</v>
      </c>
      <c r="F4">
        <v>106166</v>
      </c>
      <c r="G4">
        <v>110.142</v>
      </c>
      <c r="H4">
        <f>H3*(1.026)</f>
        <v>1.0218959999999999</v>
      </c>
    </row>
    <row r="5" spans="1:8" x14ac:dyDescent="0.2">
      <c r="A5">
        <v>2022</v>
      </c>
      <c r="B5">
        <f>11133+2434+7586</f>
        <v>21153</v>
      </c>
      <c r="C5">
        <v>6857</v>
      </c>
      <c r="D5">
        <f>2988+1998</f>
        <v>4986</v>
      </c>
      <c r="E5">
        <f>83.4*179.3</f>
        <v>14953.620000000003</v>
      </c>
      <c r="F5">
        <v>115469</v>
      </c>
      <c r="G5">
        <v>118.01600000000001</v>
      </c>
      <c r="H5">
        <f>H4*(1+0.057)</f>
        <v>1.080144072</v>
      </c>
    </row>
    <row r="6" spans="1:8" x14ac:dyDescent="0.2">
      <c r="A6">
        <v>2023</v>
      </c>
      <c r="B6">
        <f>11196+2492+7957</f>
        <v>21645</v>
      </c>
      <c r="C6">
        <v>7242</v>
      </c>
      <c r="D6">
        <f>2558+1875</f>
        <v>4433</v>
      </c>
      <c r="E6">
        <f>75.3*186.1</f>
        <v>14013.33</v>
      </c>
      <c r="F6">
        <v>120292</v>
      </c>
      <c r="G6">
        <v>122.26600000000001</v>
      </c>
      <c r="H6">
        <f>H5*(1+0.015)</f>
        <v>1.0963462330799998</v>
      </c>
    </row>
    <row r="7" spans="1:8" x14ac:dyDescent="0.2">
      <c r="A7">
        <v>2024</v>
      </c>
      <c r="B7">
        <f>11315+2445+8176</f>
        <v>21936</v>
      </c>
      <c r="C7">
        <v>7369</v>
      </c>
      <c r="D7">
        <f>2002+1875</f>
        <v>3877</v>
      </c>
      <c r="E7">
        <f>68.9*189.2</f>
        <v>13035.880000000001</v>
      </c>
      <c r="F7">
        <v>124578</v>
      </c>
      <c r="G7">
        <v>125.532</v>
      </c>
      <c r="H7">
        <f>H6*(1+0.008)</f>
        <v>1.1051170029446398</v>
      </c>
    </row>
    <row r="8" spans="1:8" x14ac:dyDescent="0.2">
      <c r="A8">
        <v>2025</v>
      </c>
      <c r="B8">
        <f>11494+2477+8515</f>
        <v>22486</v>
      </c>
      <c r="C8">
        <v>7469</v>
      </c>
      <c r="D8">
        <f>1488+1875</f>
        <v>3363</v>
      </c>
      <c r="E8">
        <f>63.1*192.5</f>
        <v>12146.75</v>
      </c>
      <c r="F8">
        <v>128795</v>
      </c>
      <c r="G8">
        <f>G7*1.02</f>
        <v>128.04264000000001</v>
      </c>
      <c r="H8">
        <f>H7*(1+0.006)</f>
        <v>1.1117477049623077</v>
      </c>
    </row>
    <row r="10" spans="1:8" x14ac:dyDescent="0.2">
      <c r="B10" s="6" t="s">
        <v>36</v>
      </c>
      <c r="C10" s="6"/>
      <c r="D10" s="6"/>
      <c r="E10" s="6"/>
      <c r="F10" s="6"/>
      <c r="G10" s="6"/>
    </row>
    <row r="11" spans="1:8" x14ac:dyDescent="0.2">
      <c r="B11" s="2" t="s">
        <v>28</v>
      </c>
      <c r="C11" s="2" t="s">
        <v>29</v>
      </c>
      <c r="D11" s="2" t="s">
        <v>2</v>
      </c>
      <c r="E11" s="2" t="s">
        <v>30</v>
      </c>
      <c r="F11" s="2"/>
    </row>
    <row r="12" spans="1:8" x14ac:dyDescent="0.2">
      <c r="A12">
        <v>2019</v>
      </c>
      <c r="B12">
        <f>B2/$H2</f>
        <v>20581</v>
      </c>
      <c r="C12">
        <f>C2/$H2</f>
        <v>8265</v>
      </c>
      <c r="D12">
        <f t="shared" ref="D12:E12" si="0">D2/($G2/100)</f>
        <v>3240.2019716277955</v>
      </c>
      <c r="E12">
        <f t="shared" si="0"/>
        <v>10270.141861024285</v>
      </c>
    </row>
    <row r="13" spans="1:8" x14ac:dyDescent="0.2">
      <c r="A13">
        <v>2020</v>
      </c>
      <c r="B13">
        <f t="shared" ref="B13:C18" si="1">B3/$H3</f>
        <v>20768.072289156626</v>
      </c>
      <c r="C13">
        <f t="shared" si="1"/>
        <v>5836.3453815261046</v>
      </c>
      <c r="D13">
        <f t="shared" ref="D13:E13" si="2">D3/($G3/100)</f>
        <v>2408.2547035483071</v>
      </c>
      <c r="E13">
        <f t="shared" si="2"/>
        <v>5927.3631651889964</v>
      </c>
    </row>
    <row r="14" spans="1:8" x14ac:dyDescent="0.2">
      <c r="A14">
        <v>2021</v>
      </c>
      <c r="B14">
        <f t="shared" si="1"/>
        <v>20388.571831184388</v>
      </c>
      <c r="C14">
        <f t="shared" si="1"/>
        <v>6452.7114305173918</v>
      </c>
      <c r="D14">
        <f t="shared" ref="D14:E14" si="3">D4/($G4/100)</f>
        <v>3802.364220733235</v>
      </c>
      <c r="E14">
        <f t="shared" si="3"/>
        <v>9715.821394200213</v>
      </c>
    </row>
    <row r="15" spans="1:8" x14ac:dyDescent="0.2">
      <c r="A15">
        <v>2022</v>
      </c>
      <c r="B15">
        <f t="shared" si="1"/>
        <v>19583.498672388214</v>
      </c>
      <c r="C15">
        <f t="shared" si="1"/>
        <v>6348.2272205628515</v>
      </c>
      <c r="D15">
        <f t="shared" ref="D15:E15" si="4">D5/($G5/100)</f>
        <v>4224.8508676789588</v>
      </c>
      <c r="E15">
        <f t="shared" si="4"/>
        <v>12670.841241865512</v>
      </c>
    </row>
    <row r="16" spans="1:8" x14ac:dyDescent="0.2">
      <c r="A16">
        <v>2023</v>
      </c>
      <c r="B16">
        <f t="shared" si="1"/>
        <v>19742.850704372853</v>
      </c>
      <c r="C16">
        <f t="shared" si="1"/>
        <v>6605.5774913868427</v>
      </c>
      <c r="D16">
        <f t="shared" ref="D16:E16" si="5">D6/($G6/100)</f>
        <v>3625.7013397019609</v>
      </c>
      <c r="E16">
        <f t="shared" si="5"/>
        <v>11461.346572227765</v>
      </c>
    </row>
    <row r="17" spans="1:7" x14ac:dyDescent="0.2">
      <c r="A17">
        <v>2024</v>
      </c>
      <c r="B17">
        <f t="shared" si="1"/>
        <v>19849.481947658416</v>
      </c>
      <c r="C17">
        <f t="shared" si="1"/>
        <v>6668.0722315962284</v>
      </c>
      <c r="D17">
        <f t="shared" ref="D17:E17" si="6">D7/($G7/100)</f>
        <v>3088.455533250486</v>
      </c>
      <c r="E17">
        <f t="shared" si="6"/>
        <v>10384.507535927096</v>
      </c>
    </row>
    <row r="18" spans="1:7" x14ac:dyDescent="0.2">
      <c r="A18">
        <v>2025</v>
      </c>
      <c r="B18">
        <f t="shared" si="1"/>
        <v>20225.811935237911</v>
      </c>
      <c r="C18">
        <f t="shared" si="1"/>
        <v>6718.2508825176537</v>
      </c>
      <c r="D18">
        <f t="shared" ref="D18:E18" si="7">D8/($G8/100)</f>
        <v>2626.4688075784752</v>
      </c>
      <c r="E18">
        <f t="shared" si="7"/>
        <v>9486.4882511013511</v>
      </c>
    </row>
    <row r="20" spans="1:7" x14ac:dyDescent="0.2">
      <c r="B20" s="6" t="s">
        <v>37</v>
      </c>
      <c r="C20" s="6"/>
      <c r="D20" s="6"/>
      <c r="E20" s="6"/>
      <c r="F20" s="6"/>
      <c r="G20" s="6"/>
    </row>
    <row r="21" spans="1:7" x14ac:dyDescent="0.2">
      <c r="B21" s="2" t="s">
        <v>28</v>
      </c>
      <c r="C21" s="2" t="s">
        <v>29</v>
      </c>
      <c r="D21" s="2" t="s">
        <v>2</v>
      </c>
      <c r="E21" s="2" t="s">
        <v>30</v>
      </c>
    </row>
    <row r="22" spans="1:7" x14ac:dyDescent="0.2">
      <c r="A22">
        <v>2019</v>
      </c>
    </row>
    <row r="23" spans="1:7" x14ac:dyDescent="0.2">
      <c r="A23">
        <v>2020</v>
      </c>
      <c r="B23" s="4">
        <f>B13/B12-1</f>
        <v>9.0895626624860615E-3</v>
      </c>
      <c r="C23" s="4">
        <f t="shared" ref="C23:E23" si="8">C13/C12-1</f>
        <v>-0.29384810870827527</v>
      </c>
      <c r="D23" s="4">
        <f t="shared" si="8"/>
        <v>-0.25675784267902879</v>
      </c>
      <c r="E23" s="4">
        <f t="shared" si="8"/>
        <v>-0.42285479155028582</v>
      </c>
    </row>
    <row r="24" spans="1:7" x14ac:dyDescent="0.2">
      <c r="A24">
        <v>2021</v>
      </c>
      <c r="B24" s="4">
        <f t="shared" ref="B24:E24" si="9">B14/B13-1</f>
        <v>-1.8273263531077943E-2</v>
      </c>
      <c r="C24" s="4">
        <f t="shared" si="9"/>
        <v>0.10560822033293005</v>
      </c>
      <c r="D24" s="4">
        <f t="shared" si="9"/>
        <v>0.57888790381302102</v>
      </c>
      <c r="E24" s="4">
        <f t="shared" si="9"/>
        <v>0.63914731111138523</v>
      </c>
    </row>
    <row r="25" spans="1:7" x14ac:dyDescent="0.2">
      <c r="A25">
        <v>2022</v>
      </c>
      <c r="B25" s="4">
        <f t="shared" ref="B25:E25" si="10">B15/B14-1</f>
        <v>-3.9486491033413729E-2</v>
      </c>
      <c r="C25" s="4">
        <f t="shared" si="10"/>
        <v>-1.6192295452791217E-2</v>
      </c>
      <c r="D25" s="4">
        <f t="shared" si="10"/>
        <v>0.11111156701980884</v>
      </c>
      <c r="E25" s="4">
        <f t="shared" si="10"/>
        <v>0.30414513892044948</v>
      </c>
    </row>
    <row r="26" spans="1:7" x14ac:dyDescent="0.2">
      <c r="A26">
        <v>2023</v>
      </c>
      <c r="B26" s="4">
        <f t="shared" ref="B26:E26" si="11">B16/B15-1</f>
        <v>8.1370563376050864E-3</v>
      </c>
      <c r="C26" s="4">
        <f t="shared" si="11"/>
        <v>4.0538919273461982E-2</v>
      </c>
      <c r="D26" s="4">
        <f t="shared" si="11"/>
        <v>-0.14181554491322379</v>
      </c>
      <c r="E26" s="4">
        <f t="shared" si="11"/>
        <v>-9.5454962030577351E-2</v>
      </c>
    </row>
    <row r="27" spans="1:7" x14ac:dyDescent="0.2">
      <c r="A27">
        <v>2024</v>
      </c>
      <c r="B27" s="4">
        <f t="shared" ref="B27:E27" si="12">B17/B16-1</f>
        <v>5.4010054010054098E-3</v>
      </c>
      <c r="C27" s="4">
        <f t="shared" si="12"/>
        <v>9.4609048627276593E-3</v>
      </c>
      <c r="D27" s="4">
        <f t="shared" si="12"/>
        <v>-0.14817707144506209</v>
      </c>
      <c r="E27" s="4">
        <f t="shared" si="12"/>
        <v>-9.3953972119644402E-2</v>
      </c>
    </row>
    <row r="28" spans="1:7" x14ac:dyDescent="0.2">
      <c r="A28">
        <v>2025</v>
      </c>
      <c r="B28" s="4">
        <f t="shared" ref="B28:E28" si="13">B18/B17-1</f>
        <v>1.8959184354123026E-2</v>
      </c>
      <c r="C28" s="4">
        <f t="shared" si="13"/>
        <v>7.5252110623003077E-3</v>
      </c>
      <c r="D28" s="4">
        <f t="shared" si="13"/>
        <v>-0.14958503391039168</v>
      </c>
      <c r="E28" s="4">
        <f t="shared" si="13"/>
        <v>-8.6476829230359153E-2</v>
      </c>
    </row>
  </sheetData>
  <mergeCells count="2">
    <mergeCell ref="B10:G10"/>
    <mergeCell ref="B20:G20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B4C0-1260-41F5-93A5-9A2A7526FF71}">
  <dimension ref="A1:G30"/>
  <sheetViews>
    <sheetView workbookViewId="0">
      <selection activeCell="J13" sqref="J13"/>
    </sheetView>
  </sheetViews>
  <sheetFormatPr baseColWidth="10" defaultColWidth="8.83203125" defaultRowHeight="15" x14ac:dyDescent="0.2"/>
  <sheetData>
    <row r="1" spans="1:7" x14ac:dyDescent="0.2">
      <c r="B1" t="s">
        <v>0</v>
      </c>
      <c r="C1" t="s">
        <v>1</v>
      </c>
      <c r="D1" t="s">
        <v>2</v>
      </c>
      <c r="E1" t="s">
        <v>30</v>
      </c>
      <c r="F1" t="s">
        <v>43</v>
      </c>
      <c r="G1" t="s">
        <v>44</v>
      </c>
    </row>
    <row r="2" spans="1:7" x14ac:dyDescent="0.2">
      <c r="A2" t="s">
        <v>38</v>
      </c>
      <c r="B2">
        <v>5096.7275255468703</v>
      </c>
      <c r="C2">
        <v>2460.4609381640598</v>
      </c>
      <c r="D2">
        <v>1009.78302980468</v>
      </c>
      <c r="E2">
        <v>3419.3479869375001</v>
      </c>
      <c r="F2">
        <v>3419.3479869375001</v>
      </c>
      <c r="G2">
        <v>3419.3479869375001</v>
      </c>
    </row>
    <row r="3" spans="1:7" x14ac:dyDescent="0.2">
      <c r="A3" t="s">
        <v>39</v>
      </c>
      <c r="B3">
        <v>5134.9776413281197</v>
      </c>
      <c r="C3">
        <v>2165.93468077343</v>
      </c>
      <c r="D3">
        <v>853.43991375781195</v>
      </c>
      <c r="E3">
        <v>2766.7725876875002</v>
      </c>
      <c r="F3">
        <v>2766.7725876875002</v>
      </c>
      <c r="G3">
        <v>2766.7725876875002</v>
      </c>
    </row>
    <row r="4" spans="1:7" x14ac:dyDescent="0.2">
      <c r="A4" t="s">
        <v>40</v>
      </c>
      <c r="B4">
        <v>5164.3750578906202</v>
      </c>
      <c r="C4">
        <v>1918.9868713046801</v>
      </c>
      <c r="D4">
        <v>731.87893497656205</v>
      </c>
      <c r="E4">
        <v>2241.2477653750002</v>
      </c>
      <c r="F4">
        <v>2241.2477653750002</v>
      </c>
      <c r="G4">
        <v>2241.2477653750002</v>
      </c>
    </row>
    <row r="5" spans="1:7" x14ac:dyDescent="0.2">
      <c r="A5" t="s">
        <v>41</v>
      </c>
      <c r="B5">
        <v>5184.9197752343698</v>
      </c>
      <c r="C5">
        <v>1719.61750975781</v>
      </c>
      <c r="D5">
        <v>645.10009346093705</v>
      </c>
      <c r="E5">
        <v>1842.77352</v>
      </c>
      <c r="F5">
        <v>1842.77352</v>
      </c>
      <c r="G5">
        <v>1842.77352</v>
      </c>
    </row>
    <row r="6" spans="1:7" x14ac:dyDescent="0.2">
      <c r="B6">
        <f>AVERAGE(B2:B5)</f>
        <v>5145.2499999999945</v>
      </c>
      <c r="C6">
        <f t="shared" ref="C6:E6" si="0">AVERAGE(C2:C5)</f>
        <v>2066.249999999995</v>
      </c>
      <c r="D6">
        <f t="shared" si="0"/>
        <v>810.0504929999978</v>
      </c>
      <c r="E6">
        <f t="shared" si="0"/>
        <v>2567.5354650000004</v>
      </c>
      <c r="F6">
        <f t="shared" ref="F6:G6" si="1">AVERAGE(F2:F5)</f>
        <v>2567.5354650000004</v>
      </c>
      <c r="G6">
        <f t="shared" si="1"/>
        <v>2567.5354650000004</v>
      </c>
    </row>
    <row r="7" spans="1:7" x14ac:dyDescent="0.2">
      <c r="A7" t="s">
        <v>3</v>
      </c>
      <c r="B7">
        <v>5196.6117933593696</v>
      </c>
      <c r="C7">
        <v>1567.82659613281</v>
      </c>
      <c r="D7">
        <v>593.10338921093705</v>
      </c>
      <c r="E7">
        <v>1571.3498515624999</v>
      </c>
      <c r="F7">
        <f>E7+700</f>
        <v>2271.3498515624997</v>
      </c>
      <c r="G7">
        <f>E7-700</f>
        <v>871.34985156249991</v>
      </c>
    </row>
    <row r="8" spans="1:7" x14ac:dyDescent="0.2">
      <c r="A8" t="s">
        <v>4</v>
      </c>
      <c r="B8">
        <v>5199.4511122656204</v>
      </c>
      <c r="C8">
        <v>1463.61413042968</v>
      </c>
      <c r="D8">
        <v>575.88882222656196</v>
      </c>
      <c r="E8">
        <v>1426.9767600625</v>
      </c>
      <c r="F8">
        <f t="shared" ref="F8:F30" si="2">E8+700</f>
        <v>2126.9767600625</v>
      </c>
      <c r="G8">
        <f t="shared" ref="G8:G30" si="3">E8-700</f>
        <v>726.97676006250003</v>
      </c>
    </row>
    <row r="9" spans="1:7" x14ac:dyDescent="0.2">
      <c r="A9" t="s">
        <v>5</v>
      </c>
      <c r="B9">
        <v>5193.4377319531204</v>
      </c>
      <c r="C9">
        <v>1406.9801126484299</v>
      </c>
      <c r="D9">
        <v>593.45639250781198</v>
      </c>
      <c r="E9">
        <v>1409.6542454999999</v>
      </c>
      <c r="F9">
        <f t="shared" si="2"/>
        <v>2109.6542454999999</v>
      </c>
      <c r="G9">
        <f t="shared" si="3"/>
        <v>709.65424549999989</v>
      </c>
    </row>
    <row r="10" spans="1:7" x14ac:dyDescent="0.2">
      <c r="A10" t="s">
        <v>6</v>
      </c>
      <c r="B10">
        <v>5178.5716524218697</v>
      </c>
      <c r="C10">
        <v>1397.9245427890601</v>
      </c>
      <c r="D10">
        <v>645.80610005468702</v>
      </c>
      <c r="E10">
        <v>1519.3823078749999</v>
      </c>
      <c r="F10">
        <f t="shared" si="2"/>
        <v>2219.3823078750002</v>
      </c>
      <c r="G10">
        <f t="shared" si="3"/>
        <v>819.38230787499992</v>
      </c>
    </row>
    <row r="11" spans="1:7" x14ac:dyDescent="0.2">
      <c r="A11" t="s">
        <v>7</v>
      </c>
      <c r="B11">
        <v>5149.3450592187501</v>
      </c>
      <c r="C11">
        <v>1583.55175389843</v>
      </c>
      <c r="D11">
        <v>857.84730639062502</v>
      </c>
      <c r="E11">
        <v>2106.34357636718</v>
      </c>
      <c r="F11">
        <f t="shared" si="2"/>
        <v>2806.34357636718</v>
      </c>
      <c r="G11">
        <f t="shared" si="3"/>
        <v>1406.34357636718</v>
      </c>
    </row>
    <row r="12" spans="1:7" x14ac:dyDescent="0.2">
      <c r="A12" t="s">
        <v>8</v>
      </c>
      <c r="B12">
        <v>5118.97670703124</v>
      </c>
      <c r="C12">
        <v>1610.81134666406</v>
      </c>
      <c r="D12">
        <v>929.79754385937497</v>
      </c>
      <c r="E12">
        <v>2330.0997409453098</v>
      </c>
      <c r="F12">
        <f t="shared" si="2"/>
        <v>3030.0997409453098</v>
      </c>
      <c r="G12">
        <f t="shared" si="3"/>
        <v>1630.0997409453098</v>
      </c>
    </row>
    <row r="13" spans="1:7" x14ac:dyDescent="0.2">
      <c r="A13" t="s">
        <v>9</v>
      </c>
      <c r="B13">
        <v>5081.9587814062397</v>
      </c>
      <c r="C13">
        <v>1626.8076541328101</v>
      </c>
      <c r="D13">
        <v>986.56617398437504</v>
      </c>
      <c r="E13">
        <v>2540.83343078906</v>
      </c>
      <c r="F13">
        <f t="shared" si="2"/>
        <v>3240.83343078906</v>
      </c>
      <c r="G13">
        <f t="shared" si="3"/>
        <v>1840.83343078906</v>
      </c>
    </row>
    <row r="14" spans="1:7" x14ac:dyDescent="0.2">
      <c r="A14" t="s">
        <v>10</v>
      </c>
      <c r="B14">
        <v>5038.29128234374</v>
      </c>
      <c r="C14">
        <v>1631.5406763046799</v>
      </c>
      <c r="D14">
        <v>1028.1531967656199</v>
      </c>
      <c r="E14">
        <v>2738.5446458984302</v>
      </c>
      <c r="F14">
        <f t="shared" si="2"/>
        <v>3438.5446458984302</v>
      </c>
      <c r="G14">
        <f t="shared" si="3"/>
        <v>2038.5446458984302</v>
      </c>
    </row>
    <row r="15" spans="1:7" x14ac:dyDescent="0.2">
      <c r="A15" t="s">
        <v>11</v>
      </c>
      <c r="B15">
        <v>4933.6774172656196</v>
      </c>
      <c r="C15">
        <v>1582.7180405624999</v>
      </c>
      <c r="D15">
        <v>1056.51225692968</v>
      </c>
      <c r="E15">
        <v>3053.3535477187502</v>
      </c>
      <c r="F15">
        <f t="shared" si="2"/>
        <v>3753.3535477187502</v>
      </c>
      <c r="G15">
        <f t="shared" si="3"/>
        <v>2353.3535477187502</v>
      </c>
    </row>
    <row r="16" spans="1:7" x14ac:dyDescent="0.2">
      <c r="A16" t="s">
        <v>12</v>
      </c>
      <c r="B16">
        <v>4898.4294883593702</v>
      </c>
      <c r="C16">
        <v>1581.8414411875001</v>
      </c>
      <c r="D16">
        <v>1066.95460713281</v>
      </c>
      <c r="E16">
        <v>3172.97174878125</v>
      </c>
      <c r="F16">
        <f t="shared" si="2"/>
        <v>3872.97174878125</v>
      </c>
      <c r="G16">
        <f t="shared" si="3"/>
        <v>2472.97174878125</v>
      </c>
    </row>
    <row r="17" spans="1:7" x14ac:dyDescent="0.2">
      <c r="A17" t="s">
        <v>13</v>
      </c>
      <c r="B17">
        <v>4878.2507030468696</v>
      </c>
      <c r="C17">
        <v>1586.6185055624901</v>
      </c>
      <c r="D17">
        <v>1061.4338921015601</v>
      </c>
      <c r="E17">
        <v>3227.5194105312498</v>
      </c>
      <c r="F17">
        <f t="shared" si="2"/>
        <v>3927.5194105312498</v>
      </c>
      <c r="G17">
        <f t="shared" si="3"/>
        <v>2527.5194105312498</v>
      </c>
    </row>
    <row r="18" spans="1:7" x14ac:dyDescent="0.2">
      <c r="A18" t="s">
        <v>14</v>
      </c>
      <c r="B18">
        <v>4873.1410613281196</v>
      </c>
      <c r="C18">
        <v>1597.04923368749</v>
      </c>
      <c r="D18">
        <v>1039.9501118359301</v>
      </c>
      <c r="E18">
        <v>3216.9965329687402</v>
      </c>
      <c r="F18">
        <f t="shared" si="2"/>
        <v>3916.9965329687402</v>
      </c>
      <c r="G18">
        <f t="shared" si="3"/>
        <v>2516.9965329687402</v>
      </c>
    </row>
    <row r="19" spans="1:7" x14ac:dyDescent="0.2">
      <c r="A19" t="s">
        <v>15</v>
      </c>
      <c r="B19">
        <v>4922.8328276562497</v>
      </c>
      <c r="C19">
        <v>1634.8793290390599</v>
      </c>
      <c r="D19">
        <v>960.17748914843696</v>
      </c>
      <c r="E19">
        <v>2973.5449068749999</v>
      </c>
      <c r="F19">
        <f t="shared" si="2"/>
        <v>3673.5449068749999</v>
      </c>
      <c r="G19">
        <f t="shared" si="3"/>
        <v>2273.5449068749999</v>
      </c>
    </row>
    <row r="20" spans="1:7" x14ac:dyDescent="0.2">
      <c r="A20" t="s">
        <v>16</v>
      </c>
      <c r="B20">
        <v>4931.9685673437498</v>
      </c>
      <c r="C20">
        <v>1647.91910327343</v>
      </c>
      <c r="D20">
        <v>923.697889289062</v>
      </c>
      <c r="E20">
        <v>2900.0242343750001</v>
      </c>
      <c r="F20">
        <f t="shared" si="2"/>
        <v>3600.0242343750001</v>
      </c>
      <c r="G20">
        <f t="shared" si="3"/>
        <v>2200.0242343750001</v>
      </c>
    </row>
    <row r="21" spans="1:7" x14ac:dyDescent="0.2">
      <c r="A21" t="s">
        <v>17</v>
      </c>
      <c r="B21">
        <v>4940.2805448437502</v>
      </c>
      <c r="C21">
        <v>1657.9142598671799</v>
      </c>
      <c r="D21">
        <v>888.18553507031197</v>
      </c>
      <c r="E21">
        <v>2828.57630625</v>
      </c>
      <c r="F21">
        <f t="shared" si="2"/>
        <v>3528.57630625</v>
      </c>
      <c r="G21">
        <f t="shared" si="3"/>
        <v>2128.57630625</v>
      </c>
    </row>
    <row r="22" spans="1:7" x14ac:dyDescent="0.2">
      <c r="A22" t="s">
        <v>18</v>
      </c>
      <c r="B22">
        <v>4947.7687601562502</v>
      </c>
      <c r="C22">
        <v>1664.8647988203099</v>
      </c>
      <c r="D22">
        <v>853.64042649218698</v>
      </c>
      <c r="E22">
        <v>2759.2011225000001</v>
      </c>
      <c r="F22">
        <f t="shared" si="2"/>
        <v>3459.2011225000001</v>
      </c>
      <c r="G22">
        <f t="shared" si="3"/>
        <v>2059.2011225000001</v>
      </c>
    </row>
    <row r="23" spans="1:7" x14ac:dyDescent="0.2">
      <c r="A23" t="s">
        <v>19</v>
      </c>
      <c r="B23">
        <v>4941.8387007812498</v>
      </c>
      <c r="C23">
        <v>1661.64027329687</v>
      </c>
      <c r="D23">
        <v>819.54086976562496</v>
      </c>
      <c r="E23">
        <v>2690.0953979296801</v>
      </c>
      <c r="F23">
        <f t="shared" si="2"/>
        <v>3390.0953979296801</v>
      </c>
      <c r="G23">
        <f t="shared" si="3"/>
        <v>1990.0953979296801</v>
      </c>
    </row>
    <row r="24" spans="1:7" x14ac:dyDescent="0.2">
      <c r="A24" t="s">
        <v>20</v>
      </c>
      <c r="B24">
        <v>4952.7171967187496</v>
      </c>
      <c r="C24">
        <v>1665.35375570312</v>
      </c>
      <c r="D24">
        <v>787.13892998437495</v>
      </c>
      <c r="E24">
        <v>2625.5870170078101</v>
      </c>
      <c r="F24">
        <f t="shared" si="2"/>
        <v>3325.5870170078101</v>
      </c>
      <c r="G24">
        <f t="shared" si="3"/>
        <v>1925.5870170078101</v>
      </c>
    </row>
    <row r="25" spans="1:7" x14ac:dyDescent="0.2">
      <c r="A25" t="s">
        <v>21</v>
      </c>
      <c r="B25">
        <v>4967.8097354687497</v>
      </c>
      <c r="C25">
        <v>1668.8747992031199</v>
      </c>
      <c r="D25">
        <v>755.91291335937501</v>
      </c>
      <c r="E25">
        <v>2563.8726945390599</v>
      </c>
      <c r="F25">
        <f t="shared" si="2"/>
        <v>3263.8726945390599</v>
      </c>
      <c r="G25">
        <f t="shared" si="3"/>
        <v>1863.8726945390599</v>
      </c>
    </row>
    <row r="26" spans="1:7" x14ac:dyDescent="0.2">
      <c r="A26" t="s">
        <v>22</v>
      </c>
      <c r="B26">
        <v>4987.1163170312502</v>
      </c>
      <c r="C26">
        <v>1672.2034037968699</v>
      </c>
      <c r="D26">
        <v>725.86281989062502</v>
      </c>
      <c r="E26">
        <v>2504.9524305234299</v>
      </c>
      <c r="F26">
        <f t="shared" si="2"/>
        <v>3204.9524305234299</v>
      </c>
      <c r="G26">
        <f t="shared" si="3"/>
        <v>1804.9524305234299</v>
      </c>
    </row>
    <row r="27" spans="1:7" x14ac:dyDescent="0.2">
      <c r="A27" t="s">
        <v>23</v>
      </c>
      <c r="B27">
        <v>5010.6369414062501</v>
      </c>
      <c r="C27">
        <v>1675.33956948437</v>
      </c>
      <c r="D27">
        <v>696.98864957812498</v>
      </c>
      <c r="E27">
        <v>2448.8262249609302</v>
      </c>
      <c r="F27">
        <f t="shared" si="2"/>
        <v>3148.8262249609302</v>
      </c>
      <c r="G27">
        <f t="shared" si="3"/>
        <v>1748.8262249609302</v>
      </c>
    </row>
    <row r="28" spans="1:7" x14ac:dyDescent="0.2">
      <c r="A28" t="s">
        <v>24</v>
      </c>
      <c r="B28">
        <v>5038.3716085937504</v>
      </c>
      <c r="C28">
        <v>1678.28329626562</v>
      </c>
      <c r="D28">
        <v>669.29040242187398</v>
      </c>
      <c r="E28">
        <v>2395.4940778515602</v>
      </c>
      <c r="F28">
        <f t="shared" si="2"/>
        <v>3095.4940778515602</v>
      </c>
      <c r="G28">
        <f t="shared" si="3"/>
        <v>1695.4940778515602</v>
      </c>
    </row>
    <row r="29" spans="1:7" x14ac:dyDescent="0.2">
      <c r="A29" t="s">
        <v>25</v>
      </c>
      <c r="B29">
        <v>5070.32031859375</v>
      </c>
      <c r="C29">
        <v>1681.0345841406199</v>
      </c>
      <c r="D29">
        <v>642.76807842187395</v>
      </c>
      <c r="E29">
        <v>2344.9559891953099</v>
      </c>
      <c r="F29">
        <f t="shared" si="2"/>
        <v>3044.9559891953099</v>
      </c>
      <c r="G29">
        <f t="shared" si="3"/>
        <v>1644.9559891953099</v>
      </c>
    </row>
    <row r="30" spans="1:7" x14ac:dyDescent="0.2">
      <c r="A30" t="s">
        <v>26</v>
      </c>
      <c r="B30">
        <v>5106.48307140625</v>
      </c>
      <c r="C30">
        <v>1683.5934331093699</v>
      </c>
      <c r="D30">
        <v>617.42167757812399</v>
      </c>
      <c r="E30">
        <v>2297.2119589921799</v>
      </c>
      <c r="F30">
        <f t="shared" si="2"/>
        <v>2997.2119589921799</v>
      </c>
      <c r="G30">
        <f t="shared" si="3"/>
        <v>1597.2119589921799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66AC-8230-EF4A-B84D-5583E42AA442}">
  <dimension ref="A1:G25"/>
  <sheetViews>
    <sheetView tabSelected="1" workbookViewId="0">
      <selection activeCell="J16" sqref="J16"/>
    </sheetView>
  </sheetViews>
  <sheetFormatPr baseColWidth="10" defaultRowHeight="15" x14ac:dyDescent="0.2"/>
  <cols>
    <col min="2" max="2" width="14.6640625" customWidth="1"/>
  </cols>
  <sheetData>
    <row r="1" spans="1:7" x14ac:dyDescent="0.2">
      <c r="B1" t="s">
        <v>0</v>
      </c>
      <c r="C1" t="s">
        <v>1</v>
      </c>
      <c r="D1" t="s">
        <v>2</v>
      </c>
      <c r="E1" t="s">
        <v>30</v>
      </c>
      <c r="F1" s="5" t="s">
        <v>43</v>
      </c>
      <c r="G1" s="5" t="s">
        <v>44</v>
      </c>
    </row>
    <row r="2" spans="1:7" x14ac:dyDescent="0.2">
      <c r="A2" s="5" t="s">
        <v>45</v>
      </c>
      <c r="B2">
        <f>quarterly_levels!B7/quarterly_levels!B6</f>
        <v>1.0099823708001312</v>
      </c>
      <c r="C2">
        <f>quarterly_levels!C7/quarterly_levels!C6</f>
        <v>0.7587787519094078</v>
      </c>
      <c r="D2">
        <f>quarterly_levels!D7/quarterly_levels!D6</f>
        <v>0.73218076445382607</v>
      </c>
      <c r="E2">
        <f>quarterly_levels!E7/quarterly_levels!E6</f>
        <v>0.61200706786050163</v>
      </c>
      <c r="F2">
        <f>quarterly_levels!F7/quarterly_levels!F6</f>
        <v>0.88464205559181996</v>
      </c>
      <c r="G2">
        <f>quarterly_levels!G7/quarterly_levels!G6</f>
        <v>0.33937208012918324</v>
      </c>
    </row>
    <row r="3" spans="1:7" x14ac:dyDescent="0.2">
      <c r="B3">
        <f>quarterly_levels!B8/quarterly_levels!B7</f>
        <v>1.0005463788751507</v>
      </c>
      <c r="C3">
        <f>quarterly_levels!C8/quarterly_levels!C7</f>
        <v>0.93353061750567334</v>
      </c>
      <c r="D3">
        <f>quarterly_levels!D8/quarterly_levels!D7</f>
        <v>0.97097543649636309</v>
      </c>
      <c r="E3">
        <f>quarterly_levels!E8/quarterly_levels!E7</f>
        <v>0.90812161190174179</v>
      </c>
      <c r="F3">
        <f>quarterly_levels!F8/quarterly_levels!F7</f>
        <v>0.93643731660242346</v>
      </c>
      <c r="G3">
        <f>quarterly_levels!G8/quarterly_levels!G7</f>
        <v>0.83431099317787127</v>
      </c>
    </row>
    <row r="4" spans="1:7" x14ac:dyDescent="0.2">
      <c r="B4">
        <f>quarterly_levels!B9/quarterly_levels!B8</f>
        <v>0.99884345863002455</v>
      </c>
      <c r="C4">
        <f>quarterly_levels!C9/quarterly_levels!C8</f>
        <v>0.96130536279762224</v>
      </c>
      <c r="D4">
        <f>quarterly_levels!D9/quarterly_levels!D8</f>
        <v>1.0305051419705082</v>
      </c>
      <c r="E4">
        <f>quarterly_levels!E9/quarterly_levels!E8</f>
        <v>0.98786068908246172</v>
      </c>
      <c r="F4">
        <f>quarterly_levels!F9/quarterly_levels!F8</f>
        <v>0.99185580449783983</v>
      </c>
      <c r="G4">
        <f>quarterly_levels!G9/quarterly_levels!G8</f>
        <v>0.97617184549199221</v>
      </c>
    </row>
    <row r="5" spans="1:7" x14ac:dyDescent="0.2">
      <c r="B5">
        <f>quarterly_levels!B10/quarterly_levels!B9</f>
        <v>0.99713752618236162</v>
      </c>
      <c r="C5">
        <f>quarterly_levels!C10/quarterly_levels!C9</f>
        <v>0.99356382526095266</v>
      </c>
      <c r="D5">
        <f>quarterly_levels!D10/quarterly_levels!D9</f>
        <v>1.0882115488311737</v>
      </c>
      <c r="E5">
        <f>quarterly_levels!E10/quarterly_levels!E9</f>
        <v>1.0778404085436424</v>
      </c>
      <c r="F5">
        <f>quarterly_levels!F10/quarterly_levels!F9</f>
        <v>1.0520123440175355</v>
      </c>
      <c r="G5">
        <f>quarterly_levels!G10/quarterly_levels!G9</f>
        <v>1.1546218641976687</v>
      </c>
    </row>
    <row r="6" spans="1:7" x14ac:dyDescent="0.2">
      <c r="B6">
        <f>quarterly_levels!B11/quarterly_levels!B10</f>
        <v>0.99435624431508041</v>
      </c>
      <c r="C6">
        <f>quarterly_levels!C11/quarterly_levels!C10</f>
        <v>1.1327877188127886</v>
      </c>
      <c r="D6">
        <f>quarterly_levels!D11/quarterly_levels!D10</f>
        <v>1.3283357130228133</v>
      </c>
      <c r="E6">
        <f>quarterly_levels!E11/quarterly_levels!E10</f>
        <v>1.386315718861503</v>
      </c>
      <c r="F6">
        <f>quarterly_levels!F11/quarterly_levels!F10</f>
        <v>1.2644705539958006</v>
      </c>
      <c r="G6">
        <f>quarterly_levels!G11/quarterly_levels!G10</f>
        <v>1.7163460363385383</v>
      </c>
    </row>
    <row r="7" spans="1:7" x14ac:dyDescent="0.2">
      <c r="B7">
        <f>quarterly_levels!B12/quarterly_levels!B11</f>
        <v>0.99410248258015987</v>
      </c>
      <c r="C7">
        <f>quarterly_levels!C12/quarterly_levels!C11</f>
        <v>1.0172142102072266</v>
      </c>
      <c r="D7">
        <f>quarterly_levels!D12/quarterly_levels!D11</f>
        <v>1.0838730120532512</v>
      </c>
      <c r="E7">
        <f>quarterly_levels!E12/quarterly_levels!E11</f>
        <v>1.1062296612426559</v>
      </c>
      <c r="F7">
        <f>quarterly_levels!F12/quarterly_levels!F11</f>
        <v>1.0797322774240574</v>
      </c>
      <c r="G7">
        <f>quarterly_levels!G12/quarterly_levels!G11</f>
        <v>1.159104907462321</v>
      </c>
    </row>
    <row r="8" spans="1:7" x14ac:dyDescent="0.2">
      <c r="B8">
        <f>quarterly_levels!B13/quarterly_levels!B12</f>
        <v>0.99276849109820053</v>
      </c>
      <c r="C8">
        <f>quarterly_levels!C13/quarterly_levels!C12</f>
        <v>1.0099305902592988</v>
      </c>
      <c r="D8">
        <f>quarterly_levels!D13/quarterly_levels!D12</f>
        <v>1.0610548290860897</v>
      </c>
      <c r="E8">
        <f>quarterly_levels!E13/quarterly_levels!E12</f>
        <v>1.0904397722297745</v>
      </c>
      <c r="F8">
        <f>quarterly_levels!F13/quarterly_levels!F12</f>
        <v>1.0695467832283325</v>
      </c>
      <c r="G8">
        <f>quarterly_levels!G13/quarterly_levels!G12</f>
        <v>1.1292765617651983</v>
      </c>
    </row>
    <row r="9" spans="1:7" x14ac:dyDescent="0.2">
      <c r="B9">
        <f>quarterly_levels!B14/quarterly_levels!B13</f>
        <v>0.99140734883126769</v>
      </c>
      <c r="C9">
        <f>quarterly_levels!C14/quarterly_levels!C13</f>
        <v>1.0029093926131007</v>
      </c>
      <c r="D9">
        <f>quarterly_levels!D14/quarterly_levels!D13</f>
        <v>1.0421533029186378</v>
      </c>
      <c r="E9">
        <f>quarterly_levels!E14/quarterly_levels!E13</f>
        <v>1.0778135287081652</v>
      </c>
      <c r="F9">
        <f>quarterly_levels!F14/quarterly_levels!F13</f>
        <v>1.0610062872195294</v>
      </c>
      <c r="G9">
        <f>quarterly_levels!G14/quarterly_levels!G13</f>
        <v>1.1074030989455808</v>
      </c>
    </row>
    <row r="10" spans="1:7" x14ac:dyDescent="0.2">
      <c r="B10">
        <f>quarterly_levels!B15/quarterly_levels!B14</f>
        <v>0.97923624117471519</v>
      </c>
      <c r="C10">
        <f>quarterly_levels!C15/quarterly_levels!C14</f>
        <v>0.9700757471442516</v>
      </c>
      <c r="D10">
        <f>quarterly_levels!D15/quarterly_levels!D14</f>
        <v>1.0275825239402772</v>
      </c>
      <c r="E10">
        <f>quarterly_levels!E15/quarterly_levels!E14</f>
        <v>1.1149548181702333</v>
      </c>
      <c r="F10">
        <f>quarterly_levels!F15/quarterly_levels!F14</f>
        <v>1.0915529487732059</v>
      </c>
      <c r="G10">
        <f>quarterly_levels!G15/quarterly_levels!G14</f>
        <v>1.1544282596183106</v>
      </c>
    </row>
    <row r="11" spans="1:7" x14ac:dyDescent="0.2">
      <c r="B11">
        <f>quarterly_levels!B16/quarterly_levels!B15</f>
        <v>0.99285564784132463</v>
      </c>
      <c r="C11">
        <f>quarterly_levels!C16/quarterly_levels!C15</f>
        <v>0.99944614305736457</v>
      </c>
      <c r="D11">
        <f>quarterly_levels!D16/quarterly_levels!D15</f>
        <v>1.0098837946598711</v>
      </c>
      <c r="E11">
        <f>quarterly_levels!E16/quarterly_levels!E15</f>
        <v>1.0391760073614371</v>
      </c>
      <c r="F11">
        <f>quarterly_levels!F16/quarterly_levels!F15</f>
        <v>1.0318696865461028</v>
      </c>
      <c r="G11">
        <f>quarterly_levels!G16/quarterly_levels!G15</f>
        <v>1.0508288273041053</v>
      </c>
    </row>
    <row r="12" spans="1:7" x14ac:dyDescent="0.2">
      <c r="B12">
        <f>quarterly_levels!B17/quarterly_levels!B16</f>
        <v>0.9958805602161972</v>
      </c>
      <c r="C12">
        <f>quarterly_levels!C17/quarterly_levels!C16</f>
        <v>1.0030199388197871</v>
      </c>
      <c r="D12">
        <f>quarterly_levels!D17/quarterly_levels!D16</f>
        <v>0.99482572642327727</v>
      </c>
      <c r="E12">
        <f>quarterly_levels!E17/quarterly_levels!E16</f>
        <v>1.0171913480701338</v>
      </c>
      <c r="F12">
        <f>quarterly_levels!F17/quarterly_levels!F16</f>
        <v>1.0140841878764453</v>
      </c>
      <c r="G12">
        <f>quarterly_levels!G17/quarterly_levels!G16</f>
        <v>1.0220575353426025</v>
      </c>
    </row>
    <row r="13" spans="1:7" x14ac:dyDescent="0.2">
      <c r="B13">
        <f>quarterly_levels!B18/quarterly_levels!B17</f>
        <v>0.99895256680523647</v>
      </c>
      <c r="C13">
        <f>quarterly_levels!C18/quarterly_levels!C17</f>
        <v>1.0065741878645882</v>
      </c>
      <c r="D13">
        <f>quarterly_levels!D18/quarterly_levels!D17</f>
        <v>0.97975966244765966</v>
      </c>
      <c r="E13">
        <f>quarterly_levels!E18/quarterly_levels!E17</f>
        <v>0.99673963926346221</v>
      </c>
      <c r="F13">
        <f>quarterly_levels!F18/quarterly_levels!F17</f>
        <v>0.99732073187613191</v>
      </c>
      <c r="G13">
        <f>quarterly_levels!G18/quarterly_levels!G17</f>
        <v>0.99583667784363405</v>
      </c>
    </row>
    <row r="14" spans="1:7" x14ac:dyDescent="0.2">
      <c r="B14">
        <f>quarterly_levels!B19/quarterly_levels!B18</f>
        <v>1.0101970711914068</v>
      </c>
      <c r="C14">
        <f>quarterly_levels!C19/quarterly_levels!C18</f>
        <v>1.0236874947582064</v>
      </c>
      <c r="D14">
        <f>quarterly_levels!D19/quarterly_levels!D18</f>
        <v>0.92329187546635061</v>
      </c>
      <c r="E14">
        <f>quarterly_levels!E19/quarterly_levels!E18</f>
        <v>0.92432331723122008</v>
      </c>
      <c r="F14">
        <f>quarterly_levels!F19/quarterly_levels!F18</f>
        <v>0.93784737258645845</v>
      </c>
      <c r="G14">
        <f>quarterly_levels!G19/quarterly_levels!G18</f>
        <v>0.90327693228619799</v>
      </c>
    </row>
    <row r="15" spans="1:7" x14ac:dyDescent="0.2">
      <c r="B15">
        <f>quarterly_levels!B20/quarterly_levels!B19</f>
        <v>1.0018557891375421</v>
      </c>
      <c r="C15">
        <f>quarterly_levels!C20/quarterly_levels!C19</f>
        <v>1.0079759857518258</v>
      </c>
      <c r="D15">
        <f>quarterly_levels!D20/quarterly_levels!D19</f>
        <v>0.96200744104954172</v>
      </c>
      <c r="E15">
        <f>quarterly_levels!E20/quarterly_levels!E19</f>
        <v>0.97527507577571271</v>
      </c>
      <c r="F15">
        <f>quarterly_levels!F20/quarterly_levels!F19</f>
        <v>0.97998645059097911</v>
      </c>
      <c r="G15">
        <f>quarterly_levels!G20/quarterly_levels!G19</f>
        <v>0.96766253779387434</v>
      </c>
    </row>
    <row r="16" spans="1:7" x14ac:dyDescent="0.2">
      <c r="B16">
        <f>quarterly_levels!B21/quarterly_levels!B20</f>
        <v>1.0016853265357442</v>
      </c>
      <c r="C16">
        <f>quarterly_levels!C21/quarterly_levels!C20</f>
        <v>1.0060653199382759</v>
      </c>
      <c r="D16">
        <f>quarterly_levels!D21/quarterly_levels!D20</f>
        <v>0.96155414597073219</v>
      </c>
      <c r="E16">
        <f>quarterly_levels!E21/quarterly_levels!E20</f>
        <v>0.97536298928881249</v>
      </c>
      <c r="F16">
        <f>quarterly_levels!F21/quarterly_levels!F20</f>
        <v>0.98015348690078907</v>
      </c>
      <c r="G16">
        <f>quarterly_levels!G21/quarterly_levels!G20</f>
        <v>0.96752402677723337</v>
      </c>
    </row>
    <row r="17" spans="2:7" x14ac:dyDescent="0.2">
      <c r="B17">
        <f>quarterly_levels!B22/quarterly_levels!B21</f>
        <v>1.0015157469792511</v>
      </c>
      <c r="C17">
        <f>quarterly_levels!C22/quarterly_levels!C21</f>
        <v>1.0041923392067855</v>
      </c>
      <c r="D17">
        <f>quarterly_levels!D22/quarterly_levels!D21</f>
        <v>0.96110597705760847</v>
      </c>
      <c r="E17">
        <f>quarterly_levels!E22/quarterly_levels!E21</f>
        <v>0.97547346218070585</v>
      </c>
      <c r="F17">
        <f>quarterly_levels!F22/quarterly_levels!F21</f>
        <v>0.98033904392909998</v>
      </c>
      <c r="G17">
        <f>quarterly_levels!G22/quarterly_levels!G21</f>
        <v>0.96740770648141761</v>
      </c>
    </row>
    <row r="18" spans="2:7" x14ac:dyDescent="0.2">
      <c r="B18">
        <f>quarterly_levels!B23/quarterly_levels!B22</f>
        <v>0.99880146796213387</v>
      </c>
      <c r="C18">
        <f>quarterly_levels!C23/quarterly_levels!C22</f>
        <v>0.99806319076136107</v>
      </c>
      <c r="D18">
        <f>quarterly_levels!D23/quarterly_levels!D22</f>
        <v>0.96005395753492451</v>
      </c>
      <c r="E18">
        <f>quarterly_levels!E23/quarterly_levels!E22</f>
        <v>0.97495444460108582</v>
      </c>
      <c r="F18">
        <f>quarterly_levels!F23/quarterly_levels!F22</f>
        <v>0.98002263467110096</v>
      </c>
      <c r="G18">
        <f>quarterly_levels!G23/quarterly_levels!G22</f>
        <v>0.96644051723980151</v>
      </c>
    </row>
    <row r="19" spans="2:7" x14ac:dyDescent="0.2">
      <c r="B19">
        <f>quarterly_levels!B24/quarterly_levels!B23</f>
        <v>1.0022013053432481</v>
      </c>
      <c r="C19">
        <f>quarterly_levels!C24/quarterly_levels!C23</f>
        <v>1.0022348293225236</v>
      </c>
      <c r="D19">
        <f>quarterly_levels!D24/quarterly_levels!D23</f>
        <v>0.96046330210412034</v>
      </c>
      <c r="E19">
        <f>quarterly_levels!E24/quarterly_levels!E23</f>
        <v>0.97602003967163542</v>
      </c>
      <c r="F19">
        <f>quarterly_levels!F24/quarterly_levels!F23</f>
        <v>0.9809715145593646</v>
      </c>
      <c r="G19">
        <f>quarterly_levels!G24/quarterly_levels!G23</f>
        <v>0.96758528209804473</v>
      </c>
    </row>
    <row r="20" spans="2:7" x14ac:dyDescent="0.2">
      <c r="B20">
        <f>quarterly_levels!B25/quarterly_levels!B24</f>
        <v>1.0030473249633554</v>
      </c>
      <c r="C20">
        <f>quarterly_levels!C25/quarterly_levels!C24</f>
        <v>1.0021142916259935</v>
      </c>
      <c r="D20">
        <f>quarterly_levels!D25/quarterly_levels!D24</f>
        <v>0.96032972651267579</v>
      </c>
      <c r="E20">
        <f>quarterly_levels!E25/quarterly_levels!E24</f>
        <v>0.97649503822612538</v>
      </c>
      <c r="F20">
        <f>quarterly_levels!F25/quarterly_levels!F24</f>
        <v>0.98144257776051891</v>
      </c>
      <c r="G20">
        <f>quarterly_levels!G25/quarterly_levels!G24</f>
        <v>0.96795038503913022</v>
      </c>
    </row>
    <row r="21" spans="2:7" x14ac:dyDescent="0.2">
      <c r="B21">
        <f>quarterly_levels!B26/quarterly_levels!B25</f>
        <v>1.0038863367541346</v>
      </c>
      <c r="C21">
        <f>quarterly_levels!C26/quarterly_levels!C25</f>
        <v>1.0019945202572054</v>
      </c>
      <c r="D21">
        <f>quarterly_levels!D26/quarterly_levels!D25</f>
        <v>0.96024661976575654</v>
      </c>
      <c r="E21">
        <f>quarterly_levels!E26/quarterly_levels!E25</f>
        <v>0.97701903681055313</v>
      </c>
      <c r="F21">
        <f>quarterly_levels!F26/quarterly_levels!F25</f>
        <v>0.98194774443433031</v>
      </c>
      <c r="G21">
        <f>quarterly_levels!G26/quarterly_levels!G25</f>
        <v>0.96838825731593159</v>
      </c>
    </row>
    <row r="22" spans="2:7" x14ac:dyDescent="0.2">
      <c r="B22">
        <f>quarterly_levels!B27/quarterly_levels!B26</f>
        <v>1.0047162774797684</v>
      </c>
      <c r="C22">
        <f>quarterly_levels!C27/quarterly_levels!C26</f>
        <v>1.0018754690251073</v>
      </c>
      <c r="D22">
        <f>quarterly_levels!D27/quarterly_levels!D26</f>
        <v>0.96022089915440101</v>
      </c>
      <c r="E22">
        <f>quarterly_levels!E27/quarterly_levels!E26</f>
        <v>0.97759390362923115</v>
      </c>
      <c r="F22">
        <f>quarterly_levels!F27/quarterly_levels!F26</f>
        <v>0.98248766345860139</v>
      </c>
      <c r="G22">
        <f>quarterly_levels!G27/quarterly_levels!G26</f>
        <v>0.96890432976883312</v>
      </c>
    </row>
    <row r="23" spans="2:7" x14ac:dyDescent="0.2">
      <c r="B23">
        <f>quarterly_levels!B28/quarterly_levels!B27</f>
        <v>1.0055351580072207</v>
      </c>
      <c r="C23">
        <f>quarterly_levels!C28/quarterly_levels!C27</f>
        <v>1.0017570926126671</v>
      </c>
      <c r="D23">
        <f>quarterly_levels!D28/quarterly_levels!D27</f>
        <v>0.96026011733043826</v>
      </c>
      <c r="E23">
        <f>quarterly_levels!E28/quarterly_levels!E27</f>
        <v>0.97822134271278438</v>
      </c>
      <c r="F23">
        <f>quarterly_levels!F28/quarterly_levels!F27</f>
        <v>0.98306284840789149</v>
      </c>
      <c r="G23">
        <f>quarterly_levels!G28/quarterly_levels!G27</f>
        <v>0.96950403284891185</v>
      </c>
    </row>
    <row r="24" spans="2:7" x14ac:dyDescent="0.2">
      <c r="B24">
        <f>quarterly_levels!B29/quarterly_levels!B28</f>
        <v>1.0063410785233677</v>
      </c>
      <c r="C24">
        <f>quarterly_levels!C29/quarterly_levels!C28</f>
        <v>1.0016393465162419</v>
      </c>
      <c r="D24">
        <f>quarterly_levels!D29/quarterly_levels!D28</f>
        <v>0.9603724722422029</v>
      </c>
      <c r="E24">
        <f>quarterly_levels!E29/quarterly_levels!E28</f>
        <v>0.97890285385235587</v>
      </c>
      <c r="F24">
        <f>quarterly_levels!F29/quarterly_levels!F28</f>
        <v>0.98367366004094359</v>
      </c>
      <c r="G24">
        <f>quarterly_levels!G29/quarterly_levels!G28</f>
        <v>0.97019270706018068</v>
      </c>
    </row>
    <row r="25" spans="2:7" x14ac:dyDescent="0.2">
      <c r="B25">
        <f>quarterly_levels!B30/quarterly_levels!B29</f>
        <v>1.0071322422529962</v>
      </c>
      <c r="C25">
        <f>quarterly_levels!C30/quarterly_levels!C29</f>
        <v>1.0015221869870441</v>
      </c>
      <c r="D25">
        <f>quarterly_levels!D30/quarterly_levels!D29</f>
        <v>0.96056680209449652</v>
      </c>
      <c r="E25">
        <f>quarterly_levels!E30/quarterly_levels!E29</f>
        <v>0.97963969028710263</v>
      </c>
      <c r="F25">
        <f>quarterly_levels!F30/quarterly_levels!F29</f>
        <v>0.98432028890645895</v>
      </c>
      <c r="G25">
        <f>quarterly_levels!G30/quarterly_levels!G29</f>
        <v>0.97097549690281637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annual</vt:lpstr>
      <vt:lpstr>quarterly</vt:lpstr>
      <vt:lpstr>oil_revenue</vt:lpstr>
      <vt:lpstr>annual_levels</vt:lpstr>
      <vt:lpstr>quarterly_levels</vt:lpstr>
      <vt:lpstr>quarterly_gr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Gonzalez-Astudillo</dc:creator>
  <cp:lastModifiedBy>Lipton, Avi</cp:lastModifiedBy>
  <dcterms:created xsi:type="dcterms:W3CDTF">2022-08-11T22:38:44Z</dcterms:created>
  <dcterms:modified xsi:type="dcterms:W3CDTF">2025-01-20T00:20:58Z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58fa293e-e4df-4e65-b974-60d7a8d34199</vt:lpwstr>
  </property>
  <property fmtid="{D5CDD505-2E9C-101B-9397-08002B2CF9AE}" pid="3" name="MSIP_Label_020c9e8b-b879-4ade-97ac-60b9c2bff5e3_Enabled">
    <vt:lpwstr>true</vt:lpwstr>
  </property>
  <property fmtid="{D5CDD505-2E9C-101B-9397-08002B2CF9AE}" pid="4" name="MSIP_Label_020c9e8b-b879-4ade-97ac-60b9c2bff5e3_SetDate">
    <vt:lpwstr>2022-11-09T02:08:01Z</vt:lpwstr>
  </property>
  <property fmtid="{D5CDD505-2E9C-101B-9397-08002B2CF9AE}" pid="5" name="MSIP_Label_020c9e8b-b879-4ade-97ac-60b9c2bff5e3_Method">
    <vt:lpwstr>Privileged</vt:lpwstr>
  </property>
  <property fmtid="{D5CDD505-2E9C-101B-9397-08002B2CF9AE}" pid="6" name="MSIP_Label_020c9e8b-b879-4ade-97ac-60b9c2bff5e3_Name">
    <vt:lpwstr>PERSONAL-NONWORK - EXTERNAL</vt:lpwstr>
  </property>
  <property fmtid="{D5CDD505-2E9C-101B-9397-08002B2CF9AE}" pid="7" name="MSIP_Label_020c9e8b-b879-4ade-97ac-60b9c2bff5e3_SiteId">
    <vt:lpwstr>87bb2570-5c1e-4973-9c37-09257a95aeb1</vt:lpwstr>
  </property>
  <property fmtid="{D5CDD505-2E9C-101B-9397-08002B2CF9AE}" pid="8" name="MSIP_Label_020c9e8b-b879-4ade-97ac-60b9c2bff5e3_ActionId">
    <vt:lpwstr>2ff78c6e-2191-4fae-b558-c552637b884c</vt:lpwstr>
  </property>
  <property fmtid="{D5CDD505-2E9C-101B-9397-08002B2CF9AE}" pid="9" name="MSIP_Label_020c9e8b-b879-4ade-97ac-60b9c2bff5e3_ContentBits">
    <vt:lpwstr>1</vt:lpwstr>
  </property>
</Properties>
</file>